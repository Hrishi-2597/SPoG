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lignedautomation-my.sharepoint.com/personal/hrishikesh_yadav_alignedautomation_com/Documents/Desktop/SPoG/"/>
    </mc:Choice>
  </mc:AlternateContent>
  <xr:revisionPtr revIDLastSave="19" documentId="13_ncr:1_{2E5109C2-6113-4870-9B65-01CD32E73B86}" xr6:coauthVersionLast="47" xr6:coauthVersionMax="47" xr10:uidLastSave="{76D1ED2F-9ED9-4D43-8F13-AE212265317E}"/>
  <bookViews>
    <workbookView xWindow="-110" yWindow="-110" windowWidth="19420" windowHeight="10300" firstSheet="1" activeTab="1" xr2:uid="{0126CC41-95BD-4FB4-99EA-F904D0BE3454}"/>
  </bookViews>
  <sheets>
    <sheet name="Sheet1" sheetId="9" state="hidden" r:id="rId1"/>
    <sheet name="Sheet8" sheetId="17" r:id="rId2"/>
    <sheet name="UniqueCCOQueueCodes" sheetId="1" r:id="rId3"/>
    <sheet name="Sheet7" sheetId="16" state="hidden" r:id="rId4"/>
    <sheet name="Unique_CCO_Queue_Code_Update" sheetId="15" state="hidden" r:id="rId5"/>
    <sheet name="AR" sheetId="14" state="hidden" r:id="rId6"/>
    <sheet name="CQNs Merged_Split" sheetId="10" r:id="rId7"/>
    <sheet name="Sheet4" sheetId="11" state="hidden" r:id="rId8"/>
    <sheet name="Sheet5" sheetId="12" state="hidden" r:id="rId9"/>
    <sheet name="Sheet6" sheetId="13" state="hidden" r:id="rId10"/>
    <sheet name="Sheet2" sheetId="6" state="hidden" r:id="rId11"/>
    <sheet name="Sheet3" sheetId="8" state="hidden" r:id="rId12"/>
    <sheet name="Attrition" sheetId="4" state="hidden" r:id="rId13"/>
    <sheet name="TeamToQueueMap" sheetId="3" state="hidden" r:id="rId14"/>
    <sheet name="Utilz Targets" sheetId="7" state="hidden" r:id="rId15"/>
  </sheets>
  <definedNames>
    <definedName name="_xlnm._FilterDatabase" localSheetId="6" hidden="1">'CQNs Merged_Split'!$B$3:$G$116</definedName>
    <definedName name="_xlnm._FilterDatabase" localSheetId="0" hidden="1">Sheet1!$F$3:$F$425</definedName>
    <definedName name="_xlnm._FilterDatabase" localSheetId="7" hidden="1">Sheet4!$C$3:$M$123</definedName>
    <definedName name="_xlnm._FilterDatabase" localSheetId="8" hidden="1">Sheet5!$D$5:$F$78</definedName>
    <definedName name="_xlnm._FilterDatabase" localSheetId="3" hidden="1">Sheet7!$A$1:$H$173</definedName>
    <definedName name="_xlnm._FilterDatabase" localSheetId="13" hidden="1">TeamToQueueMap!$A$1:$D$517</definedName>
    <definedName name="_xlnm._FilterDatabase" localSheetId="4" hidden="1">Unique_CCO_Queue_Code_Update!$A$1:$Q$601</definedName>
    <definedName name="_xlnm._FilterDatabase" localSheetId="2" hidden="1">UniqueCCOQueueCodes!$A$1:$AC$1</definedName>
    <definedName name="QryTeamCCOQJuly">TeamToQueueMap!$A$1:$C$859</definedName>
    <definedName name="UniqueCCOQueueCodes" localSheetId="4">Unique_CCO_Queue_Code_Update!$B$1:$I$439</definedName>
    <definedName name="UniqueCCOQueueCodes">UniqueCCOQueueCodes!$A$1:$I$553</definedName>
  </definedNames>
  <calcPr calcId="191028"/>
  <pivotCaches>
    <pivotCache cacheId="0" r:id="rId16"/>
    <pivotCache cacheId="1" r:id="rId17"/>
    <pivotCache cacheId="8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05" i="1" l="1"/>
  <c r="O609" i="1"/>
  <c r="O606" i="1"/>
  <c r="O602" i="1"/>
  <c r="O603" i="1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2" i="16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2" i="16"/>
  <c r="O456" i="1"/>
  <c r="O544" i="1"/>
  <c r="O551" i="1" l="1"/>
  <c r="O552" i="1"/>
  <c r="O556" i="1"/>
  <c r="O559" i="1"/>
  <c r="O550" i="1"/>
  <c r="O566" i="1" l="1"/>
  <c r="O547" i="1"/>
  <c r="O548" i="1"/>
  <c r="O484" i="1"/>
  <c r="O486" i="1"/>
  <c r="O411" i="1"/>
  <c r="O549" i="1"/>
  <c r="O553" i="1"/>
  <c r="O554" i="1"/>
  <c r="O555" i="1"/>
  <c r="O557" i="1"/>
  <c r="O414" i="1"/>
  <c r="O561" i="1"/>
  <c r="O563" i="1"/>
  <c r="O564" i="1"/>
  <c r="O565" i="1"/>
  <c r="O567" i="1"/>
  <c r="O568" i="1"/>
  <c r="O570" i="1"/>
  <c r="O573" i="1"/>
  <c r="O576" i="1"/>
  <c r="O577" i="1"/>
  <c r="O580" i="1"/>
  <c r="O582" i="1"/>
  <c r="O586" i="1"/>
  <c r="O588" i="1"/>
  <c r="O541" i="1"/>
  <c r="O590" i="1"/>
  <c r="O591" i="1"/>
  <c r="O592" i="1"/>
  <c r="O594" i="1"/>
  <c r="O425" i="1"/>
  <c r="O426" i="1"/>
  <c r="O410" i="1"/>
  <c r="O412" i="1"/>
  <c r="O413" i="1"/>
  <c r="O415" i="1"/>
  <c r="O416" i="1"/>
  <c r="O417" i="1"/>
  <c r="O141" i="1"/>
  <c r="O418" i="1"/>
  <c r="O419" i="1"/>
  <c r="O420" i="1"/>
  <c r="O421" i="1"/>
  <c r="O422" i="1"/>
  <c r="O423" i="1"/>
  <c r="O424" i="1"/>
  <c r="O9" i="1"/>
  <c r="O427" i="1"/>
  <c r="O428" i="1"/>
  <c r="O429" i="1"/>
  <c r="O430" i="1"/>
  <c r="O431" i="1"/>
  <c r="O10" i="1"/>
  <c r="O11" i="1"/>
  <c r="O432" i="1"/>
  <c r="O433" i="1"/>
  <c r="O434" i="1"/>
  <c r="O435" i="1"/>
  <c r="O436" i="1"/>
  <c r="O437" i="1"/>
  <c r="O438" i="1"/>
  <c r="O439" i="1"/>
  <c r="O440" i="1"/>
  <c r="O442" i="1"/>
  <c r="O443" i="1"/>
  <c r="O446" i="1"/>
  <c r="O447" i="1"/>
  <c r="O448" i="1"/>
  <c r="O449" i="1"/>
  <c r="O450" i="1"/>
  <c r="O451" i="1"/>
  <c r="O452" i="1"/>
  <c r="O453" i="1"/>
  <c r="O454" i="1"/>
  <c r="O151" i="1"/>
  <c r="O455" i="1"/>
  <c r="O152" i="1"/>
  <c r="O153" i="1"/>
  <c r="O457" i="1"/>
  <c r="O145" i="1"/>
  <c r="O458" i="1"/>
  <c r="O459" i="1"/>
  <c r="O460" i="1"/>
  <c r="O461" i="1"/>
  <c r="O462" i="1"/>
  <c r="O463" i="1"/>
  <c r="O9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2" i="1"/>
  <c r="O485" i="1"/>
  <c r="O487" i="1"/>
  <c r="O488" i="1"/>
  <c r="O489" i="1"/>
  <c r="O494" i="1"/>
  <c r="O495" i="1"/>
  <c r="O496" i="1"/>
  <c r="O497" i="1"/>
  <c r="O498" i="1"/>
  <c r="O499" i="1"/>
  <c r="O500" i="1"/>
  <c r="O501" i="1"/>
  <c r="O502" i="1"/>
  <c r="O503" i="1"/>
  <c r="O504" i="1"/>
  <c r="O506" i="1"/>
  <c r="O507" i="1"/>
  <c r="O508" i="1"/>
  <c r="O509" i="1"/>
  <c r="O510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29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2" i="1"/>
  <c r="O511" i="1"/>
  <c r="O512" i="1"/>
  <c r="O491" i="1"/>
  <c r="O513" i="1"/>
  <c r="O490" i="1"/>
  <c r="O481" i="1"/>
  <c r="O492" i="1"/>
  <c r="O493" i="1"/>
  <c r="O514" i="1"/>
  <c r="O441" i="1"/>
  <c r="O444" i="1"/>
  <c r="O445" i="1"/>
  <c r="AA382" i="1" l="1"/>
  <c r="AA411" i="1"/>
  <c r="AA549" i="1"/>
  <c r="AA389" i="1"/>
  <c r="AA553" i="1"/>
  <c r="AA554" i="1"/>
  <c r="AA555" i="1"/>
  <c r="AA557" i="1"/>
  <c r="AA558" i="1"/>
  <c r="AA414" i="1"/>
  <c r="AA561" i="1"/>
  <c r="AA563" i="1"/>
  <c r="AA564" i="1"/>
  <c r="AA565" i="1"/>
  <c r="AA567" i="1"/>
  <c r="AA568" i="1"/>
  <c r="AA570" i="1"/>
  <c r="AA572" i="1"/>
  <c r="AA573" i="1"/>
  <c r="AA574" i="1"/>
  <c r="AA575" i="1"/>
  <c r="AA576" i="1"/>
  <c r="AA577" i="1"/>
  <c r="AA579" i="1"/>
  <c r="AA580" i="1"/>
  <c r="AA582" i="1"/>
  <c r="AA395" i="1"/>
  <c r="AA583" i="1"/>
  <c r="AA585" i="1"/>
  <c r="AA588" i="1"/>
  <c r="AA589" i="1"/>
  <c r="AA592" i="1"/>
  <c r="AA594" i="1"/>
  <c r="AA595" i="1"/>
  <c r="AA400" i="1"/>
  <c r="AA401" i="1"/>
  <c r="AA425" i="1"/>
  <c r="AA426" i="1"/>
  <c r="AA412" i="1"/>
  <c r="AA415" i="1"/>
  <c r="AA416" i="1"/>
  <c r="AA95" i="1"/>
  <c r="AA141" i="1"/>
  <c r="AA96" i="1"/>
  <c r="AA418" i="1"/>
  <c r="AA419" i="1"/>
  <c r="AA420" i="1"/>
  <c r="AA66" i="1"/>
  <c r="AA421" i="1"/>
  <c r="AA422" i="1"/>
  <c r="AA423" i="1"/>
  <c r="AA424" i="1"/>
  <c r="AA9" i="1"/>
  <c r="AA427" i="1"/>
  <c r="AA428" i="1"/>
  <c r="AA429" i="1"/>
  <c r="AA430" i="1"/>
  <c r="AA431" i="1"/>
  <c r="AA10" i="1"/>
  <c r="AA11" i="1"/>
  <c r="AA432" i="1"/>
  <c r="AA433" i="1"/>
  <c r="AA434" i="1"/>
  <c r="AA435" i="1"/>
  <c r="AA436" i="1"/>
  <c r="AA437" i="1"/>
  <c r="AA438" i="1"/>
  <c r="AA439" i="1"/>
  <c r="AA440" i="1"/>
  <c r="AA75" i="1"/>
  <c r="AA77" i="1"/>
  <c r="AA442" i="1"/>
  <c r="AA443" i="1"/>
  <c r="AA446" i="1"/>
  <c r="AA447" i="1"/>
  <c r="AA448" i="1"/>
  <c r="AA449" i="1"/>
  <c r="AA450" i="1"/>
  <c r="AA451" i="1"/>
  <c r="AA452" i="1"/>
  <c r="AA453" i="1"/>
  <c r="AA454" i="1"/>
  <c r="AA151" i="1"/>
  <c r="AA455" i="1"/>
  <c r="AA152" i="1"/>
  <c r="AA153" i="1"/>
  <c r="AA80" i="1"/>
  <c r="AA81" i="1"/>
  <c r="AA82" i="1"/>
  <c r="AA83" i="1"/>
  <c r="AA84" i="1"/>
  <c r="AA85" i="1"/>
  <c r="AA457" i="1"/>
  <c r="AA145" i="1"/>
  <c r="AA86" i="1"/>
  <c r="AA458" i="1"/>
  <c r="AA87" i="1"/>
  <c r="AA88" i="1"/>
  <c r="AA459" i="1"/>
  <c r="AA91" i="1"/>
  <c r="AA92" i="1"/>
  <c r="AA460" i="1"/>
  <c r="AA461" i="1"/>
  <c r="AA462" i="1"/>
  <c r="AA463" i="1"/>
  <c r="AA9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80" i="1"/>
  <c r="AA482" i="1"/>
  <c r="AA251" i="1"/>
  <c r="AA487" i="1"/>
  <c r="AA253" i="1"/>
  <c r="AA488" i="1"/>
  <c r="AA496" i="1"/>
  <c r="AA500" i="1"/>
  <c r="AA501" i="1"/>
  <c r="AA502" i="1"/>
  <c r="AA255" i="1"/>
  <c r="AA504" i="1"/>
  <c r="AA271" i="1"/>
  <c r="AA272" i="1"/>
  <c r="AA510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298" i="1"/>
  <c r="AA529" i="1"/>
  <c r="AA530" i="1"/>
  <c r="AA531" i="1"/>
  <c r="AA273" i="1"/>
  <c r="AA532" i="1"/>
  <c r="AA274" i="1"/>
  <c r="AA533" i="1"/>
  <c r="AA275" i="1"/>
  <c r="AA276" i="1"/>
  <c r="AA277" i="1"/>
  <c r="AA278" i="1"/>
  <c r="AA535" i="1"/>
  <c r="AA279" i="1"/>
  <c r="AA536" i="1"/>
  <c r="AA280" i="1"/>
  <c r="AA537" i="1"/>
  <c r="AA281" i="1"/>
  <c r="AA282" i="1"/>
  <c r="AA283" i="1"/>
  <c r="AA284" i="1"/>
  <c r="AA285" i="1"/>
  <c r="AA538" i="1"/>
  <c r="AA287" i="1"/>
  <c r="AA539" i="1"/>
  <c r="AA289" i="1"/>
  <c r="AA540" i="1"/>
  <c r="AA290" i="1"/>
  <c r="AA291" i="1"/>
  <c r="AA292" i="1"/>
  <c r="AA293" i="1"/>
  <c r="AA542" i="1"/>
  <c r="AA491" i="1"/>
  <c r="AA513" i="1"/>
  <c r="AA490" i="1"/>
  <c r="AA492" i="1"/>
  <c r="AA493" i="1"/>
  <c r="AA514" i="1"/>
  <c r="AA441" i="1"/>
  <c r="AA444" i="1"/>
  <c r="AA445" i="1"/>
  <c r="AA299" i="1"/>
  <c r="M595" i="15" l="1"/>
  <c r="G595" i="15"/>
  <c r="F595" i="15"/>
  <c r="E595" i="15"/>
  <c r="K592" i="15"/>
  <c r="K589" i="15"/>
  <c r="K588" i="15"/>
  <c r="K587" i="15"/>
  <c r="K586" i="15"/>
  <c r="K585" i="15"/>
  <c r="K584" i="15"/>
  <c r="K583" i="15"/>
  <c r="K582" i="15"/>
  <c r="K581" i="15"/>
  <c r="K580" i="15"/>
  <c r="K579" i="15"/>
  <c r="K578" i="15"/>
  <c r="K577" i="15"/>
  <c r="K576" i="15"/>
  <c r="K575" i="15"/>
  <c r="K574" i="15"/>
  <c r="K573" i="15"/>
  <c r="K572" i="15"/>
  <c r="K571" i="15"/>
  <c r="K570" i="15"/>
  <c r="K569" i="15"/>
  <c r="K568" i="15"/>
  <c r="K567" i="15"/>
  <c r="K566" i="15"/>
  <c r="K565" i="15"/>
  <c r="K564" i="15"/>
  <c r="K563" i="15"/>
  <c r="K562" i="15"/>
  <c r="K561" i="15"/>
  <c r="K560" i="15"/>
  <c r="K559" i="15"/>
  <c r="K558" i="15"/>
  <c r="K557" i="15"/>
  <c r="K556" i="15"/>
  <c r="K555" i="15"/>
  <c r="K554" i="15"/>
  <c r="K553" i="15"/>
  <c r="K552" i="15"/>
  <c r="K551" i="15"/>
  <c r="K550" i="15"/>
  <c r="K549" i="15"/>
  <c r="K548" i="15"/>
  <c r="K547" i="15"/>
  <c r="K546" i="15"/>
  <c r="K545" i="15"/>
  <c r="K544" i="15"/>
  <c r="K543" i="15"/>
  <c r="K542" i="15"/>
  <c r="K541" i="15"/>
  <c r="K540" i="15"/>
  <c r="K539" i="15"/>
  <c r="K538" i="15"/>
  <c r="K537" i="15"/>
  <c r="K536" i="15"/>
  <c r="K535" i="15"/>
  <c r="K534" i="15"/>
  <c r="K533" i="15"/>
  <c r="K532" i="15"/>
  <c r="K531" i="15"/>
  <c r="K530" i="15"/>
  <c r="K529" i="15"/>
  <c r="K528" i="15"/>
  <c r="K527" i="15"/>
  <c r="K526" i="15"/>
  <c r="K525" i="15"/>
  <c r="K524" i="15"/>
  <c r="K523" i="15"/>
  <c r="K522" i="15"/>
  <c r="K521" i="15"/>
  <c r="K520" i="15"/>
  <c r="K519" i="15"/>
  <c r="K518" i="15"/>
  <c r="K517" i="15"/>
  <c r="K516" i="15"/>
  <c r="K515" i="15"/>
  <c r="K514" i="15"/>
  <c r="K513" i="15"/>
  <c r="K512" i="15"/>
  <c r="K511" i="15"/>
  <c r="K510" i="15"/>
  <c r="K509" i="15"/>
  <c r="K508" i="15"/>
  <c r="K507" i="15"/>
  <c r="K506" i="15"/>
  <c r="K505" i="15"/>
  <c r="K504" i="15"/>
  <c r="K503" i="15"/>
  <c r="K502" i="15"/>
  <c r="K501" i="15"/>
  <c r="K500" i="15"/>
  <c r="K499" i="15"/>
  <c r="K498" i="15"/>
  <c r="K497" i="15"/>
  <c r="K496" i="15"/>
  <c r="K495" i="15"/>
  <c r="K494" i="15"/>
  <c r="K493" i="15"/>
  <c r="K492" i="15"/>
  <c r="K491" i="15"/>
  <c r="K490" i="15"/>
  <c r="K489" i="15"/>
  <c r="K488" i="15"/>
  <c r="K487" i="15"/>
  <c r="K486" i="15"/>
  <c r="K485" i="15"/>
  <c r="K484" i="15"/>
  <c r="K483" i="15"/>
  <c r="K482" i="15"/>
  <c r="K481" i="15"/>
  <c r="K480" i="15"/>
  <c r="K479" i="15"/>
  <c r="K478" i="15"/>
  <c r="K477" i="15"/>
  <c r="K476" i="15"/>
  <c r="K475" i="15"/>
  <c r="K474" i="15"/>
  <c r="K473" i="15"/>
  <c r="K472" i="15"/>
  <c r="K471" i="15"/>
  <c r="K470" i="15"/>
  <c r="K469" i="15"/>
  <c r="K468" i="15"/>
  <c r="K467" i="15"/>
  <c r="K466" i="15"/>
  <c r="K465" i="15"/>
  <c r="K464" i="15"/>
  <c r="K463" i="15"/>
  <c r="K462" i="15"/>
  <c r="K461" i="15"/>
  <c r="K460" i="15"/>
  <c r="K459" i="15"/>
  <c r="K458" i="15"/>
  <c r="K457" i="15"/>
  <c r="K456" i="15"/>
  <c r="K455" i="15"/>
  <c r="K454" i="15"/>
  <c r="K453" i="15"/>
  <c r="K452" i="15"/>
  <c r="K451" i="15"/>
  <c r="K450" i="15"/>
  <c r="K449" i="15"/>
  <c r="K448" i="15"/>
  <c r="K447" i="15"/>
  <c r="K446" i="15"/>
  <c r="K445" i="15"/>
  <c r="K444" i="15"/>
  <c r="K443" i="15"/>
  <c r="K442" i="15"/>
  <c r="K441" i="15"/>
  <c r="K440" i="15"/>
  <c r="K439" i="15"/>
  <c r="K438" i="15"/>
  <c r="K437" i="15"/>
  <c r="K436" i="15"/>
  <c r="K435" i="15"/>
  <c r="K434" i="15"/>
  <c r="K433" i="15"/>
  <c r="K432" i="15"/>
  <c r="K431" i="15"/>
  <c r="K430" i="15"/>
  <c r="K429" i="15"/>
  <c r="K428" i="15"/>
  <c r="K427" i="15"/>
  <c r="K426" i="15"/>
  <c r="K425" i="15"/>
  <c r="K424" i="15"/>
  <c r="K423" i="15"/>
  <c r="K422" i="15"/>
  <c r="K421" i="15"/>
  <c r="K420" i="15"/>
  <c r="K419" i="15"/>
  <c r="K418" i="15"/>
  <c r="K417" i="15"/>
  <c r="K416" i="15"/>
  <c r="K415" i="15"/>
  <c r="K414" i="15"/>
  <c r="K413" i="15"/>
  <c r="K412" i="15"/>
  <c r="K411" i="15"/>
  <c r="K410" i="15"/>
  <c r="K409" i="15"/>
  <c r="K408" i="15"/>
  <c r="K407" i="15"/>
  <c r="K406" i="15"/>
  <c r="K405" i="15"/>
  <c r="K404" i="15"/>
  <c r="K403" i="15"/>
  <c r="K402" i="15"/>
  <c r="K401" i="15"/>
  <c r="K400" i="15"/>
  <c r="K399" i="15"/>
  <c r="K398" i="15"/>
  <c r="K397" i="15"/>
  <c r="K396" i="15"/>
  <c r="K395" i="15"/>
  <c r="K394" i="15"/>
  <c r="K393" i="15"/>
  <c r="K392" i="15"/>
  <c r="K391" i="15"/>
  <c r="K390" i="15"/>
  <c r="K389" i="15"/>
  <c r="K388" i="15"/>
  <c r="K387" i="15"/>
  <c r="K386" i="15"/>
  <c r="K385" i="15"/>
  <c r="K384" i="15"/>
  <c r="K383" i="15"/>
  <c r="K382" i="15"/>
  <c r="K381" i="15"/>
  <c r="K380" i="15"/>
  <c r="K379" i="15"/>
  <c r="K378" i="15"/>
  <c r="K377" i="15"/>
  <c r="K376" i="15"/>
  <c r="K375" i="15"/>
  <c r="K374" i="15"/>
  <c r="K373" i="15"/>
  <c r="K372" i="15"/>
  <c r="K371" i="15"/>
  <c r="K370" i="15"/>
  <c r="K369" i="15"/>
  <c r="K368" i="15"/>
  <c r="K367" i="15"/>
  <c r="K366" i="15"/>
  <c r="K365" i="15"/>
  <c r="K364" i="15"/>
  <c r="K363" i="15"/>
  <c r="K362" i="15"/>
  <c r="K361" i="15"/>
  <c r="K360" i="15"/>
  <c r="K359" i="15"/>
  <c r="K358" i="15"/>
  <c r="K357" i="15"/>
  <c r="K356" i="15"/>
  <c r="K355" i="15"/>
  <c r="K354" i="15"/>
  <c r="K353" i="15"/>
  <c r="K352" i="15"/>
  <c r="K351" i="15"/>
  <c r="K350" i="15"/>
  <c r="K349" i="15"/>
  <c r="K348" i="15"/>
  <c r="K347" i="15"/>
  <c r="K346" i="15"/>
  <c r="K345" i="15"/>
  <c r="K344" i="15"/>
  <c r="K343" i="15"/>
  <c r="K342" i="15"/>
  <c r="K341" i="15"/>
  <c r="K340" i="15"/>
  <c r="K339" i="15"/>
  <c r="K338" i="15"/>
  <c r="K337" i="15"/>
  <c r="K336" i="15"/>
  <c r="K335" i="15"/>
  <c r="K334" i="15"/>
  <c r="K333" i="15"/>
  <c r="K332" i="15"/>
  <c r="K331" i="15"/>
  <c r="K330" i="15"/>
  <c r="K329" i="15"/>
  <c r="K328" i="15"/>
  <c r="K327" i="15"/>
  <c r="K326" i="15"/>
  <c r="K325" i="15"/>
  <c r="K324" i="15"/>
  <c r="K323" i="15"/>
  <c r="K322" i="15"/>
  <c r="K321" i="15"/>
  <c r="K320" i="15"/>
  <c r="K319" i="15"/>
  <c r="K318" i="15"/>
  <c r="K317" i="15"/>
  <c r="K316" i="15"/>
  <c r="K315" i="15"/>
  <c r="K314" i="15"/>
  <c r="K313" i="15"/>
  <c r="K312" i="15"/>
  <c r="K311" i="15"/>
  <c r="K310" i="15"/>
  <c r="K309" i="15"/>
  <c r="K308" i="15"/>
  <c r="K307" i="15"/>
  <c r="K306" i="15"/>
  <c r="K305" i="15"/>
  <c r="K304" i="15"/>
  <c r="K303" i="15"/>
  <c r="K302" i="15"/>
  <c r="K301" i="15"/>
  <c r="K300" i="15"/>
  <c r="K299" i="15"/>
  <c r="K298" i="15"/>
  <c r="K297" i="15"/>
  <c r="K296" i="15"/>
  <c r="K295" i="15"/>
  <c r="K294" i="15"/>
  <c r="K293" i="15"/>
  <c r="K292" i="15"/>
  <c r="K291" i="15"/>
  <c r="K290" i="15"/>
  <c r="K289" i="15"/>
  <c r="K288" i="15"/>
  <c r="K287" i="15"/>
  <c r="K286" i="15"/>
  <c r="K285" i="15"/>
  <c r="K284" i="15"/>
  <c r="K283" i="15"/>
  <c r="K282" i="15"/>
  <c r="K281" i="15"/>
  <c r="K280" i="15"/>
  <c r="K279" i="15"/>
  <c r="K278" i="15"/>
  <c r="K277" i="15"/>
  <c r="K276" i="15"/>
  <c r="K275" i="15"/>
  <c r="K274" i="15"/>
  <c r="K273" i="15"/>
  <c r="K272" i="15"/>
  <c r="K271" i="15"/>
  <c r="K270" i="15"/>
  <c r="K269" i="15"/>
  <c r="K268" i="15"/>
  <c r="K267" i="15"/>
  <c r="K266" i="15"/>
  <c r="K265" i="15"/>
  <c r="K264" i="15"/>
  <c r="K263" i="15"/>
  <c r="K262" i="15"/>
  <c r="K261" i="15"/>
  <c r="K260" i="15"/>
  <c r="K259" i="15"/>
  <c r="K258" i="15"/>
  <c r="K257" i="15"/>
  <c r="K256" i="15"/>
  <c r="K255" i="15"/>
  <c r="K254" i="15"/>
  <c r="K253" i="15"/>
  <c r="K252" i="15"/>
  <c r="K251" i="15"/>
  <c r="K250" i="15"/>
  <c r="K249" i="15"/>
  <c r="K248" i="15"/>
  <c r="K247" i="15"/>
  <c r="K246" i="15"/>
  <c r="K245" i="15"/>
  <c r="K244" i="15"/>
  <c r="K243" i="15"/>
  <c r="K242" i="15"/>
  <c r="K241" i="15"/>
  <c r="K240" i="15"/>
  <c r="K239" i="15"/>
  <c r="K238" i="15"/>
  <c r="K237" i="15"/>
  <c r="K236" i="15"/>
  <c r="K235" i="15"/>
  <c r="K234" i="15"/>
  <c r="K233" i="15"/>
  <c r="K232" i="15"/>
  <c r="K231" i="15"/>
  <c r="K230" i="15"/>
  <c r="K229" i="15"/>
  <c r="K228" i="15"/>
  <c r="K227" i="15"/>
  <c r="K226" i="15"/>
  <c r="K225" i="15"/>
  <c r="K224" i="15"/>
  <c r="K223" i="15"/>
  <c r="K222" i="15"/>
  <c r="K221" i="15"/>
  <c r="K220" i="15"/>
  <c r="K219" i="15"/>
  <c r="K218" i="15"/>
  <c r="K217" i="15"/>
  <c r="K216" i="15"/>
  <c r="K215" i="15"/>
  <c r="K214" i="15"/>
  <c r="K213" i="15"/>
  <c r="K212" i="15"/>
  <c r="K211" i="15"/>
  <c r="K210" i="15"/>
  <c r="K209" i="15"/>
  <c r="K208" i="15"/>
  <c r="K207" i="15"/>
  <c r="K206" i="15"/>
  <c r="K205" i="15"/>
  <c r="K204" i="15"/>
  <c r="K203" i="15"/>
  <c r="K202" i="15"/>
  <c r="K201" i="15"/>
  <c r="K200" i="15"/>
  <c r="K199" i="15"/>
  <c r="K198" i="15"/>
  <c r="K197" i="15"/>
  <c r="K196" i="15"/>
  <c r="K195" i="15"/>
  <c r="K194" i="15"/>
  <c r="K193" i="15"/>
  <c r="K192" i="15"/>
  <c r="K191" i="15"/>
  <c r="K190" i="15"/>
  <c r="K189" i="15"/>
  <c r="K188" i="15"/>
  <c r="K187" i="15"/>
  <c r="K186" i="15"/>
  <c r="K185" i="15"/>
  <c r="K184" i="15"/>
  <c r="K183" i="15"/>
  <c r="K182" i="15"/>
  <c r="K181" i="15"/>
  <c r="K180" i="15"/>
  <c r="K179" i="15"/>
  <c r="K178" i="15"/>
  <c r="K177" i="15"/>
  <c r="K176" i="15"/>
  <c r="K175" i="15"/>
  <c r="K174" i="15"/>
  <c r="K173" i="15"/>
  <c r="K172" i="15"/>
  <c r="K171" i="15"/>
  <c r="K170" i="15"/>
  <c r="K169" i="15"/>
  <c r="K168" i="15"/>
  <c r="K167" i="15"/>
  <c r="K166" i="15"/>
  <c r="K165" i="15"/>
  <c r="K164" i="15"/>
  <c r="K163" i="15"/>
  <c r="K162" i="15"/>
  <c r="K161" i="15"/>
  <c r="K160" i="15"/>
  <c r="K159" i="15"/>
  <c r="K158" i="15"/>
  <c r="K157" i="15"/>
  <c r="K156" i="15"/>
  <c r="K155" i="15"/>
  <c r="K154" i="15"/>
  <c r="K153" i="15"/>
  <c r="K152" i="15"/>
  <c r="K151" i="15"/>
  <c r="K150" i="15"/>
  <c r="K149" i="15"/>
  <c r="K148" i="15"/>
  <c r="K147" i="15"/>
  <c r="K146" i="15"/>
  <c r="K145" i="15"/>
  <c r="K144" i="15"/>
  <c r="K143" i="15"/>
  <c r="K142" i="15"/>
  <c r="K141" i="15"/>
  <c r="K140" i="15"/>
  <c r="K139" i="15"/>
  <c r="K138" i="15"/>
  <c r="K137" i="15"/>
  <c r="K136" i="15"/>
  <c r="K135" i="15"/>
  <c r="K134" i="15"/>
  <c r="K133" i="15"/>
  <c r="K132" i="15"/>
  <c r="K131" i="15"/>
  <c r="K130" i="15"/>
  <c r="K129" i="15"/>
  <c r="K128" i="15"/>
  <c r="K127" i="15"/>
  <c r="K126" i="15"/>
  <c r="K125" i="15"/>
  <c r="K124" i="15"/>
  <c r="K123" i="15"/>
  <c r="K122" i="15"/>
  <c r="K121" i="15"/>
  <c r="K120" i="15"/>
  <c r="K119" i="15"/>
  <c r="K118" i="15"/>
  <c r="K117" i="15"/>
  <c r="K116" i="15"/>
  <c r="K115" i="15"/>
  <c r="K114" i="15"/>
  <c r="K113" i="15"/>
  <c r="K112" i="15"/>
  <c r="K111" i="15"/>
  <c r="K110" i="15"/>
  <c r="K109" i="15"/>
  <c r="K108" i="15"/>
  <c r="K107" i="15"/>
  <c r="K106" i="15"/>
  <c r="K105" i="15"/>
  <c r="K104" i="15"/>
  <c r="K103" i="15"/>
  <c r="K102" i="15"/>
  <c r="K101" i="15"/>
  <c r="K100" i="15"/>
  <c r="K99" i="15"/>
  <c r="K98" i="15"/>
  <c r="K97" i="15"/>
  <c r="K96" i="15"/>
  <c r="K95" i="15"/>
  <c r="K94" i="15"/>
  <c r="K93" i="15"/>
  <c r="K92" i="15"/>
  <c r="K91" i="15"/>
  <c r="K90" i="15"/>
  <c r="K89" i="15"/>
  <c r="K88" i="15"/>
  <c r="K87" i="15"/>
  <c r="K86" i="15"/>
  <c r="K85" i="15"/>
  <c r="K84" i="15"/>
  <c r="K83" i="15"/>
  <c r="K82" i="15"/>
  <c r="K81" i="15"/>
  <c r="K80" i="15"/>
  <c r="K79" i="15"/>
  <c r="K78" i="15"/>
  <c r="K77" i="15"/>
  <c r="K76" i="15"/>
  <c r="K75" i="15"/>
  <c r="K74" i="15"/>
  <c r="K73" i="15"/>
  <c r="K72" i="15"/>
  <c r="K71" i="15"/>
  <c r="K70" i="15"/>
  <c r="K69" i="15"/>
  <c r="K68" i="15"/>
  <c r="K67" i="15"/>
  <c r="K66" i="15"/>
  <c r="K65" i="15"/>
  <c r="K64" i="15"/>
  <c r="K63" i="15"/>
  <c r="K62" i="15"/>
  <c r="K61" i="15"/>
  <c r="K60" i="15"/>
  <c r="K59" i="15"/>
  <c r="K58" i="15"/>
  <c r="K57" i="15"/>
  <c r="K56" i="15"/>
  <c r="K55" i="15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K5" i="15"/>
  <c r="K4" i="15"/>
  <c r="K3" i="15"/>
  <c r="K2" i="15"/>
  <c r="X293" i="1"/>
  <c r="F481" i="1"/>
  <c r="H18" i="16" s="1"/>
  <c r="F7" i="12" l="1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6" i="12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3" i="11"/>
  <c r="X292" i="1"/>
  <c r="X291" i="1"/>
  <c r="X290" i="1"/>
  <c r="X289" i="1"/>
  <c r="X287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55" i="1"/>
  <c r="X253" i="1"/>
  <c r="X251" i="1"/>
  <c r="X93" i="1"/>
  <c r="X92" i="1"/>
  <c r="X91" i="1"/>
  <c r="X88" i="1"/>
  <c r="X87" i="1"/>
  <c r="X86" i="1"/>
  <c r="X85" i="1"/>
  <c r="X84" i="1"/>
  <c r="X83" i="1"/>
  <c r="X82" i="1"/>
  <c r="X81" i="1"/>
  <c r="X80" i="1"/>
  <c r="X77" i="1"/>
  <c r="X75" i="1"/>
  <c r="X66" i="1"/>
  <c r="X96" i="1"/>
  <c r="X95" i="1"/>
  <c r="X382" i="1"/>
  <c r="X389" i="1"/>
  <c r="O589" i="1" l="1"/>
  <c r="O74" i="1"/>
  <c r="D271" i="3" l="1"/>
  <c r="O595" i="1"/>
  <c r="O86" i="1"/>
  <c r="O388" i="1"/>
  <c r="O583" i="1"/>
  <c r="O395" i="1"/>
  <c r="O579" i="1"/>
  <c r="O391" i="1"/>
  <c r="O387" i="1"/>
  <c r="O386" i="1"/>
  <c r="O384" i="1"/>
  <c r="O545" i="1"/>
  <c r="O393" i="1"/>
  <c r="O575" i="1"/>
  <c r="O572" i="1"/>
  <c r="O392" i="1"/>
  <c r="O112" i="1"/>
  <c r="O558" i="1"/>
  <c r="O403" i="1"/>
  <c r="O383" i="1"/>
  <c r="O390" i="1"/>
  <c r="O385" i="1"/>
  <c r="O94" i="1"/>
  <c r="O397" i="1"/>
  <c r="O574" i="1"/>
  <c r="O282" i="1"/>
  <c r="O115" i="1"/>
  <c r="O82" i="1"/>
  <c r="O78" i="1"/>
  <c r="O84" i="1"/>
  <c r="O285" i="1"/>
  <c r="O83" i="1"/>
  <c r="O140" i="1"/>
  <c r="O85" i="1"/>
  <c r="O81" i="1"/>
  <c r="O73" i="1"/>
  <c r="O80" i="1"/>
  <c r="O264" i="1"/>
  <c r="O71" i="1"/>
  <c r="O585" i="1"/>
  <c r="O284" i="1"/>
  <c r="O279" i="1"/>
  <c r="O69" i="1"/>
  <c r="O139" i="1"/>
  <c r="O291" i="1"/>
  <c r="O398" i="1"/>
  <c r="O88" i="1"/>
  <c r="O278" i="1"/>
  <c r="O389" i="1"/>
  <c r="O299" i="1"/>
  <c r="O6" i="1"/>
  <c r="O401" i="1"/>
  <c r="O293" i="1"/>
  <c r="O280" i="1"/>
  <c r="O276" i="1"/>
  <c r="O273" i="1"/>
  <c r="O79" i="1"/>
  <c r="O275" i="1"/>
  <c r="O274" i="1"/>
  <c r="O95" i="1"/>
  <c r="O259" i="1"/>
  <c r="O75" i="1"/>
  <c r="O399" i="1"/>
  <c r="O7" i="1"/>
  <c r="O400" i="1"/>
  <c r="O96" i="1"/>
  <c r="O289" i="1"/>
  <c r="O255" i="1"/>
  <c r="O8" i="1"/>
  <c r="O72" i="1"/>
  <c r="O287" i="1"/>
  <c r="O272" i="1"/>
  <c r="O4" i="1"/>
  <c r="O277" i="1"/>
  <c r="O66" i="1"/>
  <c r="O2" i="1"/>
  <c r="O256" i="1"/>
  <c r="O87" i="1"/>
  <c r="O3" i="1"/>
  <c r="O77" i="1"/>
  <c r="O290" i="1"/>
  <c r="O92" i="1"/>
  <c r="O251" i="1"/>
  <c r="O281" i="1"/>
  <c r="O283" i="1"/>
  <c r="O5" i="1"/>
  <c r="O292" i="1"/>
  <c r="O382" i="1"/>
  <c r="O271" i="1"/>
  <c r="O91" i="1"/>
  <c r="O253" i="1"/>
  <c r="O254" i="1"/>
  <c r="O257" i="1"/>
  <c r="O258" i="1"/>
  <c r="O596" i="1"/>
  <c r="O381" i="1"/>
  <c r="O380" i="1"/>
  <c r="O250" i="1"/>
  <c r="O249" i="1"/>
  <c r="O248" i="1"/>
  <c r="O247" i="1"/>
  <c r="O379" i="1"/>
  <c r="O378" i="1"/>
  <c r="O138" i="1"/>
  <c r="O377" i="1"/>
  <c r="O150" i="1"/>
  <c r="O149" i="1"/>
  <c r="O612" i="1"/>
  <c r="O376" i="1"/>
  <c r="O375" i="1"/>
  <c r="O116" i="1"/>
  <c r="O65" i="1"/>
  <c r="O123" i="1"/>
  <c r="O374" i="1"/>
  <c r="O137" i="1"/>
  <c r="O136" i="1"/>
  <c r="O373" i="1"/>
  <c r="O372" i="1"/>
  <c r="O371" i="1"/>
  <c r="O370" i="1"/>
  <c r="O369" i="1"/>
  <c r="O368" i="1"/>
  <c r="O367" i="1"/>
  <c r="O366" i="1"/>
  <c r="O64" i="1"/>
  <c r="O63" i="1"/>
  <c r="O62" i="1"/>
  <c r="O122" i="1"/>
  <c r="O365" i="1"/>
  <c r="O593" i="1"/>
  <c r="O364" i="1"/>
  <c r="O61" i="1"/>
  <c r="O60" i="1"/>
  <c r="O246" i="1"/>
  <c r="O363" i="1"/>
  <c r="O59" i="1"/>
  <c r="O362" i="1"/>
  <c r="O58" i="1"/>
  <c r="O57" i="1"/>
  <c r="O361" i="1"/>
  <c r="O56" i="1"/>
  <c r="O121" i="1"/>
  <c r="O360" i="1"/>
  <c r="O245" i="1"/>
  <c r="O359" i="1"/>
  <c r="O135" i="1"/>
  <c r="O358" i="1"/>
  <c r="O357" i="1"/>
  <c r="O356" i="1"/>
  <c r="O355" i="1"/>
  <c r="O354" i="1"/>
  <c r="O353" i="1"/>
  <c r="O587" i="1"/>
  <c r="O352" i="1"/>
  <c r="O396" i="1"/>
  <c r="O584" i="1"/>
  <c r="O351" i="1"/>
  <c r="O350" i="1"/>
  <c r="O349" i="1"/>
  <c r="O348" i="1"/>
  <c r="O581" i="1"/>
  <c r="O347" i="1"/>
  <c r="O578" i="1"/>
  <c r="O346" i="1"/>
  <c r="O345" i="1"/>
  <c r="O571" i="1"/>
  <c r="O344" i="1"/>
  <c r="O343" i="1"/>
  <c r="O569" i="1"/>
  <c r="O342" i="1"/>
  <c r="O341" i="1"/>
  <c r="O55" i="1"/>
  <c r="O562" i="1"/>
  <c r="O90" i="1"/>
  <c r="O134" i="1"/>
  <c r="O133" i="1"/>
  <c r="O340" i="1"/>
  <c r="O148" i="1"/>
  <c r="O132" i="1"/>
  <c r="O339" i="1"/>
  <c r="O89" i="1"/>
  <c r="O147" i="1"/>
  <c r="O114" i="1"/>
  <c r="O54" i="1"/>
  <c r="O53" i="1"/>
  <c r="O113" i="1"/>
  <c r="O146" i="1"/>
  <c r="O52" i="1"/>
  <c r="O600" i="1"/>
  <c r="O338" i="1"/>
  <c r="O560" i="1"/>
  <c r="O337" i="1"/>
  <c r="O51" i="1"/>
  <c r="O244" i="1"/>
  <c r="O243" i="1"/>
  <c r="O50" i="1"/>
  <c r="O336" i="1"/>
  <c r="O49" i="1"/>
  <c r="O242" i="1"/>
  <c r="O48" i="1"/>
  <c r="O47" i="1"/>
  <c r="O46" i="1"/>
  <c r="O45" i="1"/>
  <c r="O44" i="1"/>
  <c r="O241" i="1"/>
  <c r="O43" i="1"/>
  <c r="O42" i="1"/>
  <c r="O295" i="1"/>
  <c r="O294" i="1"/>
  <c r="O240" i="1"/>
  <c r="O288" i="1"/>
  <c r="O262" i="1"/>
  <c r="O286" i="1"/>
  <c r="O261" i="1"/>
  <c r="O239" i="1"/>
  <c r="O270" i="1"/>
  <c r="O238" i="1"/>
  <c r="O237" i="1"/>
  <c r="O269" i="1"/>
  <c r="O268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67" i="1"/>
  <c r="O224" i="1"/>
  <c r="O265" i="1"/>
  <c r="O266" i="1"/>
  <c r="O223" i="1"/>
  <c r="O335" i="1"/>
  <c r="O334" i="1"/>
  <c r="O333" i="1"/>
  <c r="O41" i="1"/>
  <c r="O332" i="1"/>
  <c r="O222" i="1"/>
  <c r="O40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405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331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39" i="1"/>
  <c r="O330" i="1"/>
  <c r="O329" i="1"/>
  <c r="O164" i="1"/>
  <c r="O328" i="1"/>
  <c r="O327" i="1"/>
  <c r="O163" i="1"/>
  <c r="O505" i="1"/>
  <c r="O162" i="1"/>
  <c r="O161" i="1"/>
  <c r="O263" i="1"/>
  <c r="O38" i="1"/>
  <c r="O404" i="1"/>
  <c r="O144" i="1"/>
  <c r="O37" i="1"/>
  <c r="O326" i="1"/>
  <c r="O143" i="1"/>
  <c r="O325" i="1"/>
  <c r="O131" i="1"/>
  <c r="O36" i="1"/>
  <c r="O76" i="1"/>
  <c r="O35" i="1"/>
  <c r="O34" i="1"/>
  <c r="O33" i="1"/>
  <c r="O402" i="1"/>
  <c r="O32" i="1"/>
  <c r="O31" i="1"/>
  <c r="O30" i="1"/>
  <c r="O130" i="1"/>
  <c r="O129" i="1"/>
  <c r="O29" i="1"/>
  <c r="O28" i="1"/>
  <c r="O27" i="1"/>
  <c r="O26" i="1"/>
  <c r="O324" i="1"/>
  <c r="O323" i="1"/>
  <c r="O322" i="1"/>
  <c r="O321" i="1"/>
  <c r="O320" i="1"/>
  <c r="O319" i="1"/>
  <c r="O142" i="1"/>
  <c r="O128" i="1"/>
  <c r="O127" i="1"/>
  <c r="O599" i="1"/>
  <c r="O598" i="1"/>
  <c r="O318" i="1"/>
  <c r="O111" i="1"/>
  <c r="O70" i="1"/>
  <c r="O25" i="1"/>
  <c r="O68" i="1"/>
  <c r="O611" i="1"/>
  <c r="O610" i="1"/>
  <c r="O608" i="1"/>
  <c r="O607" i="1"/>
  <c r="O160" i="1"/>
  <c r="O126" i="1"/>
  <c r="O125" i="1"/>
  <c r="O124" i="1"/>
  <c r="O67" i="1"/>
  <c r="O110" i="1"/>
  <c r="O109" i="1"/>
  <c r="O108" i="1"/>
  <c r="O107" i="1"/>
  <c r="O106" i="1"/>
  <c r="O105" i="1"/>
  <c r="O104" i="1"/>
  <c r="O159" i="1"/>
  <c r="O252" i="1"/>
  <c r="O317" i="1"/>
  <c r="O24" i="1"/>
  <c r="O316" i="1"/>
  <c r="O315" i="1"/>
  <c r="O314" i="1"/>
  <c r="O158" i="1"/>
  <c r="O103" i="1"/>
  <c r="O313" i="1"/>
  <c r="O23" i="1"/>
  <c r="O102" i="1"/>
  <c r="O101" i="1"/>
  <c r="O312" i="1"/>
  <c r="O546" i="1"/>
  <c r="O311" i="1"/>
  <c r="O483" i="1"/>
  <c r="O260" i="1"/>
  <c r="O157" i="1"/>
  <c r="O310" i="1"/>
  <c r="O409" i="1"/>
  <c r="O408" i="1"/>
  <c r="O407" i="1"/>
  <c r="O406" i="1"/>
  <c r="O309" i="1"/>
  <c r="O22" i="1"/>
  <c r="O100" i="1"/>
  <c r="O21" i="1"/>
  <c r="O604" i="1"/>
  <c r="O543" i="1"/>
  <c r="O99" i="1"/>
  <c r="O20" i="1"/>
  <c r="O19" i="1"/>
  <c r="O308" i="1"/>
  <c r="O307" i="1"/>
  <c r="O98" i="1"/>
  <c r="O18" i="1"/>
  <c r="O17" i="1"/>
  <c r="O97" i="1"/>
  <c r="O597" i="1"/>
  <c r="O306" i="1"/>
  <c r="O156" i="1"/>
  <c r="O305" i="1"/>
  <c r="O304" i="1"/>
  <c r="O120" i="1"/>
  <c r="O119" i="1"/>
  <c r="O118" i="1"/>
  <c r="O601" i="1"/>
  <c r="O16" i="1"/>
  <c r="O117" i="1"/>
  <c r="O303" i="1"/>
  <c r="O296" i="1"/>
  <c r="O297" i="1"/>
  <c r="O394" i="1"/>
  <c r="O302" i="1"/>
  <c r="O301" i="1"/>
  <c r="O15" i="1"/>
  <c r="O155" i="1"/>
  <c r="O154" i="1"/>
  <c r="O300" i="1"/>
  <c r="O14" i="1"/>
  <c r="O13" i="1"/>
  <c r="O12" i="1"/>
  <c r="D132" i="3"/>
  <c r="D136" i="3"/>
  <c r="D213" i="3"/>
  <c r="D315" i="3"/>
  <c r="D300" i="3"/>
  <c r="D345" i="3"/>
  <c r="D478" i="3"/>
  <c r="D20" i="3"/>
  <c r="D302" i="3"/>
  <c r="D103" i="3"/>
  <c r="D496" i="3"/>
  <c r="D331" i="3"/>
  <c r="D377" i="3"/>
  <c r="D186" i="3"/>
  <c r="D206" i="3"/>
  <c r="D119" i="3"/>
  <c r="D173" i="3"/>
  <c r="D287" i="3"/>
  <c r="D439" i="3"/>
  <c r="D15" i="3"/>
  <c r="D450" i="3"/>
  <c r="D231" i="3"/>
  <c r="D433" i="3"/>
  <c r="D442" i="3"/>
  <c r="D30" i="3"/>
  <c r="D314" i="3"/>
  <c r="D524" i="3"/>
  <c r="D229" i="3"/>
  <c r="D410" i="3"/>
  <c r="D319" i="3"/>
  <c r="D106" i="3"/>
  <c r="D22" i="3"/>
  <c r="J9" i="7"/>
  <c r="I9" i="7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2" i="3"/>
  <c r="D514" i="3"/>
  <c r="D512" i="3"/>
  <c r="D511" i="3"/>
  <c r="D510" i="3"/>
  <c r="D509" i="3"/>
  <c r="D508" i="3"/>
  <c r="D483" i="3"/>
  <c r="D482" i="3"/>
  <c r="D481" i="3"/>
  <c r="D480" i="3"/>
  <c r="D464" i="3"/>
  <c r="D460" i="3"/>
  <c r="D444" i="3"/>
  <c r="D438" i="3"/>
  <c r="D436" i="3"/>
  <c r="D399" i="3"/>
  <c r="D391" i="3"/>
  <c r="D389" i="3"/>
  <c r="D388" i="3"/>
  <c r="D379" i="3"/>
  <c r="D378" i="3"/>
  <c r="D376" i="3"/>
  <c r="D375" i="3"/>
  <c r="D373" i="3"/>
  <c r="D372" i="3"/>
  <c r="D371" i="3"/>
  <c r="D366" i="3"/>
  <c r="D365" i="3"/>
  <c r="D364" i="3"/>
  <c r="D363" i="3"/>
  <c r="D362" i="3"/>
  <c r="D351" i="3"/>
  <c r="D336" i="3"/>
  <c r="D335" i="3"/>
  <c r="D334" i="3"/>
  <c r="D333" i="3"/>
  <c r="D332" i="3"/>
  <c r="D310" i="3"/>
  <c r="D309" i="3"/>
  <c r="D305" i="3"/>
  <c r="D296" i="3"/>
  <c r="D291" i="3"/>
  <c r="D257" i="3"/>
  <c r="D249" i="3"/>
  <c r="D235" i="3"/>
  <c r="D222" i="3"/>
  <c r="D219" i="3"/>
  <c r="D218" i="3"/>
  <c r="D217" i="3"/>
  <c r="D212" i="3"/>
  <c r="D211" i="3"/>
  <c r="D208" i="3"/>
  <c r="D181" i="3"/>
  <c r="D180" i="3"/>
  <c r="D169" i="3"/>
  <c r="D145" i="3"/>
  <c r="D125" i="3"/>
  <c r="D78" i="3"/>
  <c r="D70" i="3"/>
  <c r="D69" i="3"/>
  <c r="D44" i="3"/>
  <c r="D43" i="3"/>
  <c r="D42" i="3"/>
  <c r="D41" i="3"/>
  <c r="D40" i="3"/>
  <c r="D348" i="3" l="1"/>
  <c r="D308" i="3"/>
  <c r="D83" i="3"/>
  <c r="D202" i="3"/>
  <c r="D384" i="3"/>
  <c r="D89" i="3"/>
  <c r="D276" i="3"/>
  <c r="D178" i="3"/>
  <c r="D303" i="3"/>
  <c r="D111" i="3"/>
  <c r="D113" i="3"/>
  <c r="D457" i="3"/>
  <c r="D355" i="3"/>
  <c r="D272" i="3"/>
  <c r="D141" i="3"/>
  <c r="D273" i="3"/>
  <c r="D117" i="3"/>
  <c r="D312" i="3"/>
  <c r="D115" i="3"/>
  <c r="D288" i="3"/>
  <c r="D116" i="3"/>
  <c r="D183" i="3"/>
  <c r="D252" i="3"/>
  <c r="D75" i="3"/>
  <c r="D55" i="3"/>
  <c r="D224" i="3"/>
  <c r="D225" i="3"/>
  <c r="D265" i="3"/>
  <c r="D126" i="3"/>
  <c r="D127" i="3"/>
  <c r="D472" i="3"/>
  <c r="D23" i="3"/>
  <c r="D67" i="3"/>
  <c r="D327" i="3"/>
  <c r="D24" i="3"/>
  <c r="D329" i="3"/>
  <c r="D473" i="3"/>
  <c r="D451" i="3"/>
  <c r="D215" i="3"/>
  <c r="D216" i="3"/>
  <c r="D307" i="3"/>
  <c r="D306" i="3"/>
  <c r="D192" i="3"/>
  <c r="D13" i="3"/>
  <c r="D463" i="3"/>
  <c r="D14" i="3"/>
  <c r="D48" i="3"/>
  <c r="D112" i="3"/>
  <c r="D130" i="3"/>
  <c r="D221" i="3"/>
  <c r="D164" i="3"/>
  <c r="D197" i="3"/>
  <c r="D194" i="3"/>
  <c r="D17" i="3"/>
  <c r="D77" i="3"/>
  <c r="D121" i="3"/>
  <c r="D166" i="3"/>
  <c r="D18" i="3"/>
  <c r="D46" i="3"/>
  <c r="D499" i="3"/>
  <c r="D128" i="3"/>
  <c r="D175" i="3"/>
  <c r="D200" i="3"/>
  <c r="D247" i="3"/>
  <c r="D321" i="3"/>
  <c r="D176" i="3"/>
  <c r="D324" i="3"/>
  <c r="D289" i="3"/>
  <c r="D503" i="3"/>
  <c r="D515" i="3"/>
  <c r="D26" i="3"/>
  <c r="D50" i="3"/>
  <c r="D104" i="3"/>
  <c r="D392" i="3"/>
  <c r="D504" i="3"/>
  <c r="D232" i="3"/>
  <c r="D516" i="3"/>
  <c r="D330" i="3"/>
  <c r="D54" i="3"/>
  <c r="D79" i="3"/>
  <c r="D120" i="3"/>
  <c r="D144" i="3"/>
  <c r="D201" i="3"/>
  <c r="D268" i="3"/>
  <c r="D292" i="3"/>
  <c r="D360" i="3"/>
  <c r="D427" i="3"/>
  <c r="D157" i="3"/>
  <c r="D39" i="3"/>
  <c r="D280" i="3"/>
  <c r="D226" i="3"/>
  <c r="D21" i="3"/>
  <c r="D56" i="3"/>
  <c r="D80" i="3"/>
  <c r="D184" i="3"/>
  <c r="D233" i="3"/>
  <c r="D282" i="3"/>
  <c r="D361" i="3"/>
  <c r="D425" i="3"/>
  <c r="D467" i="3"/>
  <c r="D82" i="3"/>
  <c r="D170" i="3"/>
  <c r="D210" i="3"/>
  <c r="D234" i="3"/>
  <c r="D264" i="3"/>
  <c r="D320" i="3"/>
  <c r="D426" i="3"/>
  <c r="D449" i="3"/>
  <c r="D497" i="3"/>
  <c r="D198" i="3"/>
  <c r="D441" i="3"/>
  <c r="D471" i="3"/>
  <c r="D519" i="3"/>
  <c r="D90" i="3"/>
  <c r="D131" i="3"/>
  <c r="D165" i="3"/>
  <c r="D227" i="3"/>
  <c r="D251" i="3"/>
  <c r="D269" i="3"/>
  <c r="D323" i="3"/>
  <c r="D522" i="3"/>
  <c r="D474" i="3"/>
  <c r="D114" i="3"/>
  <c r="D204" i="3"/>
  <c r="D267" i="3"/>
  <c r="D193" i="3"/>
  <c r="D298" i="3"/>
  <c r="D313" i="3"/>
  <c r="D205" i="3"/>
  <c r="D16" i="3"/>
  <c r="D25" i="3"/>
  <c r="D93" i="3"/>
  <c r="D129" i="3"/>
  <c r="D177" i="3"/>
  <c r="D368" i="3"/>
  <c r="D109" i="3"/>
  <c r="D64" i="3"/>
  <c r="D506" i="3"/>
  <c r="D65" i="3"/>
  <c r="D475" i="3"/>
  <c r="D38" i="3"/>
  <c r="D47" i="3"/>
  <c r="D81" i="3"/>
  <c r="D279" i="3"/>
  <c r="D440" i="3"/>
  <c r="D479" i="3"/>
  <c r="D152" i="3"/>
  <c r="D447" i="3"/>
  <c r="D100" i="3"/>
  <c r="D122" i="3"/>
  <c r="D243" i="3"/>
  <c r="D491" i="3"/>
  <c r="D35" i="3"/>
  <c r="D57" i="3"/>
  <c r="D101" i="3"/>
  <c r="D154" i="3"/>
  <c r="D244" i="3"/>
  <c r="D387" i="3"/>
  <c r="D10" i="3"/>
  <c r="D58" i="3"/>
  <c r="D71" i="3"/>
  <c r="D102" i="3"/>
  <c r="D135" i="3"/>
  <c r="D155" i="3"/>
  <c r="D182" i="3"/>
  <c r="D245" i="3"/>
  <c r="D258" i="3"/>
  <c r="D409" i="3"/>
  <c r="D453" i="3"/>
  <c r="D29" i="3"/>
  <c r="D94" i="3"/>
  <c r="D236" i="3"/>
  <c r="D328" i="3"/>
  <c r="D153" i="3"/>
  <c r="D344" i="3"/>
  <c r="D400" i="3"/>
  <c r="D61" i="3"/>
  <c r="D72" i="3"/>
  <c r="D138" i="3"/>
  <c r="D174" i="3"/>
  <c r="D263" i="3"/>
  <c r="D356" i="3"/>
  <c r="D49" i="3"/>
  <c r="D62" i="3"/>
  <c r="D73" i="3"/>
  <c r="D223" i="3"/>
  <c r="D357" i="3"/>
  <c r="D456" i="3"/>
  <c r="D185" i="3"/>
  <c r="D343" i="3"/>
  <c r="D408" i="3"/>
  <c r="D407" i="3"/>
  <c r="D396" i="3"/>
  <c r="D161" i="3"/>
  <c r="D151" i="3"/>
  <c r="D88" i="3"/>
  <c r="D190" i="3"/>
  <c r="D150" i="3"/>
  <c r="D87" i="3"/>
  <c r="D339" i="3"/>
  <c r="D189" i="3"/>
  <c r="D85" i="3"/>
  <c r="D337" i="3"/>
  <c r="D295" i="3"/>
  <c r="D459" i="3"/>
  <c r="D458" i="3"/>
  <c r="D168" i="3"/>
  <c r="D207" i="3"/>
  <c r="D513" i="3"/>
  <c r="D242" i="3"/>
  <c r="D191" i="3"/>
  <c r="D34" i="3"/>
  <c r="D241" i="3"/>
  <c r="D33" i="3"/>
  <c r="D240" i="3"/>
  <c r="D32" i="3"/>
  <c r="D133" i="3"/>
  <c r="D95" i="3"/>
  <c r="D31" i="3"/>
  <c r="D419" i="3"/>
  <c r="D137" i="3"/>
  <c r="D214" i="3"/>
  <c r="D316" i="3"/>
  <c r="D341" i="3"/>
  <c r="D340" i="3"/>
  <c r="D239" i="3"/>
  <c r="D311" i="3"/>
  <c r="D394" i="3"/>
  <c r="D76" i="3"/>
  <c r="D448" i="3"/>
  <c r="D405" i="3"/>
  <c r="D393" i="3"/>
  <c r="D383" i="3"/>
  <c r="D404" i="3"/>
  <c r="D382" i="3"/>
  <c r="D146" i="3"/>
  <c r="D74" i="3"/>
  <c r="D99" i="3"/>
  <c r="D495" i="3"/>
  <c r="D423" i="3"/>
  <c r="D285" i="3"/>
  <c r="D98" i="3"/>
  <c r="D494" i="3"/>
  <c r="D422" i="3"/>
  <c r="D284" i="3"/>
  <c r="D97" i="3"/>
  <c r="D493" i="3"/>
  <c r="D421" i="3"/>
  <c r="D347" i="3"/>
  <c r="D283" i="3"/>
  <c r="D492" i="3"/>
  <c r="D346" i="3"/>
  <c r="D262" i="3"/>
  <c r="D261" i="3"/>
  <c r="D260" i="3"/>
  <c r="D259" i="3"/>
  <c r="D167" i="3"/>
  <c r="D118" i="3"/>
  <c r="D523" i="3"/>
  <c r="D105" i="3"/>
  <c r="D149" i="3"/>
  <c r="D158" i="3"/>
  <c r="D199" i="3"/>
  <c r="D250" i="3"/>
  <c r="D159" i="3"/>
  <c r="D354" i="3"/>
  <c r="D424" i="3"/>
  <c r="D518" i="3"/>
  <c r="D27" i="3"/>
  <c r="D290" i="3"/>
  <c r="D490" i="3"/>
  <c r="D148" i="3"/>
  <c r="D172" i="3"/>
  <c r="D437" i="3"/>
  <c r="D434" i="3"/>
  <c r="D353" i="3"/>
  <c r="D281" i="3"/>
  <c r="D19" i="3"/>
  <c r="D248" i="3"/>
  <c r="D498" i="3"/>
  <c r="D318" i="3"/>
  <c r="D322" i="3"/>
  <c r="D326" i="3"/>
  <c r="D462" i="3"/>
  <c r="D209" i="3"/>
  <c r="D317" i="3"/>
  <c r="D228" i="3"/>
  <c r="D406" i="3"/>
  <c r="D37" i="3"/>
  <c r="D45" i="3"/>
  <c r="D160" i="3"/>
  <c r="D352" i="3"/>
  <c r="D435" i="3"/>
  <c r="D68" i="3"/>
  <c r="D304" i="3"/>
  <c r="D230" i="3"/>
  <c r="D446" i="3"/>
  <c r="D270" i="3"/>
  <c r="D286" i="3"/>
  <c r="D520" i="3"/>
  <c r="D470" i="3"/>
  <c r="D66" i="3"/>
  <c r="D274" i="3"/>
  <c r="D380" i="3"/>
  <c r="D401" i="3"/>
  <c r="D9" i="3"/>
  <c r="D86" i="3"/>
  <c r="D142" i="3"/>
  <c r="D220" i="3"/>
  <c r="D266" i="3"/>
  <c r="D275" i="3"/>
  <c r="D402" i="3"/>
  <c r="D143" i="3"/>
  <c r="D299" i="3"/>
  <c r="D507" i="3"/>
  <c r="D53" i="3"/>
  <c r="D63" i="3"/>
  <c r="D110" i="3"/>
  <c r="D246" i="3"/>
  <c r="D36" i="3"/>
  <c r="D374" i="3"/>
  <c r="D477" i="3"/>
  <c r="D179" i="3"/>
  <c r="D476" i="3"/>
  <c r="D469" i="3"/>
  <c r="D203" i="3"/>
  <c r="D140" i="3"/>
  <c r="D381" i="3"/>
  <c r="D301" i="3"/>
  <c r="D139" i="3"/>
  <c r="D11" i="3"/>
  <c r="D414" i="3"/>
  <c r="D238" i="3"/>
  <c r="D84" i="3"/>
  <c r="D28" i="3"/>
  <c r="D397" i="3"/>
  <c r="D237" i="3"/>
  <c r="D452" i="3"/>
  <c r="D390" i="3"/>
  <c r="D124" i="3"/>
  <c r="D123" i="3"/>
  <c r="D342" i="3"/>
  <c r="D92" i="3"/>
  <c r="D91" i="3"/>
  <c r="D420" i="3"/>
  <c r="D188" i="3"/>
  <c r="D485" i="3"/>
  <c r="D413" i="3"/>
  <c r="D187" i="3"/>
  <c r="D484" i="3"/>
  <c r="D412" i="3"/>
  <c r="D350" i="3"/>
  <c r="D349" i="3"/>
  <c r="D107" i="3"/>
  <c r="D502" i="3"/>
  <c r="D196" i="3"/>
  <c r="D156" i="3"/>
  <c r="D501" i="3"/>
  <c r="D429" i="3"/>
  <c r="D195" i="3"/>
  <c r="D500" i="3"/>
  <c r="D428" i="3"/>
  <c r="D294" i="3"/>
  <c r="D293" i="3"/>
  <c r="D338" i="3"/>
  <c r="D411" i="3"/>
  <c r="D443" i="3"/>
  <c r="D465" i="3"/>
  <c r="D367" i="3"/>
  <c r="D415" i="3"/>
  <c r="D466" i="3"/>
  <c r="D386" i="3"/>
  <c r="D395" i="3"/>
  <c r="D416" i="3"/>
  <c r="D163" i="3"/>
  <c r="D51" i="3"/>
  <c r="D468" i="3"/>
  <c r="D108" i="3"/>
  <c r="D253" i="3"/>
  <c r="D59" i="3"/>
  <c r="D147" i="3"/>
  <c r="D171" i="3"/>
  <c r="D277" i="3"/>
  <c r="D325" i="3"/>
  <c r="D445" i="3"/>
  <c r="D461" i="3"/>
  <c r="D517" i="3"/>
  <c r="D12" i="3"/>
  <c r="D60" i="3"/>
  <c r="D278" i="3"/>
  <c r="D521" i="3" l="1"/>
  <c r="D370" i="3"/>
  <c r="D96" i="3"/>
  <c r="D359" i="3"/>
  <c r="D403" i="3"/>
  <c r="D489" i="3"/>
  <c r="D432" i="3"/>
  <c r="D486" i="3"/>
  <c r="D297" i="3"/>
  <c r="D487" i="3"/>
  <c r="D254" i="3"/>
  <c r="D358" i="3"/>
  <c r="D255" i="3"/>
  <c r="D52" i="3"/>
  <c r="D430" i="3"/>
  <c r="D417" i="3"/>
  <c r="D369" i="3"/>
  <c r="D134" i="3"/>
  <c r="D256" i="3"/>
  <c r="D454" i="3"/>
  <c r="D505" i="3"/>
  <c r="D162" i="3"/>
  <c r="D455" i="3"/>
  <c r="D431" i="3"/>
  <c r="D418" i="3"/>
  <c r="D385" i="3"/>
  <c r="D488" i="3"/>
  <c r="D39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S, Vinothkumar - Dell Team</author>
    <author>Chhabra, Komal - Dell Team</author>
  </authors>
  <commentList>
    <comment ref="G1" authorId="0" shapeId="0" xr:uid="{4238DC1F-183C-4364-A846-D06E668A97AD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# N/A , exluding Internal</t>
        </r>
      </text>
    </comment>
    <comment ref="F411" authorId="0" shapeId="0" xr:uid="{85EAC8C9-F8B3-46CF-85B5-2D964B4912B4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Kept on Hold by CZ
</t>
        </r>
      </text>
    </comment>
    <comment ref="B412" authorId="0" shapeId="0" xr:uid="{2C78B398-43A0-4D45-977E-27AC4206DAB9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CV02 HCS AMER Converged Infrastructure
CV03 HCS APJ Converged Infrastructure
CV04 HCS EMEA Converged Infrastructure
</t>
        </r>
      </text>
    </comment>
    <comment ref="B413" authorId="0" shapeId="0" xr:uid="{AE41F1BA-BB54-40E7-9D0F-1A2D41DA5F6D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CV05 HCS Global Converged Infrastructure</t>
        </r>
      </text>
    </comment>
    <comment ref="F414" authorId="0" shapeId="0" xr:uid="{CE36DC76-16D2-45E3-AB12-523CB5229D56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Kept on Hold by CZ
</t>
        </r>
      </text>
    </comment>
    <comment ref="R414" authorId="0" shapeId="0" xr:uid="{0F9B497B-81FC-4FDD-BDD9-59F56B519BB0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As confirmed by CZ on Dec Plan Review
</t>
        </r>
      </text>
    </comment>
    <comment ref="R472" authorId="0" shapeId="0" xr:uid="{0D27409C-31B4-4E81-BB85-CD3976F3C38A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As confirmed by CZ on Dec Plan Review
</t>
        </r>
      </text>
    </comment>
    <comment ref="R473" authorId="1" shapeId="0" xr:uid="{B6F50864-4063-4C5B-A556-139D00336F25}">
      <text>
        <r>
          <rPr>
            <b/>
            <sz val="9"/>
            <color indexed="81"/>
            <rFont val="Tahoma"/>
            <family val="2"/>
          </rPr>
          <t>Coverage has been changed as per CZ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77" authorId="1" shapeId="0" xr:uid="{11D04975-57AE-465C-BEC4-8E14CC59874B}">
      <text>
        <r>
          <rPr>
            <b/>
            <sz val="9"/>
            <color indexed="81"/>
            <rFont val="Tahoma"/>
            <family val="2"/>
          </rPr>
          <t>Coverage has been changed as per CZ</t>
        </r>
      </text>
    </comment>
    <comment ref="R479" authorId="1" shapeId="0" xr:uid="{6F85905B-F40C-48DE-8516-C7BD3B58E792}">
      <text>
        <r>
          <rPr>
            <sz val="9"/>
            <color indexed="81"/>
            <rFont val="Tahoma"/>
            <family val="2"/>
          </rPr>
          <t xml:space="preserve">Coverage has been changed as per CZ
</t>
        </r>
      </text>
    </comment>
    <comment ref="B488" authorId="0" shapeId="0" xr:uid="{42DE6953-7009-428C-B46D-5D37339510FC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IS20 HCS APJ VxRail
IV03 HCS APJ VxRail English NAMER AOH
IS47 HCS EMEA VxRail
IU29 HCS NAMER VxRail
</t>
        </r>
      </text>
    </comment>
    <comment ref="B489" authorId="0" shapeId="0" xr:uid="{AC206E02-5556-4DBF-B2A7-9D324464B5CC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GH13 HCS Global VxRail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S, Vinothkumar - Dell Team</author>
    <author>Chhabra, Komal - Dell Team</author>
  </authors>
  <commentList>
    <comment ref="G386" authorId="0" shapeId="0" xr:uid="{5D3136F7-6F70-4D48-98CF-826C63535A67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Kept on Hold by CZ
</t>
        </r>
      </text>
    </comment>
    <comment ref="G394" authorId="0" shapeId="0" xr:uid="{3D3B69A3-0942-40AF-A109-80CE78E2E361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Kept on Hold by CZ
</t>
        </r>
      </text>
    </comment>
    <comment ref="N394" authorId="0" shapeId="0" xr:uid="{36B14878-735A-4BEC-90E2-9B35CB14D23C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As confirmed by CZ on Dec Plan Review
</t>
        </r>
      </text>
    </comment>
    <comment ref="C429" authorId="0" shapeId="0" xr:uid="{B0C435B0-DD1D-403C-AEE1-6972615A8A07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CV02 HCS AMER Converged Infrastructure
CV03 HCS APJ Converged Infrastructure
CV04 HCS EMEA Converged Infrastructure
</t>
        </r>
      </text>
    </comment>
    <comment ref="C430" authorId="0" shapeId="0" xr:uid="{FEC298CB-0EBB-448B-90F1-A6DD4A29119F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CV05 HCS Global Converged Infrastructure</t>
        </r>
      </text>
    </comment>
    <comment ref="N508" authorId="0" shapeId="0" xr:uid="{5BCAFE9B-CD84-41B8-A30F-D77FA1E056E7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As confirmed by CZ on Dec Plan Review
</t>
        </r>
      </text>
    </comment>
    <comment ref="N509" authorId="1" shapeId="0" xr:uid="{2F5780DD-B1FB-49B7-AA6E-46814FBF892B}">
      <text>
        <r>
          <rPr>
            <b/>
            <sz val="9"/>
            <color indexed="81"/>
            <rFont val="Tahoma"/>
            <family val="2"/>
          </rPr>
          <t>Coverage has been changed as per CZ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513" authorId="1" shapeId="0" xr:uid="{D74FBB75-D154-4B39-B844-D4BDBF366FCA}">
      <text>
        <r>
          <rPr>
            <b/>
            <sz val="9"/>
            <color indexed="81"/>
            <rFont val="Tahoma"/>
            <family val="2"/>
          </rPr>
          <t>Coverage has been changed as per CZ</t>
        </r>
      </text>
    </comment>
    <comment ref="N515" authorId="1" shapeId="0" xr:uid="{5C09DD82-1EFB-46E8-A8C7-8FFDFF2F23DB}">
      <text>
        <r>
          <rPr>
            <sz val="9"/>
            <color indexed="81"/>
            <rFont val="Tahoma"/>
            <family val="2"/>
          </rPr>
          <t xml:space="preserve">Coverage has been changed as per CZ
</t>
        </r>
      </text>
    </comment>
    <comment ref="C522" authorId="0" shapeId="0" xr:uid="{A8940396-3CA6-4034-91EA-8E23A92AEAE9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IS20 HCS APJ VxRail
IV03 HCS APJ VxRail English NAMER AOH
IS47 HCS EMEA VxRail
IU29 HCS NAMER VxRail
</t>
        </r>
      </text>
    </comment>
    <comment ref="C523" authorId="0" shapeId="0" xr:uid="{5BB98BE7-2779-46E5-B798-BBA4618E2A9C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GH13 HCS Global VxRail</t>
        </r>
      </text>
    </comment>
  </commentList>
</comments>
</file>

<file path=xl/sharedStrings.xml><?xml version="1.0" encoding="utf-8"?>
<sst xmlns="http://schemas.openxmlformats.org/spreadsheetml/2006/main" count="43436" uniqueCount="2270">
  <si>
    <t>Domain</t>
  </si>
  <si>
    <t>LOB Alignment</t>
  </si>
  <si>
    <t>epicenter_cco_queue_code</t>
  </si>
  <si>
    <t>epicenter_cco_queue_desc</t>
  </si>
  <si>
    <t>Flag</t>
  </si>
  <si>
    <t>All</t>
  </si>
  <si>
    <t>AO06</t>
  </si>
  <si>
    <t>APJ Upsell-Operations Multi</t>
  </si>
  <si>
    <t>Y</t>
  </si>
  <si>
    <t>ES01</t>
  </si>
  <si>
    <t>EMEA Static Central</t>
  </si>
  <si>
    <t>RR03</t>
  </si>
  <si>
    <t>Support Ops ROLA</t>
  </si>
  <si>
    <t>CTE</t>
  </si>
  <si>
    <t>CT11</t>
  </si>
  <si>
    <t>CTE ANZ</t>
  </si>
  <si>
    <t>CT13</t>
  </si>
  <si>
    <t>CTE CCC</t>
  </si>
  <si>
    <t>CT14</t>
  </si>
  <si>
    <t>CTE IND</t>
  </si>
  <si>
    <t>CT15</t>
  </si>
  <si>
    <t>CTE JPN</t>
  </si>
  <si>
    <t>CT16</t>
  </si>
  <si>
    <t>CTE KOR</t>
  </si>
  <si>
    <t>CT18</t>
  </si>
  <si>
    <t>CTE SA</t>
  </si>
  <si>
    <t>CT95</t>
  </si>
  <si>
    <t>CTE NW IND</t>
  </si>
  <si>
    <t>CT96</t>
  </si>
  <si>
    <t>CTE Storage IND</t>
  </si>
  <si>
    <t>CTE2</t>
  </si>
  <si>
    <t>NA CTE Server</t>
  </si>
  <si>
    <t>CTE3</t>
  </si>
  <si>
    <t>EMEA SERVER CTE</t>
  </si>
  <si>
    <t>CTE4</t>
  </si>
  <si>
    <t>EMEA MODULAR CTE</t>
  </si>
  <si>
    <t>CTE6</t>
  </si>
  <si>
    <t>NA CTE Storage</t>
  </si>
  <si>
    <t>GCTE</t>
  </si>
  <si>
    <t>CTE Global English</t>
  </si>
  <si>
    <t>PS03</t>
  </si>
  <si>
    <t>Brazil ESG CTE</t>
  </si>
  <si>
    <t>SS03</t>
  </si>
  <si>
    <t>MMCLA ESG CTE</t>
  </si>
  <si>
    <t>DPD</t>
  </si>
  <si>
    <t>Avamar</t>
  </si>
  <si>
    <t>AP12</t>
  </si>
  <si>
    <t>APJ DPD AVAMAR Chinese</t>
  </si>
  <si>
    <t>GH01</t>
  </si>
  <si>
    <t>GLOBAL DPD AVAMAR</t>
  </si>
  <si>
    <t>HE36</t>
  </si>
  <si>
    <t>HES Global AVAMAR</t>
  </si>
  <si>
    <t>HEG4</t>
  </si>
  <si>
    <t>AMER English Avamar</t>
  </si>
  <si>
    <t>HEG8</t>
  </si>
  <si>
    <t>EMEA English Avamar</t>
  </si>
  <si>
    <t>IS11</t>
  </si>
  <si>
    <t>APJ DPD AVAMAR</t>
  </si>
  <si>
    <t>IS38</t>
  </si>
  <si>
    <t>EMEA DPD AVAMAR</t>
  </si>
  <si>
    <t>IS65</t>
  </si>
  <si>
    <t>India DPD AVAMAR</t>
  </si>
  <si>
    <t>IS92</t>
  </si>
  <si>
    <t>LATAM DPD AVAMAR</t>
  </si>
  <si>
    <t>IU20</t>
  </si>
  <si>
    <t>NAMER DPD AVAMAR</t>
  </si>
  <si>
    <t>Cloudboost</t>
  </si>
  <si>
    <t>GH02</t>
  </si>
  <si>
    <t>GLOBAL DPD Cloudboost</t>
  </si>
  <si>
    <t>HE44</t>
  </si>
  <si>
    <t>HES Global Cloudboost</t>
  </si>
  <si>
    <t>DataDomain</t>
  </si>
  <si>
    <t>AP14</t>
  </si>
  <si>
    <t>APJ DPD DataDomain Chinese</t>
  </si>
  <si>
    <t>GH03</t>
  </si>
  <si>
    <t>GLOBAL DPD DataDomain</t>
  </si>
  <si>
    <t>HE38</t>
  </si>
  <si>
    <t>HES Global DATADomain</t>
  </si>
  <si>
    <t>HEH6</t>
  </si>
  <si>
    <t>AMER English DataDomain</t>
  </si>
  <si>
    <t>HEJ1</t>
  </si>
  <si>
    <t>EMEA English DataDomain</t>
  </si>
  <si>
    <t>IS15</t>
  </si>
  <si>
    <t>APJ DPD DataDomain</t>
  </si>
  <si>
    <t>IS42</t>
  </si>
  <si>
    <t>EMEA DPD DataDomain</t>
  </si>
  <si>
    <t>IS69</t>
  </si>
  <si>
    <t>India DPD DataDomain</t>
  </si>
  <si>
    <t>IS96</t>
  </si>
  <si>
    <t>LATAM DPD DataDomain</t>
  </si>
  <si>
    <t>IU24</t>
  </si>
  <si>
    <t>NAMER DPD DataDomain</t>
  </si>
  <si>
    <t>DPA</t>
  </si>
  <si>
    <t>GH04</t>
  </si>
  <si>
    <t>GLOBAL DPD DPA</t>
  </si>
  <si>
    <t>HE42</t>
  </si>
  <si>
    <t>HES Global DPA</t>
  </si>
  <si>
    <t>IS98</t>
  </si>
  <si>
    <t>LATAM DPD DPA</t>
  </si>
  <si>
    <t>DPADSRT</t>
  </si>
  <si>
    <t>GH05</t>
  </si>
  <si>
    <t>GLOBAL DPD DPADSRT</t>
  </si>
  <si>
    <t>DPSolutions</t>
  </si>
  <si>
    <t>AP26</t>
  </si>
  <si>
    <t>APJ DPD DPSolutions Chinese</t>
  </si>
  <si>
    <t>GH06</t>
  </si>
  <si>
    <t>GLOBAL DPD DPSolutions</t>
  </si>
  <si>
    <t>IS19</t>
  </si>
  <si>
    <t>APJ DPD DPSolutions</t>
  </si>
  <si>
    <t>Networker</t>
  </si>
  <si>
    <t>AP18</t>
  </si>
  <si>
    <t>APJ DPD Networker Chinese</t>
  </si>
  <si>
    <t>GH08</t>
  </si>
  <si>
    <t>GLOBAL DPD Networker</t>
  </si>
  <si>
    <t>HE37</t>
  </si>
  <si>
    <t>HES Global Networker</t>
  </si>
  <si>
    <t>HED3</t>
  </si>
  <si>
    <t>AMER English Networker</t>
  </si>
  <si>
    <t>HED7</t>
  </si>
  <si>
    <t>EMEA English Networker</t>
  </si>
  <si>
    <t>IS23</t>
  </si>
  <si>
    <t>APJ DPD Networker</t>
  </si>
  <si>
    <t>IS50</t>
  </si>
  <si>
    <t>EMEA DPD Networker</t>
  </si>
  <si>
    <t>IS77</t>
  </si>
  <si>
    <t>India DPD Networker</t>
  </si>
  <si>
    <t>IU05</t>
  </si>
  <si>
    <t>LATAM DPD Networker</t>
  </si>
  <si>
    <t>IU32</t>
  </si>
  <si>
    <t>NAMER DPD Networker</t>
  </si>
  <si>
    <t>PowerProtect</t>
  </si>
  <si>
    <t>GH10</t>
  </si>
  <si>
    <t>GLOBAL DPD PowerProtect</t>
  </si>
  <si>
    <t>NAMER DPD PowerProtect</t>
  </si>
  <si>
    <t>PowerProtect Cyber</t>
  </si>
  <si>
    <t>GH25</t>
  </si>
  <si>
    <t>Global DPD PowerProtect Cyber</t>
  </si>
  <si>
    <t>RecoverPoint</t>
  </si>
  <si>
    <t>GH11</t>
  </si>
  <si>
    <t>GLOBAL DPD RecoverPoint</t>
  </si>
  <si>
    <t>HE39</t>
  </si>
  <si>
    <t>HES Global RecoverPoint</t>
  </si>
  <si>
    <t>Sourceone</t>
  </si>
  <si>
    <t>GH12</t>
  </si>
  <si>
    <t>GLOBAL DPD SOURCEONE</t>
  </si>
  <si>
    <t>HE43</t>
  </si>
  <si>
    <t>HES Global SOURCEONE</t>
  </si>
  <si>
    <t>Wipro</t>
  </si>
  <si>
    <t>HW03</t>
  </si>
  <si>
    <t>HES Global DPD Solutions WIPRO</t>
  </si>
  <si>
    <t>HW06</t>
  </si>
  <si>
    <t>HES Global RecoverPoint WIPRO</t>
  </si>
  <si>
    <t>E2E</t>
  </si>
  <si>
    <t>E2E Connectivity</t>
  </si>
  <si>
    <t>CT20</t>
  </si>
  <si>
    <t>GLOBAL E2E Connectivity</t>
  </si>
  <si>
    <t>HE53</t>
  </si>
  <si>
    <t>HES Global E2E CONNECTIVITY</t>
  </si>
  <si>
    <t>GNCS</t>
  </si>
  <si>
    <t>APEX</t>
  </si>
  <si>
    <t>AX01</t>
  </si>
  <si>
    <t>HCS Global APEX</t>
  </si>
  <si>
    <t>Converged</t>
  </si>
  <si>
    <t>CT19</t>
  </si>
  <si>
    <t>HCS Global Converged</t>
  </si>
  <si>
    <t>CV02</t>
  </si>
  <si>
    <t>HCS AMER Converged Infrastructure</t>
  </si>
  <si>
    <t>CV03</t>
  </si>
  <si>
    <t>HCS APJ Converged Infrastructure</t>
  </si>
  <si>
    <t>CV04</t>
  </si>
  <si>
    <t>HCS EMEA Converged Infrastructure</t>
  </si>
  <si>
    <t>CV05</t>
  </si>
  <si>
    <t>HCS Global Converged Infrastructure</t>
  </si>
  <si>
    <t>Hyperconverged</t>
  </si>
  <si>
    <t>AP15</t>
  </si>
  <si>
    <t>HCS APJ VxRail Chinese</t>
  </si>
  <si>
    <t>AP16</t>
  </si>
  <si>
    <t>HCS APJ VxRail Japanese</t>
  </si>
  <si>
    <t>BZ22</t>
  </si>
  <si>
    <t>HCS LATAM BRZ VxRail</t>
  </si>
  <si>
    <t>CT76</t>
  </si>
  <si>
    <t>GLOBAL VxRail CTE</t>
  </si>
  <si>
    <t>EG13</t>
  </si>
  <si>
    <t>HCS Global Cloud Solutions</t>
  </si>
  <si>
    <t>GH13</t>
  </si>
  <si>
    <t>HCS Global VxRail</t>
  </si>
  <si>
    <t>HE20</t>
  </si>
  <si>
    <t>HES Global Hyperconverged</t>
  </si>
  <si>
    <t>HE58</t>
  </si>
  <si>
    <t>German VXRail</t>
  </si>
  <si>
    <t>HE61</t>
  </si>
  <si>
    <t>French VXRail</t>
  </si>
  <si>
    <t>HE63</t>
  </si>
  <si>
    <t>UKI VXRail</t>
  </si>
  <si>
    <t>HE67</t>
  </si>
  <si>
    <t>Spanish VxRail</t>
  </si>
  <si>
    <t>HE71</t>
  </si>
  <si>
    <t>APJ English VxRail</t>
  </si>
  <si>
    <t>HE72</t>
  </si>
  <si>
    <t>HCS APJ VxRail Korean</t>
  </si>
  <si>
    <t>IS20</t>
  </si>
  <si>
    <t>HCS APJ VxRail</t>
  </si>
  <si>
    <t>IS47</t>
  </si>
  <si>
    <t>HCS EMEA VxRail</t>
  </si>
  <si>
    <t>IS74</t>
  </si>
  <si>
    <t>India GNCS Hyperconverged</t>
  </si>
  <si>
    <t>IU02</t>
  </si>
  <si>
    <t>HCS LATAM VxRail</t>
  </si>
  <si>
    <t>IU29</t>
  </si>
  <si>
    <t>HCS NAMER VxRail</t>
  </si>
  <si>
    <t>IV03</t>
  </si>
  <si>
    <t>HCS APJ VxRail English NAMER AOH</t>
  </si>
  <si>
    <t>RL15</t>
  </si>
  <si>
    <t>HCS LATAM MMCLA VxRail</t>
  </si>
  <si>
    <t>VX02</t>
  </si>
  <si>
    <t>NA VX Rail Storage</t>
  </si>
  <si>
    <t>VX03</t>
  </si>
  <si>
    <t>VXRail</t>
  </si>
  <si>
    <t>Powerflex</t>
  </si>
  <si>
    <t>GH14</t>
  </si>
  <si>
    <t>HCS Global PowerFlex</t>
  </si>
  <si>
    <t>VMWare</t>
  </si>
  <si>
    <t>CT29</t>
  </si>
  <si>
    <t>HCS Global Vmware</t>
  </si>
  <si>
    <t>Global Solutions</t>
  </si>
  <si>
    <t>GH15</t>
  </si>
  <si>
    <t>HCS Global Solutions</t>
  </si>
  <si>
    <t>HE30</t>
  </si>
  <si>
    <t>HES Global Solutions</t>
  </si>
  <si>
    <t>Midrange</t>
  </si>
  <si>
    <t>AP22</t>
  </si>
  <si>
    <t>APJ HES MIDRANGE Chinese</t>
  </si>
  <si>
    <t>AP23</t>
  </si>
  <si>
    <t>APJ HES MIDRANGE Japanese</t>
  </si>
  <si>
    <t>CT26</t>
  </si>
  <si>
    <t>Global ESG Midrange Storage</t>
  </si>
  <si>
    <t>GH22</t>
  </si>
  <si>
    <t>GLOBAL HES MIDRANGE</t>
  </si>
  <si>
    <t>HE59</t>
  </si>
  <si>
    <t>German Midrange</t>
  </si>
  <si>
    <t>HE62</t>
  </si>
  <si>
    <t>French Midrange</t>
  </si>
  <si>
    <t>HE64</t>
  </si>
  <si>
    <t>UKI Midrange</t>
  </si>
  <si>
    <t>HE66</t>
  </si>
  <si>
    <t>Italian Midrange</t>
  </si>
  <si>
    <t>HE68</t>
  </si>
  <si>
    <t>Spanish Midrange</t>
  </si>
  <si>
    <t>HE70</t>
  </si>
  <si>
    <t>APJ English Midrange</t>
  </si>
  <si>
    <t>HE74</t>
  </si>
  <si>
    <t>WIPRO AMER Midrange</t>
  </si>
  <si>
    <t>IS34</t>
  </si>
  <si>
    <t>APJ HES MIDRANGE</t>
  </si>
  <si>
    <t>IS61</t>
  </si>
  <si>
    <t>EMEA HES MIDRANGE</t>
  </si>
  <si>
    <t>IS88</t>
  </si>
  <si>
    <t>INDIA HES MIDRANGE</t>
  </si>
  <si>
    <t>IU16</t>
  </si>
  <si>
    <t>LATAM HES MIDRANGE</t>
  </si>
  <si>
    <t>IU43</t>
  </si>
  <si>
    <t>NAMER HES MIDRANGE</t>
  </si>
  <si>
    <t>VX01</t>
  </si>
  <si>
    <t>NA Midrange Storage VNX/e</t>
  </si>
  <si>
    <t>VX04</t>
  </si>
  <si>
    <t>Midrange Storage VNX/e</t>
  </si>
  <si>
    <t>Networking</t>
  </si>
  <si>
    <t>AM04</t>
  </si>
  <si>
    <t>Networking ProSupport Analysts US</t>
  </si>
  <si>
    <t>AM05</t>
  </si>
  <si>
    <t>Networking ProSupport RTSE US</t>
  </si>
  <si>
    <t>AZ09</t>
  </si>
  <si>
    <t>Networking ProSupport ANZ</t>
  </si>
  <si>
    <t>BZ15</t>
  </si>
  <si>
    <t>Networking ProSupport BRZ</t>
  </si>
  <si>
    <t>CC05</t>
  </si>
  <si>
    <t>Networking CCC</t>
  </si>
  <si>
    <t>CT30</t>
  </si>
  <si>
    <t>Global Networking</t>
  </si>
  <si>
    <t>DE09</t>
  </si>
  <si>
    <t>GER Networking (HAL)</t>
  </si>
  <si>
    <t>FR07</t>
  </si>
  <si>
    <t>FRA Networking (MTP)</t>
  </si>
  <si>
    <t>GB13</t>
  </si>
  <si>
    <t>UKI Networking (CWD)</t>
  </si>
  <si>
    <t>INT1</t>
  </si>
  <si>
    <t>Networking IND</t>
  </si>
  <si>
    <t>JP29</t>
  </si>
  <si>
    <t>Networking Pro/Core Japan</t>
  </si>
  <si>
    <t>KR13</t>
  </si>
  <si>
    <t>Networking KOR</t>
  </si>
  <si>
    <t>MY11</t>
  </si>
  <si>
    <t>Networking Pro Core SA</t>
  </si>
  <si>
    <t>NE07</t>
  </si>
  <si>
    <t>Networking Basic US</t>
  </si>
  <si>
    <t>NE20</t>
  </si>
  <si>
    <t>Networking ProSupport US</t>
  </si>
  <si>
    <t>RL16</t>
  </si>
  <si>
    <t>Networking ProSupport ROLA</t>
  </si>
  <si>
    <t>ROEN</t>
  </si>
  <si>
    <t>ROE Networking (MULTI)</t>
  </si>
  <si>
    <t>Primary</t>
  </si>
  <si>
    <t>BSAFE</t>
  </si>
  <si>
    <t>CT23</t>
  </si>
  <si>
    <t>GLOBAL HES BSAFE</t>
  </si>
  <si>
    <t>Connectivity</t>
  </si>
  <si>
    <t>AP13</t>
  </si>
  <si>
    <t>APJ HES Connectivity Chinese</t>
  </si>
  <si>
    <t>GH16</t>
  </si>
  <si>
    <t>GLOBAL HES Connectivity</t>
  </si>
  <si>
    <t>HE29</t>
  </si>
  <si>
    <t>HES Global Connectivity</t>
  </si>
  <si>
    <t>HEA2</t>
  </si>
  <si>
    <t>EMEA English Connectivity</t>
  </si>
  <si>
    <t>HEA5</t>
  </si>
  <si>
    <t>AMER English Connectivity</t>
  </si>
  <si>
    <t>IS14</t>
  </si>
  <si>
    <t>APJ HES Connectivity</t>
  </si>
  <si>
    <t>IS41</t>
  </si>
  <si>
    <t>EMEA HES Connectivity</t>
  </si>
  <si>
    <t>IS68</t>
  </si>
  <si>
    <t>India HES Connectivity</t>
  </si>
  <si>
    <t>IU23</t>
  </si>
  <si>
    <t>NAMER HES Connectivity</t>
  </si>
  <si>
    <t>IU23a</t>
  </si>
  <si>
    <t>DLM</t>
  </si>
  <si>
    <t>GH17</t>
  </si>
  <si>
    <t>GLOBAL HES DLM</t>
  </si>
  <si>
    <t>HE26</t>
  </si>
  <si>
    <t>HES Global DLM</t>
  </si>
  <si>
    <t>HE40</t>
  </si>
  <si>
    <t>HES Global DPADSRT</t>
  </si>
  <si>
    <t>HE41</t>
  </si>
  <si>
    <t>HES Global DPSolutions</t>
  </si>
  <si>
    <t>Integrated_Software</t>
  </si>
  <si>
    <t>AP17</t>
  </si>
  <si>
    <t>APJ HES Integrated_Software Chinese</t>
  </si>
  <si>
    <t>GH18</t>
  </si>
  <si>
    <t>GLOBAL HES Integrated_Software</t>
  </si>
  <si>
    <t>HE12</t>
  </si>
  <si>
    <t>HES Global Integrated Software</t>
  </si>
  <si>
    <t>HEB4</t>
  </si>
  <si>
    <t>AMER English Integrated Software</t>
  </si>
  <si>
    <t>HEB5</t>
  </si>
  <si>
    <t>IS21</t>
  </si>
  <si>
    <t>APJ HES Integrated_Software</t>
  </si>
  <si>
    <t>IS48</t>
  </si>
  <si>
    <t>EMEA HES Integrated_Software</t>
  </si>
  <si>
    <t>IS75</t>
  </si>
  <si>
    <t>India HES Integrated_Software</t>
  </si>
  <si>
    <t>IU30</t>
  </si>
  <si>
    <t>NAMER HES Integrated_Software</t>
  </si>
  <si>
    <t>Mainframe</t>
  </si>
  <si>
    <t>GH19</t>
  </si>
  <si>
    <t>GLOBAL HES Mainframe</t>
  </si>
  <si>
    <t>HE25</t>
  </si>
  <si>
    <t>HES Global Mainframe</t>
  </si>
  <si>
    <t>Symmetrix</t>
  </si>
  <si>
    <t>AP19</t>
  </si>
  <si>
    <t>APJ HES Symmetrix Chinese</t>
  </si>
  <si>
    <t>AP20</t>
  </si>
  <si>
    <t>APJ HES Symmetrix Japanese</t>
  </si>
  <si>
    <t>GH20</t>
  </si>
  <si>
    <t>GLOBAL HES Symmetrix</t>
  </si>
  <si>
    <t>HE22</t>
  </si>
  <si>
    <t>HES Global Symmetrix</t>
  </si>
  <si>
    <t>HE81</t>
  </si>
  <si>
    <t>EMEA English VMAX</t>
  </si>
  <si>
    <t>HE85</t>
  </si>
  <si>
    <t>AMER English VMAX</t>
  </si>
  <si>
    <t>HE93</t>
  </si>
  <si>
    <t>EMEA English Vplex</t>
  </si>
  <si>
    <t>HE95</t>
  </si>
  <si>
    <t>AMER English Vplex</t>
  </si>
  <si>
    <t>HEK8</t>
  </si>
  <si>
    <t>APJ HES Symmetrix Korean</t>
  </si>
  <si>
    <t>IS31</t>
  </si>
  <si>
    <t>APJ HES Symmetrix</t>
  </si>
  <si>
    <t>IS58</t>
  </si>
  <si>
    <t>EMEA HES Symmetrix</t>
  </si>
  <si>
    <t>IS85</t>
  </si>
  <si>
    <t>India HES Symmetrix</t>
  </si>
  <si>
    <t>IU13</t>
  </si>
  <si>
    <t>LATAM HES Symmetrix</t>
  </si>
  <si>
    <t>IU40</t>
  </si>
  <si>
    <t>NAMER HES Symmetrix</t>
  </si>
  <si>
    <t>Symmsw</t>
  </si>
  <si>
    <t>AP21</t>
  </si>
  <si>
    <t>APJ HES SymmSW Chinese</t>
  </si>
  <si>
    <t>GH21</t>
  </si>
  <si>
    <t>GLOBAL HES SymmSW</t>
  </si>
  <si>
    <t>HE23</t>
  </si>
  <si>
    <t>HES Global SymmSW</t>
  </si>
  <si>
    <t>IS32</t>
  </si>
  <si>
    <t>APJ HES SymmSW</t>
  </si>
  <si>
    <t>IS59</t>
  </si>
  <si>
    <t>EMEA HES SymmSW</t>
  </si>
  <si>
    <t>IS86</t>
  </si>
  <si>
    <t>India HES SymmSW</t>
  </si>
  <si>
    <t>IU14</t>
  </si>
  <si>
    <t>LATAM HES SymmSW</t>
  </si>
  <si>
    <t>IU41</t>
  </si>
  <si>
    <t>NAMER HES SymmSW</t>
  </si>
  <si>
    <t>Vplex</t>
  </si>
  <si>
    <t>AP24</t>
  </si>
  <si>
    <t>APJ HES Vplex Chinese</t>
  </si>
  <si>
    <t>GH23</t>
  </si>
  <si>
    <t>GLOBAL HES Vplex</t>
  </si>
  <si>
    <t>HE24</t>
  </si>
  <si>
    <t>HES Global Vplex</t>
  </si>
  <si>
    <t>IS36</t>
  </si>
  <si>
    <t>APJ HES Vplex</t>
  </si>
  <si>
    <t>IS63</t>
  </si>
  <si>
    <t>EMEA HES Vplex</t>
  </si>
  <si>
    <t>IS90</t>
  </si>
  <si>
    <t>India HES Vplex</t>
  </si>
  <si>
    <t>IU45</t>
  </si>
  <si>
    <t>NAMER HES Vplex</t>
  </si>
  <si>
    <t>IU45a</t>
  </si>
  <si>
    <t>XtremIO</t>
  </si>
  <si>
    <t>GH24</t>
  </si>
  <si>
    <t>GLOBAL HES XtremIO</t>
  </si>
  <si>
    <t>HE28</t>
  </si>
  <si>
    <t>HES Global XtremIO</t>
  </si>
  <si>
    <t>HEA9</t>
  </si>
  <si>
    <t>EMEA English XtremIO</t>
  </si>
  <si>
    <t>HEB0</t>
  </si>
  <si>
    <t>AMER English XtremIO</t>
  </si>
  <si>
    <t>IS37</t>
  </si>
  <si>
    <t>APJ HES XtremIO</t>
  </si>
  <si>
    <t>IS64</t>
  </si>
  <si>
    <t>EMEA HES XtremIO</t>
  </si>
  <si>
    <t>IS91</t>
  </si>
  <si>
    <t>India HES XtremIO</t>
  </si>
  <si>
    <t>IU46</t>
  </si>
  <si>
    <t>NAMER HES XtremIO</t>
  </si>
  <si>
    <t>RPS</t>
  </si>
  <si>
    <t>CT67</t>
  </si>
  <si>
    <t>RPS Remote Proactive Services</t>
  </si>
  <si>
    <t>Server</t>
  </si>
  <si>
    <t>Enterprise</t>
  </si>
  <si>
    <t>BR02</t>
  </si>
  <si>
    <t>Brazil Senior and Master Engineer</t>
  </si>
  <si>
    <t>AZ10</t>
  </si>
  <si>
    <t>Server ProSupport ANZ</t>
  </si>
  <si>
    <t>AZ16</t>
  </si>
  <si>
    <t>Enterprise ANZ AOH</t>
  </si>
  <si>
    <t>BAH1</t>
  </si>
  <si>
    <t>Brazil Enterprise AH</t>
  </si>
  <si>
    <t>BT01</t>
  </si>
  <si>
    <t>BRZ Enterprise Top Customers</t>
  </si>
  <si>
    <t>BW01</t>
  </si>
  <si>
    <t>Enterprise Prosupport CCC BW</t>
  </si>
  <si>
    <t>BX02</t>
  </si>
  <si>
    <t>ENG ProSupp Dutch Server (CWD)</t>
  </si>
  <si>
    <t>BZ10</t>
  </si>
  <si>
    <t>BRZ HC Server Voice (EL)</t>
  </si>
  <si>
    <t>BZ13</t>
  </si>
  <si>
    <t>BRZ LC Server Voice (EL)</t>
  </si>
  <si>
    <t>CC04</t>
  </si>
  <si>
    <t>CCC Enterprise CMG BW</t>
  </si>
  <si>
    <t>CC07</t>
  </si>
  <si>
    <t>Enterprise Core CCC</t>
  </si>
  <si>
    <t>CC14</t>
  </si>
  <si>
    <t>Enterprise HK MultiChannel</t>
  </si>
  <si>
    <t>CC27</t>
  </si>
  <si>
    <t>Server Combined CCC</t>
  </si>
  <si>
    <t>CCB1</t>
  </si>
  <si>
    <t>Enterprise Core CCC BW</t>
  </si>
  <si>
    <t>CE03</t>
  </si>
  <si>
    <t>Server/Networking Echannel CCC</t>
  </si>
  <si>
    <t>CT25</t>
  </si>
  <si>
    <t>Global Compute Hardware</t>
  </si>
  <si>
    <t>CT27</t>
  </si>
  <si>
    <t>Global Compute Software</t>
  </si>
  <si>
    <t>CZ03</t>
  </si>
  <si>
    <t>GER_CZE Enterprise (BRA)</t>
  </si>
  <si>
    <t>DE07</t>
  </si>
  <si>
    <t>GER ProSupp Server Email (HAL)</t>
  </si>
  <si>
    <t>DE08</t>
  </si>
  <si>
    <t>GER Modular (HAL)</t>
  </si>
  <si>
    <t>DE10</t>
  </si>
  <si>
    <t>GER ProSupp OWR Ent (HAL)</t>
  </si>
  <si>
    <t>DE12</t>
  </si>
  <si>
    <t>GER Solutions (HAL)</t>
  </si>
  <si>
    <t>DE13</t>
  </si>
  <si>
    <t>GER ProSupp Enterprise (HAL)</t>
  </si>
  <si>
    <t>DP01</t>
  </si>
  <si>
    <t>DSP OEM</t>
  </si>
  <si>
    <t>EC03</t>
  </si>
  <si>
    <t>EC GRE ProSupp Server (MTP)</t>
  </si>
  <si>
    <t>EC06</t>
  </si>
  <si>
    <t>EC Server Basic Hebrew (CGS) NET</t>
  </si>
  <si>
    <t>EC07</t>
  </si>
  <si>
    <t>EC ProSupp Server Hebrew (CGS)</t>
  </si>
  <si>
    <t>EC14</t>
  </si>
  <si>
    <t>EC POL Enterprise (HAL)</t>
  </si>
  <si>
    <t>EC21</t>
  </si>
  <si>
    <t>EC RUS Enterprise (HAL)</t>
  </si>
  <si>
    <t>EC30</t>
  </si>
  <si>
    <t>EC Basic Enterprise (CAS)</t>
  </si>
  <si>
    <t>EC32</t>
  </si>
  <si>
    <t>EC ProSupp Server Arabic (CAS)</t>
  </si>
  <si>
    <t>EC33</t>
  </si>
  <si>
    <t>EC ProSupp Server Turkish (HAL)</t>
  </si>
  <si>
    <t>EC34</t>
  </si>
  <si>
    <t>EC ProSupp Server CEE (HAL)</t>
  </si>
  <si>
    <t>FED4</t>
  </si>
  <si>
    <t>Federal Server US</t>
  </si>
  <si>
    <t>FR05</t>
  </si>
  <si>
    <t>FRA Basic Enterprise (CAS)</t>
  </si>
  <si>
    <t>FR06</t>
  </si>
  <si>
    <t>FRA Modular (MTP)</t>
  </si>
  <si>
    <t>FR08</t>
  </si>
  <si>
    <t>FRA Solutions (MTP)</t>
  </si>
  <si>
    <t>FR09</t>
  </si>
  <si>
    <t>FRA ProSupport Server (CAS)</t>
  </si>
  <si>
    <t>FR11</t>
  </si>
  <si>
    <t>FRA ProSupport Plus Server (MTP)</t>
  </si>
  <si>
    <t>FR12</t>
  </si>
  <si>
    <t>FRA ProSupp Server Alternate</t>
  </si>
  <si>
    <t>GB08</t>
  </si>
  <si>
    <t>UKISA Basic Enterprise (BGL)</t>
  </si>
  <si>
    <t>GB11</t>
  </si>
  <si>
    <t>ENG Modular (CWD)</t>
  </si>
  <si>
    <t>GB14</t>
  </si>
  <si>
    <t>ENG Solutions (CWD)</t>
  </si>
  <si>
    <t>GB16</t>
  </si>
  <si>
    <t>ENG ProSupp Server 247 (CWD)</t>
  </si>
  <si>
    <t>GB18</t>
  </si>
  <si>
    <t>ENG ProSupp Server</t>
  </si>
  <si>
    <t>HC07</t>
  </si>
  <si>
    <t>German Trainees</t>
  </si>
  <si>
    <t>ID06</t>
  </si>
  <si>
    <t>Enterprise Pro/Core ID</t>
  </si>
  <si>
    <t>IN15</t>
  </si>
  <si>
    <t>Server Core IND</t>
  </si>
  <si>
    <t>IN16</t>
  </si>
  <si>
    <t>Server ProSupport IND</t>
  </si>
  <si>
    <t>IT04</t>
  </si>
  <si>
    <t>ITA Basic Enterprise (CAS)</t>
  </si>
  <si>
    <t>IT08</t>
  </si>
  <si>
    <t>ITA ProSupp Server (MTP)</t>
  </si>
  <si>
    <t>JP24</t>
  </si>
  <si>
    <t>Server Pro/Core Japan</t>
  </si>
  <si>
    <t>JP26</t>
  </si>
  <si>
    <t>Server ProSupport Plus Japan</t>
  </si>
  <si>
    <t>KR05</t>
  </si>
  <si>
    <t>Enterprise Core KOR</t>
  </si>
  <si>
    <t>KR12</t>
  </si>
  <si>
    <t>Server ProSupport KOR</t>
  </si>
  <si>
    <t>MR03</t>
  </si>
  <si>
    <t>MMCLA Server Voice (PAN)</t>
  </si>
  <si>
    <t>ND02</t>
  </si>
  <si>
    <t>ENG ProSupp Nordics Server (CWD)</t>
  </si>
  <si>
    <t>ND03</t>
  </si>
  <si>
    <t>Nordics Enterprise (TUR)</t>
  </si>
  <si>
    <t>NE02</t>
  </si>
  <si>
    <t>Backup Solution HC US</t>
  </si>
  <si>
    <t>NE04</t>
  </si>
  <si>
    <t>Enterprise Triage Queue US</t>
  </si>
  <si>
    <t>NE06</t>
  </si>
  <si>
    <t>PowerEdge After Hours US</t>
  </si>
  <si>
    <t>NE08</t>
  </si>
  <si>
    <t>NA Server Basic Chat (BNG)</t>
  </si>
  <si>
    <t>NE09</t>
  </si>
  <si>
    <t>NA Server Basic (BNG)</t>
  </si>
  <si>
    <t>NE13</t>
  </si>
  <si>
    <t>PowerEdge Alternate Channel US</t>
  </si>
  <si>
    <t>NE25</t>
  </si>
  <si>
    <t>Server ProSupport Chat US</t>
  </si>
  <si>
    <t>NE31</t>
  </si>
  <si>
    <t>PS One</t>
  </si>
  <si>
    <t>NE33</t>
  </si>
  <si>
    <t>Modular US</t>
  </si>
  <si>
    <t>NE35</t>
  </si>
  <si>
    <t>RT Linux / Virtualization US</t>
  </si>
  <si>
    <t>NE36</t>
  </si>
  <si>
    <t>RT Microsoft US</t>
  </si>
  <si>
    <t>NE38</t>
  </si>
  <si>
    <t>Compute High Complexity</t>
  </si>
  <si>
    <t>PF01</t>
  </si>
  <si>
    <t>PS One Field Consultant</t>
  </si>
  <si>
    <t>PG01</t>
  </si>
  <si>
    <t>POR ProSupp Server (MTP)</t>
  </si>
  <si>
    <t>PH08</t>
  </si>
  <si>
    <t>Enterprise Pro/Core PH</t>
  </si>
  <si>
    <t>RAH1</t>
  </si>
  <si>
    <t>ROLA Enterprise AH</t>
  </si>
  <si>
    <t>RL18</t>
  </si>
  <si>
    <t>MMCLA LC Server Voice (PAN)</t>
  </si>
  <si>
    <t>RL19</t>
  </si>
  <si>
    <t>MMCLA HC Server Voice (PAN)</t>
  </si>
  <si>
    <t>RTC1</t>
  </si>
  <si>
    <t>ROLA Enterprise Top Customers</t>
  </si>
  <si>
    <t>SA10</t>
  </si>
  <si>
    <t>Enterprise SA</t>
  </si>
  <si>
    <t>SP04</t>
  </si>
  <si>
    <t>SPA Basic Enterprise (CAS)</t>
  </si>
  <si>
    <t>SP09</t>
  </si>
  <si>
    <t>SPA ProSupp Server (MTP)</t>
  </si>
  <si>
    <t>TH07</t>
  </si>
  <si>
    <t>Enterprise Pro/Core TH</t>
  </si>
  <si>
    <t>UK03</t>
  </si>
  <si>
    <t>BLR Ent Basic (Alternate)</t>
  </si>
  <si>
    <t>UPP1</t>
  </si>
  <si>
    <t>ENG ProSupport Plus Server</t>
  </si>
  <si>
    <t>VN03</t>
  </si>
  <si>
    <t>Enterprise Pro/Core VN</t>
  </si>
  <si>
    <t>Storage</t>
  </si>
  <si>
    <t>AZ11</t>
  </si>
  <si>
    <t>Storage ProSupport ANZ</t>
  </si>
  <si>
    <t>BPS1</t>
  </si>
  <si>
    <t>Brazil Powerstore</t>
  </si>
  <si>
    <t>BZ11</t>
  </si>
  <si>
    <t>BRZ HC Storage Voice (EL)</t>
  </si>
  <si>
    <t>BZ14</t>
  </si>
  <si>
    <t>BRZ LC Storage Voice (EL)</t>
  </si>
  <si>
    <t>CC10</t>
  </si>
  <si>
    <t>Storage ProSupport CCC</t>
  </si>
  <si>
    <t>CE02</t>
  </si>
  <si>
    <t>Storage Echannel CCC</t>
  </si>
  <si>
    <t>DE17</t>
  </si>
  <si>
    <t>German Storage</t>
  </si>
  <si>
    <t>EC39</t>
  </si>
  <si>
    <t>EC ProSupp Storage</t>
  </si>
  <si>
    <t>FED6</t>
  </si>
  <si>
    <t>US Federal Support Storage</t>
  </si>
  <si>
    <t>FR13</t>
  </si>
  <si>
    <t>ProSupp EQL (MTP)</t>
  </si>
  <si>
    <t>FR23</t>
  </si>
  <si>
    <t>FRA ProSupp Storage (MTP)</t>
  </si>
  <si>
    <t>FR27</t>
  </si>
  <si>
    <t>France Storage</t>
  </si>
  <si>
    <t>GB09</t>
  </si>
  <si>
    <t>ProSupp Storage Co Pilot (CWD)</t>
  </si>
  <si>
    <t>GB10</t>
  </si>
  <si>
    <t>ProSupp EQL (CWD)</t>
  </si>
  <si>
    <t>GB21</t>
  </si>
  <si>
    <t>ProSupp Storage 247 (CWD)</t>
  </si>
  <si>
    <t>GB29</t>
  </si>
  <si>
    <t>EMEA ProSupport Powerstore</t>
  </si>
  <si>
    <t>GB31</t>
  </si>
  <si>
    <t>UKI Storage</t>
  </si>
  <si>
    <t>GG01</t>
  </si>
  <si>
    <t>GER ProSupp Storage Co Pilot</t>
  </si>
  <si>
    <t>Global Powerstore</t>
  </si>
  <si>
    <t>GP01</t>
  </si>
  <si>
    <t>IN14</t>
  </si>
  <si>
    <t>Storage IND</t>
  </si>
  <si>
    <t>JP25</t>
  </si>
  <si>
    <t>Storage Pro/Core Japan</t>
  </si>
  <si>
    <t>KR11</t>
  </si>
  <si>
    <t>Storage ProSupport KOR</t>
  </si>
  <si>
    <t>MY14</t>
  </si>
  <si>
    <t>Storage ProSupport SA</t>
  </si>
  <si>
    <t>NE05</t>
  </si>
  <si>
    <t>Storage PS MD US</t>
  </si>
  <si>
    <t>NE14</t>
  </si>
  <si>
    <t>Compellent Copilot US</t>
  </si>
  <si>
    <t>NE27</t>
  </si>
  <si>
    <t>NA ProSupp Storage eSupport</t>
  </si>
  <si>
    <t>PS10</t>
  </si>
  <si>
    <t>Powerstore US</t>
  </si>
  <si>
    <t>RL05</t>
  </si>
  <si>
    <t>Storage ROLA</t>
  </si>
  <si>
    <t>RPS1</t>
  </si>
  <si>
    <t>MMCLA Powerstore</t>
  </si>
  <si>
    <t>UK06</t>
  </si>
  <si>
    <t>EMEA ProSupport Compellent</t>
  </si>
  <si>
    <t>UK07</t>
  </si>
  <si>
    <t>EMEA ProSupport Powervault</t>
  </si>
  <si>
    <t>UDS</t>
  </si>
  <si>
    <t>Isilon</t>
  </si>
  <si>
    <t>AP10</t>
  </si>
  <si>
    <t>APJ UDS Isilon Chinese</t>
  </si>
  <si>
    <t>AP11</t>
  </si>
  <si>
    <t>APJ UDS Isilon Japanese</t>
  </si>
  <si>
    <t>CT91</t>
  </si>
  <si>
    <t>EMEA ISILON CTE</t>
  </si>
  <si>
    <t>GH07</t>
  </si>
  <si>
    <t>GLOBAL UDS Isilon</t>
  </si>
  <si>
    <t>HE06</t>
  </si>
  <si>
    <t>HES Global Isilon Support</t>
  </si>
  <si>
    <t>HE47</t>
  </si>
  <si>
    <t>HES Global Isilon</t>
  </si>
  <si>
    <t>HE78</t>
  </si>
  <si>
    <t>NA Isilon HE Storage Voice</t>
  </si>
  <si>
    <t>HEC5</t>
  </si>
  <si>
    <t>Amer English Isilon</t>
  </si>
  <si>
    <t>HEC6</t>
  </si>
  <si>
    <t>EMEA English Isilon</t>
  </si>
  <si>
    <t>IS01</t>
  </si>
  <si>
    <t>APJ UDS Isilon</t>
  </si>
  <si>
    <t>IS02</t>
  </si>
  <si>
    <t>EMEA UDS Isilon</t>
  </si>
  <si>
    <t>IS03</t>
  </si>
  <si>
    <t>India UDS Isilon</t>
  </si>
  <si>
    <t>IS04</t>
  </si>
  <si>
    <t>LATAM UDS Isilon</t>
  </si>
  <si>
    <t>IS05</t>
  </si>
  <si>
    <t>NAMER UDS Isilon</t>
  </si>
  <si>
    <t>OBJ</t>
  </si>
  <si>
    <t>GH09</t>
  </si>
  <si>
    <t>GLOBAL UDS OBJ</t>
  </si>
  <si>
    <t>HE48</t>
  </si>
  <si>
    <t>HES Global OBJ</t>
  </si>
  <si>
    <t>HEF2</t>
  </si>
  <si>
    <t>AMER English OBJ</t>
  </si>
  <si>
    <t>HEF5</t>
  </si>
  <si>
    <t>EMEA English OBJ</t>
  </si>
  <si>
    <t>IS24</t>
  </si>
  <si>
    <t>NAMER DPD OBJ</t>
  </si>
  <si>
    <t>IS51</t>
  </si>
  <si>
    <t>LATAM UDS OBJ</t>
  </si>
  <si>
    <t>IS78</t>
  </si>
  <si>
    <t>India DPD OBJ</t>
  </si>
  <si>
    <t>IU06</t>
  </si>
  <si>
    <t>EMEA DPD OBJ</t>
  </si>
  <si>
    <t>IU33</t>
  </si>
  <si>
    <t>APJ DPD OBJ</t>
  </si>
  <si>
    <t>(blank)</t>
  </si>
  <si>
    <t>AM02</t>
  </si>
  <si>
    <t>Enterprise Support Services US</t>
  </si>
  <si>
    <t>ER02</t>
  </si>
  <si>
    <t>EMEA Support Resolution Team</t>
  </si>
  <si>
    <t>FD01</t>
  </si>
  <si>
    <t>Federal Support NA</t>
  </si>
  <si>
    <t>LFT1</t>
  </si>
  <si>
    <t>SSO Quality Lets Fix It</t>
  </si>
  <si>
    <t>RE03</t>
  </si>
  <si>
    <t>APJ Support Resolution Team</t>
  </si>
  <si>
    <t>RL12</t>
  </si>
  <si>
    <t>RM ROLA</t>
  </si>
  <si>
    <t>RM02</t>
  </si>
  <si>
    <t>RM NA Enterprise</t>
  </si>
  <si>
    <t>RR02</t>
  </si>
  <si>
    <t>ROLA Senior and Master Engineer</t>
  </si>
  <si>
    <t>SY01</t>
  </si>
  <si>
    <t>Skytech Enterprise SA</t>
  </si>
  <si>
    <t>GNCS.VxRail</t>
  </si>
  <si>
    <t>AN03</t>
  </si>
  <si>
    <t>ANZ VX Rail Storage</t>
  </si>
  <si>
    <t>CV01</t>
  </si>
  <si>
    <t>CCC VX Rail Storage</t>
  </si>
  <si>
    <t>JV01</t>
  </si>
  <si>
    <t>JP VX Rail Storage</t>
  </si>
  <si>
    <t>MR02</t>
  </si>
  <si>
    <t>MMCLA VXRail</t>
  </si>
  <si>
    <t>HEC7</t>
  </si>
  <si>
    <t>APJ English Isilon</t>
  </si>
  <si>
    <t>AN02</t>
  </si>
  <si>
    <t>ANZ Midrange Storage VNX/e</t>
  </si>
  <si>
    <t>BZ21</t>
  </si>
  <si>
    <t>POR Midrange Storage VNX/e</t>
  </si>
  <si>
    <t>CM01</t>
  </si>
  <si>
    <t>CCC Midrange Storage VNX/e</t>
  </si>
  <si>
    <t>IM01</t>
  </si>
  <si>
    <t>IND Midrange Storage VNX/e</t>
  </si>
  <si>
    <t>JM01</t>
  </si>
  <si>
    <t>JP Midrange Storage VNX/e</t>
  </si>
  <si>
    <t>RL14</t>
  </si>
  <si>
    <t>MMCLA Midrange Storage VNX/e</t>
  </si>
  <si>
    <t>JP19</t>
  </si>
  <si>
    <t>Japan Enterprise SW-NWK</t>
  </si>
  <si>
    <t>CE01</t>
  </si>
  <si>
    <t>Enterprise Echannel CCC</t>
  </si>
  <si>
    <t>JP11</t>
  </si>
  <si>
    <t>Enterprise Core/ProSupport MIY</t>
  </si>
  <si>
    <t>JP13</t>
  </si>
  <si>
    <t>Japan Storage ProSupport KAW</t>
  </si>
  <si>
    <t>JP22</t>
  </si>
  <si>
    <t>Enterprise Echannel Core/Pro MIY</t>
  </si>
  <si>
    <t>KR06</t>
  </si>
  <si>
    <t>Enterprise ProSupport KOR</t>
  </si>
  <si>
    <t>RL09</t>
  </si>
  <si>
    <t>Server ProSupport ROLA</t>
  </si>
  <si>
    <t>SE02</t>
  </si>
  <si>
    <t>Enterprise SA Email</t>
  </si>
  <si>
    <t>Spanish</t>
  </si>
  <si>
    <t>MR01</t>
  </si>
  <si>
    <t>MMCLA Midrange Storage VNX/e Spanish</t>
  </si>
  <si>
    <t>Ssg</t>
  </si>
  <si>
    <t>HE32</t>
  </si>
  <si>
    <t>HES Global SSG</t>
  </si>
  <si>
    <t>IV01</t>
  </si>
  <si>
    <t>IND VX Rail Storage</t>
  </si>
  <si>
    <t>WP01</t>
  </si>
  <si>
    <t>GLOBAL HES Wipro</t>
  </si>
  <si>
    <t>CC09</t>
  </si>
  <si>
    <t>Server ProSupport CCC</t>
  </si>
  <si>
    <t>CC11</t>
  </si>
  <si>
    <t>Client ProSupport CCC ML</t>
  </si>
  <si>
    <t>CC22</t>
  </si>
  <si>
    <t>Enterprise TW</t>
  </si>
  <si>
    <t>CC23</t>
  </si>
  <si>
    <t>Server ProSupport Plus CCC</t>
  </si>
  <si>
    <t>CG Comp</t>
  </si>
  <si>
    <t>Global Compellent Capgemini</t>
  </si>
  <si>
    <t>CGEQ</t>
  </si>
  <si>
    <t>GLOBAL Equallogic Capgemini</t>
  </si>
  <si>
    <t>CGGC</t>
  </si>
  <si>
    <t>CGVE</t>
  </si>
  <si>
    <t>GLOBAL VNXe Capgemini</t>
  </si>
  <si>
    <t>CGVX</t>
  </si>
  <si>
    <t>GLOBAL VNX Capgemini</t>
  </si>
  <si>
    <t>CHEQ</t>
  </si>
  <si>
    <t>CHK Cons Tech CSQ BW</t>
  </si>
  <si>
    <t>CM04</t>
  </si>
  <si>
    <t>CCC HES VXRail Hyperconverged</t>
  </si>
  <si>
    <t>CT36</t>
  </si>
  <si>
    <t>Networking SPSPE</t>
  </si>
  <si>
    <t>CX01</t>
  </si>
  <si>
    <t>NA Server Basic (Concentrix)</t>
  </si>
  <si>
    <t>CX02</t>
  </si>
  <si>
    <t>Server Core IND CNX</t>
  </si>
  <si>
    <t>CX04</t>
  </si>
  <si>
    <t>Server Core SA CNX</t>
  </si>
  <si>
    <t>CX05</t>
  </si>
  <si>
    <t>NA Server Basic Chat (CNX)</t>
  </si>
  <si>
    <t>GT06</t>
  </si>
  <si>
    <t>Global Inbound Support Team</t>
  </si>
  <si>
    <t>HWPA</t>
  </si>
  <si>
    <t>Honeywell Panama</t>
  </si>
  <si>
    <t>IN01</t>
  </si>
  <si>
    <t>Workstation IND</t>
  </si>
  <si>
    <t>INCV</t>
  </si>
  <si>
    <t>India Core Concentrix</t>
  </si>
  <si>
    <t>INPX</t>
  </si>
  <si>
    <t>India Premium Support</t>
  </si>
  <si>
    <t>IU56</t>
  </si>
  <si>
    <t>APJ GNCS Hyperconverged Wipro</t>
  </si>
  <si>
    <t>JP27</t>
  </si>
  <si>
    <t>Enterprise Alt-channel JPN</t>
  </si>
  <si>
    <t>MY13</t>
  </si>
  <si>
    <t>Enterprise ProSupport ANZ/SA</t>
  </si>
  <si>
    <t>NALC</t>
  </si>
  <si>
    <t>NA Basic Core Concentrix</t>
  </si>
  <si>
    <t>NC04</t>
  </si>
  <si>
    <t>Client ProSupport US</t>
  </si>
  <si>
    <t>PHSS</t>
  </si>
  <si>
    <t>NA Premium Support</t>
  </si>
  <si>
    <t>RL02</t>
  </si>
  <si>
    <t>CPS Chat ROLA</t>
  </si>
  <si>
    <t>RL11</t>
  </si>
  <si>
    <t>Proactive Systems Maintenance ROLA</t>
  </si>
  <si>
    <t>SW02</t>
  </si>
  <si>
    <t>SWE Client ProSupp (TUR)</t>
  </si>
  <si>
    <t>UK05</t>
  </si>
  <si>
    <t>UKISA Basic Enterprise (Concentrix)</t>
  </si>
  <si>
    <t>VN04</t>
  </si>
  <si>
    <t>Client Pro/Core VN</t>
  </si>
  <si>
    <t>Solutions</t>
  </si>
  <si>
    <t>LOS0</t>
  </si>
  <si>
    <t>EMEA Solutions MS (ENG)</t>
  </si>
  <si>
    <t>LOS1</t>
  </si>
  <si>
    <t>EMEA Solutions HCI (ENG)</t>
  </si>
  <si>
    <t>LOS2</t>
  </si>
  <si>
    <t>EMEA Solutions MS (FRA)</t>
  </si>
  <si>
    <t>LOS3</t>
  </si>
  <si>
    <t>EMEA Solutions HCI (FRA)</t>
  </si>
  <si>
    <t>LOS4</t>
  </si>
  <si>
    <t>EMEA Solutions MS (GER)</t>
  </si>
  <si>
    <t>LOS5</t>
  </si>
  <si>
    <t>EMEA Solutions HCI (GER)</t>
  </si>
  <si>
    <t>GIST</t>
  </si>
  <si>
    <t>CT37</t>
  </si>
  <si>
    <t>APJ HES CST Japanese</t>
  </si>
  <si>
    <t>HE01</t>
  </si>
  <si>
    <t>HES Global CST Chat</t>
  </si>
  <si>
    <t>HE02</t>
  </si>
  <si>
    <t>HES Global CST eServices</t>
  </si>
  <si>
    <t>HE73</t>
  </si>
  <si>
    <t>APJ HES CST Korean</t>
  </si>
  <si>
    <t>LS01</t>
  </si>
  <si>
    <t>SSO Licensing Support</t>
  </si>
  <si>
    <t>Grand Total</t>
  </si>
  <si>
    <t>L5</t>
  </si>
  <si>
    <t>GS Flag</t>
  </si>
  <si>
    <t>Resource Region</t>
  </si>
  <si>
    <t>Resource Sub Region</t>
  </si>
  <si>
    <t>Utilization</t>
  </si>
  <si>
    <t>Reason</t>
  </si>
  <si>
    <t>Coverage</t>
  </si>
  <si>
    <t>Queue Type</t>
  </si>
  <si>
    <t>Queue Description</t>
  </si>
  <si>
    <t>Capacity Planner</t>
  </si>
  <si>
    <t>Business Owner</t>
  </si>
  <si>
    <t>Coverage HC</t>
  </si>
  <si>
    <t>Manual Adj%</t>
  </si>
  <si>
    <t>HES/ESG</t>
  </si>
  <si>
    <t>H&amp;T Leadtime</t>
  </si>
  <si>
    <t>No Assigned L6</t>
  </si>
  <si>
    <t>NAMER</t>
  </si>
  <si>
    <t>United States</t>
  </si>
  <si>
    <t>12/7</t>
  </si>
  <si>
    <t/>
  </si>
  <si>
    <t>ESG</t>
  </si>
  <si>
    <t>AM08</t>
  </si>
  <si>
    <t>Quality Lead US</t>
  </si>
  <si>
    <t>N</t>
  </si>
  <si>
    <t>Americas</t>
  </si>
  <si>
    <t>Quality Coach</t>
  </si>
  <si>
    <t>APJ</t>
  </si>
  <si>
    <t>Australia</t>
  </si>
  <si>
    <t>HES</t>
  </si>
  <si>
    <t>India</t>
  </si>
  <si>
    <t>AO11</t>
  </si>
  <si>
    <t>APJ Biz Ops</t>
  </si>
  <si>
    <t>China</t>
  </si>
  <si>
    <t>AO14</t>
  </si>
  <si>
    <t>EMEA Biz Ops</t>
  </si>
  <si>
    <t>EMEA</t>
  </si>
  <si>
    <t>United Kingdom</t>
  </si>
  <si>
    <t>Yap, Diane</t>
  </si>
  <si>
    <t>9/7</t>
  </si>
  <si>
    <t>L1</t>
  </si>
  <si>
    <t>Chen Zhou</t>
  </si>
  <si>
    <t>Japan</t>
  </si>
  <si>
    <t>15/7, Oncall</t>
  </si>
  <si>
    <t>11/5, 8/2</t>
  </si>
  <si>
    <t>9/5, 6/2</t>
  </si>
  <si>
    <t>24/7</t>
  </si>
  <si>
    <t>12/5, 8/2</t>
  </si>
  <si>
    <t>11/7</t>
  </si>
  <si>
    <t>8/7</t>
  </si>
  <si>
    <t>AP25</t>
  </si>
  <si>
    <t>APJ DPD DP Solutions</t>
  </si>
  <si>
    <t>D'Arcy, Mark</t>
  </si>
  <si>
    <t>Global</t>
  </si>
  <si>
    <t>Douglas Lumb</t>
  </si>
  <si>
    <t>12/5</t>
  </si>
  <si>
    <t>AZ13</t>
  </si>
  <si>
    <t>Client ProSupport ANZ</t>
  </si>
  <si>
    <t>Client</t>
  </si>
  <si>
    <t>LATAM</t>
  </si>
  <si>
    <t>Brazil</t>
  </si>
  <si>
    <t>Darrick Nelsen</t>
  </si>
  <si>
    <t>UKI</t>
  </si>
  <si>
    <t>10/5</t>
  </si>
  <si>
    <t>BZ19</t>
  </si>
  <si>
    <t>Proactive Systems Maintenance BR</t>
  </si>
  <si>
    <t>BZ20</t>
  </si>
  <si>
    <t>CC03</t>
  </si>
  <si>
    <t>Client ProSupport CCC BW</t>
  </si>
  <si>
    <t>CC12</t>
  </si>
  <si>
    <t>Social Media CCC</t>
  </si>
  <si>
    <t>Social</t>
  </si>
  <si>
    <t>CC13</t>
  </si>
  <si>
    <t>Proactive Systems Maintenance CCC</t>
  </si>
  <si>
    <t>CC28</t>
  </si>
  <si>
    <t>APJ ESG Call Directors Chinese</t>
  </si>
  <si>
    <t>CST</t>
  </si>
  <si>
    <t>CG01</t>
  </si>
  <si>
    <t>Chmura Group</t>
  </si>
  <si>
    <t>CM03</t>
  </si>
  <si>
    <t>CNS Manager</t>
  </si>
  <si>
    <t>Manager</t>
  </si>
  <si>
    <t>CSS1</t>
  </si>
  <si>
    <t>APJ HES CST Chinese</t>
  </si>
  <si>
    <t>High End Storage</t>
  </si>
  <si>
    <t>CST4</t>
  </si>
  <si>
    <t>CST SPUS</t>
  </si>
  <si>
    <t>CST5</t>
  </si>
  <si>
    <t>CST VIC</t>
  </si>
  <si>
    <t>Brown, Dexter</t>
  </si>
  <si>
    <t>Egypt</t>
  </si>
  <si>
    <t>CT12</t>
  </si>
  <si>
    <t>CTE BRZ</t>
  </si>
  <si>
    <t>CT17</t>
  </si>
  <si>
    <t>CTE ROLA</t>
  </si>
  <si>
    <t>Latin America</t>
  </si>
  <si>
    <t>Miguel Galicia</t>
  </si>
  <si>
    <t>Kenneally, Niall</t>
  </si>
  <si>
    <t>CT24</t>
  </si>
  <si>
    <t>HCS Global DSE</t>
  </si>
  <si>
    <t>DSE</t>
  </si>
  <si>
    <t>CT32</t>
  </si>
  <si>
    <t>Global Networking RTSE</t>
  </si>
  <si>
    <t>Multiple Countries</t>
  </si>
  <si>
    <t>CT34</t>
  </si>
  <si>
    <t>Solutions SPSPE</t>
  </si>
  <si>
    <t>CT35</t>
  </si>
  <si>
    <t>Server SPSPE</t>
  </si>
  <si>
    <t>CT38</t>
  </si>
  <si>
    <t>Global Service Routing Manager</t>
  </si>
  <si>
    <t>CT68</t>
  </si>
  <si>
    <t>RPS Proactive Systems Maintenance</t>
  </si>
  <si>
    <t>CT69</t>
  </si>
  <si>
    <t>Social Media English</t>
  </si>
  <si>
    <t>CT70</t>
  </si>
  <si>
    <t>Social Media EMEA</t>
  </si>
  <si>
    <t>8/5</t>
  </si>
  <si>
    <t>CTA3</t>
  </si>
  <si>
    <t>CTE Server/Networking CCC</t>
  </si>
  <si>
    <t>CTE Pro</t>
  </si>
  <si>
    <t>Asia</t>
  </si>
  <si>
    <t>CTA4</t>
  </si>
  <si>
    <t>CTE Storage CCC</t>
  </si>
  <si>
    <t>CTA5</t>
  </si>
  <si>
    <t>CTE Server/Networking JPN</t>
  </si>
  <si>
    <t>JP-KOR</t>
  </si>
  <si>
    <t>CTA6</t>
  </si>
  <si>
    <t>CTE Storage JPN</t>
  </si>
  <si>
    <t>CTA7</t>
  </si>
  <si>
    <t>CTE Enterprise KOR</t>
  </si>
  <si>
    <t>SER</t>
  </si>
  <si>
    <t>11/5</t>
  </si>
  <si>
    <t>CER</t>
  </si>
  <si>
    <t>Germany</t>
  </si>
  <si>
    <t>15/5</t>
  </si>
  <si>
    <t>EC04</t>
  </si>
  <si>
    <t>ISR Client (Netanya)</t>
  </si>
  <si>
    <t>Israel</t>
  </si>
  <si>
    <t>9/5</t>
  </si>
  <si>
    <t>12/6</t>
  </si>
  <si>
    <t>L2</t>
  </si>
  <si>
    <t>EMC1</t>
  </si>
  <si>
    <t>EN01</t>
  </si>
  <si>
    <t>Networking Product Escalations</t>
  </si>
  <si>
    <t>ES03</t>
  </si>
  <si>
    <t>EMEA SME Team</t>
  </si>
  <si>
    <t>ES06</t>
  </si>
  <si>
    <t>EMEA Technical Support Operations</t>
  </si>
  <si>
    <t>ES07</t>
  </si>
  <si>
    <t>EMEA VX Rail Storage</t>
  </si>
  <si>
    <t>France</t>
  </si>
  <si>
    <t>GB01</t>
  </si>
  <si>
    <t>UKISA Client DSP (BGL)</t>
  </si>
  <si>
    <t>14/5</t>
  </si>
  <si>
    <t>10/6</t>
  </si>
  <si>
    <t>GB19</t>
  </si>
  <si>
    <t>EMEA ProSupp SST</t>
  </si>
  <si>
    <t>Cloud</t>
  </si>
  <si>
    <t>GB23</t>
  </si>
  <si>
    <t>Proactive Systems Maintenance EMEA</t>
  </si>
  <si>
    <t>GC11</t>
  </si>
  <si>
    <t>AST Quality Coach</t>
  </si>
  <si>
    <t>GC12</t>
  </si>
  <si>
    <t>E2E Quality Coach</t>
  </si>
  <si>
    <t>GC13</t>
  </si>
  <si>
    <t>GIST Quality Coach</t>
  </si>
  <si>
    <t>GC14</t>
  </si>
  <si>
    <t>Licensing Quality Coach</t>
  </si>
  <si>
    <t>Punch, Patrick</t>
  </si>
  <si>
    <t>Ireland</t>
  </si>
  <si>
    <t>16/5, 9/2</t>
  </si>
  <si>
    <t>SymmSW</t>
  </si>
  <si>
    <t>HC06</t>
  </si>
  <si>
    <t>EMEA Static Revenue</t>
  </si>
  <si>
    <t>HE03</t>
  </si>
  <si>
    <t>HES Global CST Management</t>
  </si>
  <si>
    <t>HE04</t>
  </si>
  <si>
    <t>HE09</t>
  </si>
  <si>
    <t>HES Global Remote Proactive</t>
  </si>
  <si>
    <t>DPD.DPSolutions</t>
  </si>
  <si>
    <t>HE16</t>
  </si>
  <si>
    <t>HES Global DSE</t>
  </si>
  <si>
    <t>DPD.DPA</t>
  </si>
  <si>
    <t>HE17</t>
  </si>
  <si>
    <t>HES Global Operations</t>
  </si>
  <si>
    <t>HE52</t>
  </si>
  <si>
    <t>HES Global RCM</t>
  </si>
  <si>
    <t>Korea</t>
  </si>
  <si>
    <t>South Asia</t>
  </si>
  <si>
    <t>IN19</t>
  </si>
  <si>
    <t>Wyse IND</t>
  </si>
  <si>
    <t>Cloud Client</t>
  </si>
  <si>
    <t>10/7</t>
  </si>
  <si>
    <t>Other MMCLA</t>
  </si>
  <si>
    <t>Costa Rica</t>
  </si>
  <si>
    <t>14/5, 9/1</t>
  </si>
  <si>
    <t>15/7</t>
  </si>
  <si>
    <t>16/7</t>
  </si>
  <si>
    <t>14/5, 9/2</t>
  </si>
  <si>
    <t>9/6</t>
  </si>
  <si>
    <t>ROLA</t>
  </si>
  <si>
    <t>IT10</t>
  </si>
  <si>
    <t>ITA Social Media (MTP)</t>
  </si>
  <si>
    <t>L2G4</t>
  </si>
  <si>
    <t>ARS System Exchange</t>
  </si>
  <si>
    <t>MY15</t>
  </si>
  <si>
    <t>Proactive Systems Maintenance SA</t>
  </si>
  <si>
    <t>Malaysia</t>
  </si>
  <si>
    <t>NC14</t>
  </si>
  <si>
    <t>Social Media English (AMER)</t>
  </si>
  <si>
    <t>Nordics</t>
  </si>
  <si>
    <t>18/5</t>
  </si>
  <si>
    <t>NE21</t>
  </si>
  <si>
    <t>Server eSupport Case Director US</t>
  </si>
  <si>
    <t>NE29</t>
  </si>
  <si>
    <t>Proactive Systems Maintenance NA</t>
  </si>
  <si>
    <t>NF01</t>
  </si>
  <si>
    <t>APJ Manager</t>
  </si>
  <si>
    <t>NF02</t>
  </si>
  <si>
    <t>APJ Non-Frontline</t>
  </si>
  <si>
    <t>NF03</t>
  </si>
  <si>
    <t>APJ NR-FLS</t>
  </si>
  <si>
    <t>NF04</t>
  </si>
  <si>
    <t>APJ Quality Coach</t>
  </si>
  <si>
    <t>NF05</t>
  </si>
  <si>
    <t>Social Media Non-Frontline</t>
  </si>
  <si>
    <t>NF06</t>
  </si>
  <si>
    <t>Social Media Quality Coach</t>
  </si>
  <si>
    <t>NF09</t>
  </si>
  <si>
    <t>DPD/UDS Manager</t>
  </si>
  <si>
    <t>NF10</t>
  </si>
  <si>
    <t>DPD/UDS Non-Frontline</t>
  </si>
  <si>
    <t>NF11</t>
  </si>
  <si>
    <t>DPD/UDS NR-FLS</t>
  </si>
  <si>
    <t>NF12</t>
  </si>
  <si>
    <t>DPD/UDS Quality Coach</t>
  </si>
  <si>
    <t>NF13</t>
  </si>
  <si>
    <t>DPD/UDS Technical Lead</t>
  </si>
  <si>
    <t>Technical Lead</t>
  </si>
  <si>
    <t>NF14</t>
  </si>
  <si>
    <t>EMEA Manager</t>
  </si>
  <si>
    <t>NF15</t>
  </si>
  <si>
    <t>EMEA Non-Frontline</t>
  </si>
  <si>
    <t>NF16</t>
  </si>
  <si>
    <t>EMEA NR-FLS</t>
  </si>
  <si>
    <t>NF17</t>
  </si>
  <si>
    <t>EMEA Quality Coach</t>
  </si>
  <si>
    <t>NF18</t>
  </si>
  <si>
    <t>HCS Manager</t>
  </si>
  <si>
    <t>NF19</t>
  </si>
  <si>
    <t>HCS Non-Frontline</t>
  </si>
  <si>
    <t>NF20</t>
  </si>
  <si>
    <t>HCS NR-FLS</t>
  </si>
  <si>
    <t>NF21</t>
  </si>
  <si>
    <t>HCS Technical Lead</t>
  </si>
  <si>
    <t>NF22</t>
  </si>
  <si>
    <t>HES Manager</t>
  </si>
  <si>
    <t>NF23</t>
  </si>
  <si>
    <t>HES Non-Frontline</t>
  </si>
  <si>
    <t>NF24</t>
  </si>
  <si>
    <t>HES NR-FLS</t>
  </si>
  <si>
    <t>NF25</t>
  </si>
  <si>
    <t>HES Quality Coach</t>
  </si>
  <si>
    <t>NF26</t>
  </si>
  <si>
    <t>HES Technical Lead</t>
  </si>
  <si>
    <t>NF27</t>
  </si>
  <si>
    <t>LATAM Manager</t>
  </si>
  <si>
    <t>NF28</t>
  </si>
  <si>
    <t>LATAM Non-Frontline</t>
  </si>
  <si>
    <t>NF29</t>
  </si>
  <si>
    <t>LATAM NR-FLS</t>
  </si>
  <si>
    <t>NF30</t>
  </si>
  <si>
    <t>LATAM Quality Coach</t>
  </si>
  <si>
    <t>NF31</t>
  </si>
  <si>
    <t>NAMER Manager</t>
  </si>
  <si>
    <t>NF32</t>
  </si>
  <si>
    <t>NAMER Non-Frontline</t>
  </si>
  <si>
    <t>NF33</t>
  </si>
  <si>
    <t>NAMER NR-FLS</t>
  </si>
  <si>
    <t>NF34</t>
  </si>
  <si>
    <t>NAMER Quality Coach</t>
  </si>
  <si>
    <t>NF35</t>
  </si>
  <si>
    <t>NAMER Technical Lead</t>
  </si>
  <si>
    <t>Panama</t>
  </si>
  <si>
    <t>NF36</t>
  </si>
  <si>
    <t>Service Engineering Manager</t>
  </si>
  <si>
    <t>NF37</t>
  </si>
  <si>
    <t>Service Engineering Non-Frontline</t>
  </si>
  <si>
    <t>NF40</t>
  </si>
  <si>
    <t>Service Engineering Technical Lead</t>
  </si>
  <si>
    <t>NF41</t>
  </si>
  <si>
    <t>SSO Manager</t>
  </si>
  <si>
    <t>NF42</t>
  </si>
  <si>
    <t>SSO Non-Frontline</t>
  </si>
  <si>
    <t>NF43</t>
  </si>
  <si>
    <t>SSO NR-FLS</t>
  </si>
  <si>
    <t>NF44</t>
  </si>
  <si>
    <t>SSO Quality Coach</t>
  </si>
  <si>
    <t>NF45</t>
  </si>
  <si>
    <t>STRATEGY Non-Frontline</t>
  </si>
  <si>
    <t>NF46</t>
  </si>
  <si>
    <t>WHITLOW ELT</t>
  </si>
  <si>
    <t>NF47</t>
  </si>
  <si>
    <t>SSO WFM</t>
  </si>
  <si>
    <t>WFM</t>
  </si>
  <si>
    <t>NF48</t>
  </si>
  <si>
    <t>RM Manager</t>
  </si>
  <si>
    <t>NF49</t>
  </si>
  <si>
    <t>RM NR-FLS</t>
  </si>
  <si>
    <t>NF50</t>
  </si>
  <si>
    <t>Service Engineering WFM</t>
  </si>
  <si>
    <t>NF53</t>
  </si>
  <si>
    <t>Global TELCO Networking</t>
  </si>
  <si>
    <t>NF54</t>
  </si>
  <si>
    <t>Global TELCO - Server</t>
  </si>
  <si>
    <t>NF56</t>
  </si>
  <si>
    <t>HCS Quality Coach</t>
  </si>
  <si>
    <t>NF57</t>
  </si>
  <si>
    <t>Global TELCO</t>
  </si>
  <si>
    <t>Not Assigned</t>
  </si>
  <si>
    <t>PM01</t>
  </si>
  <si>
    <t>Partner Management</t>
  </si>
  <si>
    <t>PP21</t>
  </si>
  <si>
    <t>APJ English CTE</t>
  </si>
  <si>
    <t>Philippines</t>
  </si>
  <si>
    <t>QCE1</t>
  </si>
  <si>
    <t>EMEA Quality Coach Compute</t>
  </si>
  <si>
    <t>RL10</t>
  </si>
  <si>
    <t>Triage Enterprise Support Panama</t>
  </si>
  <si>
    <t>15/6</t>
  </si>
  <si>
    <t>RP01</t>
  </si>
  <si>
    <t>RPS Manager</t>
  </si>
  <si>
    <t>RP02</t>
  </si>
  <si>
    <t>RPS WFM</t>
  </si>
  <si>
    <t>RP03</t>
  </si>
  <si>
    <t>RPS Non-Frontline</t>
  </si>
  <si>
    <t>SM02</t>
  </si>
  <si>
    <t>Social Media English (APJ)</t>
  </si>
  <si>
    <t>SMP1</t>
  </si>
  <si>
    <t>SMPE English Storage SC</t>
  </si>
  <si>
    <t>SMP2</t>
  </si>
  <si>
    <t>SMPE English Storage MD</t>
  </si>
  <si>
    <t>SMP3</t>
  </si>
  <si>
    <t>SMPE English Networking</t>
  </si>
  <si>
    <t>SMP4</t>
  </si>
  <si>
    <t>SMPE English Server</t>
  </si>
  <si>
    <t>SMP5</t>
  </si>
  <si>
    <t>SMPE English Storage PS</t>
  </si>
  <si>
    <t>SMP6</t>
  </si>
  <si>
    <t>SMPE English LVTS</t>
  </si>
  <si>
    <t>SMP7</t>
  </si>
  <si>
    <t>SMPE English Nutanix</t>
  </si>
  <si>
    <t>SMP8</t>
  </si>
  <si>
    <t>SMPE English Microsoft</t>
  </si>
  <si>
    <t>SP10</t>
  </si>
  <si>
    <t>SPA Social Media (MTP)</t>
  </si>
  <si>
    <t>Indonesia</t>
  </si>
  <si>
    <t>TH04</t>
  </si>
  <si>
    <t>Client Prosupport TH (CTX)</t>
  </si>
  <si>
    <t>Thailand</t>
  </si>
  <si>
    <t>THBW</t>
  </si>
  <si>
    <t>CCC Workstation BW</t>
  </si>
  <si>
    <t>Workstation</t>
  </si>
  <si>
    <t>24/5</t>
  </si>
  <si>
    <t>UNOP</t>
  </si>
  <si>
    <t>NA OOP Resolver</t>
  </si>
  <si>
    <t>VN02</t>
  </si>
  <si>
    <t>Client Prosupport VN (CTX)</t>
  </si>
  <si>
    <t>Vietnam</t>
  </si>
  <si>
    <t>WM01</t>
  </si>
  <si>
    <t>Workflow Management</t>
  </si>
  <si>
    <t>WM02</t>
  </si>
  <si>
    <t>NAMER WFM</t>
  </si>
  <si>
    <t>WM03</t>
  </si>
  <si>
    <t>EMEA WFM</t>
  </si>
  <si>
    <t>WM04</t>
  </si>
  <si>
    <t>LATAM WFM</t>
  </si>
  <si>
    <t>WM05</t>
  </si>
  <si>
    <t>APJ HES CST WFM</t>
  </si>
  <si>
    <t>Whitney, Rich</t>
  </si>
  <si>
    <t>Datadomain</t>
  </si>
  <si>
    <t>DP Solutions</t>
  </si>
  <si>
    <t>Vxrail</t>
  </si>
  <si>
    <t>CCOQueueAbbr</t>
  </si>
  <si>
    <t>CCOQueueCode</t>
  </si>
  <si>
    <t>Global VxRail CTE</t>
  </si>
  <si>
    <t>Quarterly Attrition</t>
  </si>
  <si>
    <t>oracle_prem_team_nm</t>
  </si>
  <si>
    <t>Planned</t>
  </si>
  <si>
    <t>AM_ASE_57_WS_SANFRANCISCO_L_C</t>
  </si>
  <si>
    <t>AM_ASE_57_WS_SEATTLE-WA_L_A</t>
  </si>
  <si>
    <t>AM_ASE_57_WS_SEATTLE-WA_M_A</t>
  </si>
  <si>
    <t>AM_ASE_64_CN_COLMBIA-SC_S_A</t>
  </si>
  <si>
    <t>AM_ASE_64_CN_MIAMI-FL_L_A</t>
  </si>
  <si>
    <t>AM_ASE_65_CN_CHICAGO-IL_L_A</t>
  </si>
  <si>
    <t>APJ_ASE_42_GC_Taiwan_L_A</t>
  </si>
  <si>
    <t>APJ_AVAMAR_GS_A</t>
  </si>
  <si>
    <t>APJ_AVAMAR_GS_B</t>
  </si>
  <si>
    <t>APJ_AVAMAR_GS_C</t>
  </si>
  <si>
    <t>APJ_Connectivity_GS_A</t>
  </si>
  <si>
    <t>APJ_Connectivity_GS_B</t>
  </si>
  <si>
    <t>APJ_Connectivity_GS_C</t>
  </si>
  <si>
    <t>APJ_Converged_GS_C</t>
  </si>
  <si>
    <t>GLOBAL CONVERGED</t>
  </si>
  <si>
    <t>APJ_Converged_GS_E</t>
  </si>
  <si>
    <t>APJ_DataDomain_GS_A</t>
  </si>
  <si>
    <t>APJ_DataDomain_GS_B</t>
  </si>
  <si>
    <t>APJ_DLM_GS_A</t>
  </si>
  <si>
    <t>APJ_DPA_GS_A</t>
  </si>
  <si>
    <t>APJ_DPADSRT_GS_A</t>
  </si>
  <si>
    <t>APJ_DPADSRT_GS_B</t>
  </si>
  <si>
    <t>APJ_DPSolutions_GS_A</t>
  </si>
  <si>
    <t>APJ_DPSolutions_GS_B</t>
  </si>
  <si>
    <t>APJ_DSE_A</t>
  </si>
  <si>
    <t>APJ_Hyperconverged_GS_A</t>
  </si>
  <si>
    <t>APJ_Hyperconverged_GS_B</t>
  </si>
  <si>
    <t>APJ_Isilon_GS_A</t>
  </si>
  <si>
    <t>APJ_Isilon_GS_B</t>
  </si>
  <si>
    <t>APJ_Mainframe_GS_A</t>
  </si>
  <si>
    <t>APJ_Networker_GS_A</t>
  </si>
  <si>
    <t>APJ_Networker_GS_B</t>
  </si>
  <si>
    <t>APJ_Networker_GS_C</t>
  </si>
  <si>
    <t>APJ_Networker_GS_D</t>
  </si>
  <si>
    <t>APJ_OBJ_GS_A</t>
  </si>
  <si>
    <t>APJ_PowerProtect_GS_A</t>
  </si>
  <si>
    <t>APJ_RecoverPoint_GS_A</t>
  </si>
  <si>
    <t>APJ_RecoverPoint_GS_B</t>
  </si>
  <si>
    <t>APJ_RecoverPoint_GS_C</t>
  </si>
  <si>
    <t>APJ_S&amp;AS_AS_ANZ_A</t>
  </si>
  <si>
    <t>APJ_S&amp;AS_AS_CHINA_A</t>
  </si>
  <si>
    <t>APJ_S&amp;AS_AS_JAPAN_A</t>
  </si>
  <si>
    <t>APJ_S&amp;AS_CORE_JAPAN_A</t>
  </si>
  <si>
    <t>APJ_SAM_A</t>
  </si>
  <si>
    <t>APJ_SCALEIO_PowerFlex_GS_A</t>
  </si>
  <si>
    <t>APJ_SCALEIO_PowerFlex_GS_B</t>
  </si>
  <si>
    <t>APJ_SCALEIO_PowerFlex_GS_C</t>
  </si>
  <si>
    <t>APJ_Solutions_GS_A</t>
  </si>
  <si>
    <t>APJ_SOURCEONE_GS_A</t>
  </si>
  <si>
    <t>APJ_Symm_GS_A</t>
  </si>
  <si>
    <t>APJ_Symm_GS_B</t>
  </si>
  <si>
    <t>APJ_Symm_GS_C</t>
  </si>
  <si>
    <t>APJ_Symm_GS_D</t>
  </si>
  <si>
    <t>APJ_VNX_Midrange_GS_A</t>
  </si>
  <si>
    <t>APJ_VNX_Midrange_GS_B</t>
  </si>
  <si>
    <t>APJ_VNX_Midrange_Recovery_A</t>
  </si>
  <si>
    <t>APJ_Vplex_GS_A</t>
  </si>
  <si>
    <t>APJ_Vplex_GS_B</t>
  </si>
  <si>
    <t>APJ_XtremIO_GS_A</t>
  </si>
  <si>
    <t>APJ_XtremIO_GS_B</t>
  </si>
  <si>
    <t>BNG_AVAMAR_TSE_B</t>
  </si>
  <si>
    <t>BNG_AVAMAR_TSE_C</t>
  </si>
  <si>
    <t>BNG_AVAMAR_TSE_D</t>
  </si>
  <si>
    <t>BNG_Avamar_Wipro_A</t>
  </si>
  <si>
    <t>BNG_Avamar_Wipro_B</t>
  </si>
  <si>
    <t>BNG_Avamar_Wipro_C</t>
  </si>
  <si>
    <t>BNG_Connectivity_Cntrx_WIPRO_A</t>
  </si>
  <si>
    <t>BNG_Connectivity_Connectrix_A</t>
  </si>
  <si>
    <t>BNG_CSTLIC_B</t>
  </si>
  <si>
    <t>BNG_CSTLIC_C</t>
  </si>
  <si>
    <t>BNG_DATADOMAIN_A</t>
  </si>
  <si>
    <t>BNG_DATADOMAIN_B</t>
  </si>
  <si>
    <t>BNG_DataDomain_Wipro_A</t>
  </si>
  <si>
    <t>BNG_DataDomain_WIPRO_B</t>
  </si>
  <si>
    <t>BNG_DPA_WIPRO_A</t>
  </si>
  <si>
    <t>BNG_DPSolutions_A</t>
  </si>
  <si>
    <t>BNG_E2E_Connectivity_Wipro_A</t>
  </si>
  <si>
    <t>BNG_GBST&amp;M_A</t>
  </si>
  <si>
    <t>BNG_Hyperconverged_A</t>
  </si>
  <si>
    <t>BNG_Integrated_Software_A</t>
  </si>
  <si>
    <t>BNG_Integrated_Software_B</t>
  </si>
  <si>
    <t>BNG_Integrated_Software_WIPR_A</t>
  </si>
  <si>
    <t>BNG_ISILON_A</t>
  </si>
  <si>
    <t>BNG_ISILON_B</t>
  </si>
  <si>
    <t>BNG_ISILON_C</t>
  </si>
  <si>
    <t>BNG_ISILON_D</t>
  </si>
  <si>
    <t>BNG_ISILON_WIPRO_A</t>
  </si>
  <si>
    <t>BNG_ISILON_WIPRO_B</t>
  </si>
  <si>
    <t>BNG_ISILON_WIPRO_C</t>
  </si>
  <si>
    <t>BNG_Networker_TSE_A</t>
  </si>
  <si>
    <t>BNG_Networker_TSE_B</t>
  </si>
  <si>
    <t>BNG_NETWORKER_TSE_C</t>
  </si>
  <si>
    <t>BNG_Networker_TSE_D</t>
  </si>
  <si>
    <t>BNG_Networker_WIPRO_A</t>
  </si>
  <si>
    <t>BNG_NETWORKER_WIPRO_B</t>
  </si>
  <si>
    <t>BNG_OBJ_ATMOS_A</t>
  </si>
  <si>
    <t>BNG_OBJ_ATMOS_WIPRO_A</t>
  </si>
  <si>
    <t>BNG_OBJ_ATMOS_WIPRO_B</t>
  </si>
  <si>
    <t>BNG_OBJ_CAS_WIPRO_A</t>
  </si>
  <si>
    <t>BNG_OBJ_CAS_WIPRO_B</t>
  </si>
  <si>
    <t>BNG_OBJ_DCA_Wipro_A</t>
  </si>
  <si>
    <t>BNG_OBJ_DXW_Wipro_A</t>
  </si>
  <si>
    <t>BNG_OBJ_ECS_WIPRO_A</t>
  </si>
  <si>
    <t>BNG_RCM_WIPRO_A</t>
  </si>
  <si>
    <t>BNG_RCM_WIPRO_B</t>
  </si>
  <si>
    <t>BNG_RecoverPoint_Wipro_A</t>
  </si>
  <si>
    <t>BNG_RECOVERPOINT_WIPRO_B</t>
  </si>
  <si>
    <t>BNG_SOURCEONE_WIPRO_A</t>
  </si>
  <si>
    <t>BNG_Symm_Wipro_A</t>
  </si>
  <si>
    <t>BNG_SymmSW_A</t>
  </si>
  <si>
    <t>BNG_VNX_Midrange_L1_A</t>
  </si>
  <si>
    <t>BNG_VNX_Midrange_L1_B</t>
  </si>
  <si>
    <t>BNG_VNX_Midrange_L1_C</t>
  </si>
  <si>
    <t>BNG_VNX_Midrange_L1_D</t>
  </si>
  <si>
    <t>BNG_VNX_Midrange_Perf_A</t>
  </si>
  <si>
    <t>BNG_VNX_Midrange_Perf_B</t>
  </si>
  <si>
    <t>BNG_VNX_Midrange_Perf_C</t>
  </si>
  <si>
    <t>BNG_VNX_WIPRO_A</t>
  </si>
  <si>
    <t>BNG_VNX_WIPRO_PSG_A</t>
  </si>
  <si>
    <t>BNG_VNX_Wipro_Unity_Chat_A</t>
  </si>
  <si>
    <t>BNG_VNXe_WIPRO_A</t>
  </si>
  <si>
    <t>BNG_Vplex_TSE_A</t>
  </si>
  <si>
    <t>BNG_VPLEX_WIPRO_A</t>
  </si>
  <si>
    <t>BNG_VPLEX_WIPRO_B</t>
  </si>
  <si>
    <t>BNG_WFM_A</t>
  </si>
  <si>
    <t>BNG_XtremIO_A</t>
  </si>
  <si>
    <t>BNG_XtremIO_Coach_A</t>
  </si>
  <si>
    <t>BNG_XtremIO_Wipro_A</t>
  </si>
  <si>
    <t>BR_AVAMAR_TSE_A</t>
  </si>
  <si>
    <t>BR_DATADOMAIN_A</t>
  </si>
  <si>
    <t>BR_Hyperconverged_A</t>
  </si>
  <si>
    <t>BR_Hyperconverged_B</t>
  </si>
  <si>
    <t>BR_Networker_TSE_A</t>
  </si>
  <si>
    <t>BR_Symm_A</t>
  </si>
  <si>
    <t>BR_SymmSW_A</t>
  </si>
  <si>
    <t>BR_VNX_Midrange_B</t>
  </si>
  <si>
    <t>BR_VNX_Midrange_C</t>
  </si>
  <si>
    <t>BUR_AVAMAR_TSE_A</t>
  </si>
  <si>
    <t>BUR_AVAMAR_TSE_B</t>
  </si>
  <si>
    <t>CAI_AVAMAR_TSE_A</t>
  </si>
  <si>
    <t>CAI_Connectivity_Connectrix_A</t>
  </si>
  <si>
    <t>CAI_CST_VIC_A</t>
  </si>
  <si>
    <t>HES Global CST VIC</t>
  </si>
  <si>
    <t>CAI_CST_VIC_B</t>
  </si>
  <si>
    <t>CAI_CSTCHAT_WEB-CHAT_A</t>
  </si>
  <si>
    <t>CAI_CSTLIC_A</t>
  </si>
  <si>
    <t>CAI_DATADOMAIN_A</t>
  </si>
  <si>
    <t>CAI_E2E_Connectivity_A</t>
  </si>
  <si>
    <t>CAI_Hyperconverged_A</t>
  </si>
  <si>
    <t>CAI_Integrated_Software_A</t>
  </si>
  <si>
    <t>CAI_ISILON_A</t>
  </si>
  <si>
    <t>CAI_ISILON_B</t>
  </si>
  <si>
    <t>CAI_ISILON_C</t>
  </si>
  <si>
    <t>CAI_ISILON_D</t>
  </si>
  <si>
    <t>CAI_Networker_TSE_A</t>
  </si>
  <si>
    <t>CAI_OBJ_A</t>
  </si>
  <si>
    <t>CAI_RCM_A</t>
  </si>
  <si>
    <t>CAI_RCM_B</t>
  </si>
  <si>
    <t>CAI_RCM_C</t>
  </si>
  <si>
    <t>CAI_RCM_D</t>
  </si>
  <si>
    <t>CAI_RCM_DET_A</t>
  </si>
  <si>
    <t>CAI_RCM_UpgradeManagers_A</t>
  </si>
  <si>
    <t>CAI_SYMM_A</t>
  </si>
  <si>
    <t>CAI_Symm_B</t>
  </si>
  <si>
    <t>CAI_VNX_Midrange_L1_A</t>
  </si>
  <si>
    <t>CAI_VNX_Midrange_L1_B</t>
  </si>
  <si>
    <t>CAI_VNX_Midrange_L1_C</t>
  </si>
  <si>
    <t>CAI_VNX_Midrange_Perf_A</t>
  </si>
  <si>
    <t>CAI_VPLEX_TSE_A</t>
  </si>
  <si>
    <t>CAI_WFM_A</t>
  </si>
  <si>
    <t>CAI_XtremIO_A</t>
  </si>
  <si>
    <t>CAI_XtremIO_Coach_A</t>
  </si>
  <si>
    <t>CR_Connectivity_Connectrix_A</t>
  </si>
  <si>
    <t>CR_Isilon_A</t>
  </si>
  <si>
    <t>CR_Networker_TSE_A</t>
  </si>
  <si>
    <t>CR_Symm_A</t>
  </si>
  <si>
    <t>CR_XtremIO_A</t>
  </si>
  <si>
    <t>CRK_AVAMAR_TSE_A</t>
  </si>
  <si>
    <t>CRK_Connectivity_Connectrix_A</t>
  </si>
  <si>
    <t>CRK_CST_VIC_A</t>
  </si>
  <si>
    <t>CRK_CSTLIC_A</t>
  </si>
  <si>
    <t>CRK_CSTLIC_B</t>
  </si>
  <si>
    <t>CRK_DataDomain_A</t>
  </si>
  <si>
    <t>CRK_DPA_TSE_A</t>
  </si>
  <si>
    <t>CRK_E2E_Connectivity_A</t>
  </si>
  <si>
    <t>CRK_Hyperconverged_A</t>
  </si>
  <si>
    <t>CRK_Hyperconverged_B</t>
  </si>
  <si>
    <t>CRK_Integrated_Software_A</t>
  </si>
  <si>
    <t>CRK_Integrated_Software_B</t>
  </si>
  <si>
    <t>CRK_ISILON_A</t>
  </si>
  <si>
    <t>CRK_ISILON_ELITE_A</t>
  </si>
  <si>
    <t>CRK_NetWorker_TSE_A</t>
  </si>
  <si>
    <t>CRK_NetWorker_TSE_D</t>
  </si>
  <si>
    <t>CRK_OBJ_ATMOS_A</t>
  </si>
  <si>
    <t>CRK_RCM_A</t>
  </si>
  <si>
    <t>CRK_RCM_B</t>
  </si>
  <si>
    <t>CRK_RCM_C</t>
  </si>
  <si>
    <t>CRK_RCM_D</t>
  </si>
  <si>
    <t>CRK_RCM_DET_A</t>
  </si>
  <si>
    <t>CRK_RCM_E</t>
  </si>
  <si>
    <t>CRK_Symm_A</t>
  </si>
  <si>
    <t>CRK_Symm_B</t>
  </si>
  <si>
    <t>CRK_Symm_C</t>
  </si>
  <si>
    <t>CRK_SymmSW_A</t>
  </si>
  <si>
    <t>CRK_VNX_Midrange_L1_B</t>
  </si>
  <si>
    <t>CRK_VNX_Midrange_L1_D</t>
  </si>
  <si>
    <t>CRK_VNX_Midrange_L1_E</t>
  </si>
  <si>
    <t>CRK_Vplex_TSE_A</t>
  </si>
  <si>
    <t>CRK_WFM_A</t>
  </si>
  <si>
    <t>CRK_XtremIO_A</t>
  </si>
  <si>
    <t>CRK_XtremIO_Coach_A</t>
  </si>
  <si>
    <t>CSM Accounts</t>
  </si>
  <si>
    <t>CSM APJK</t>
  </si>
  <si>
    <t>CWD_Hyperconverged_A</t>
  </si>
  <si>
    <t>CWD_Hyperconverged_B</t>
  </si>
  <si>
    <t>CWD_VNX_MIDRANGE_247_A</t>
  </si>
  <si>
    <t>CWD_VNX_MIDRANGE_247_B</t>
  </si>
  <si>
    <t>EDN_VNX_Midrange_L1_A</t>
  </si>
  <si>
    <t>EMEA_ASE_29_RSA_CAPETOW_S_A</t>
  </si>
  <si>
    <t>EMEA_AVAMAR_GS_A</t>
  </si>
  <si>
    <t>EMEA_Cloudboost_GS_A</t>
  </si>
  <si>
    <t>EMEA_Connectivity_GS_A</t>
  </si>
  <si>
    <t>EMEA_CSA_A</t>
  </si>
  <si>
    <t>EMEA_DATADOMAIN_A</t>
  </si>
  <si>
    <t>EMEA_DATADOMAIN_B</t>
  </si>
  <si>
    <t>EMEA_DataDomain_GS_A</t>
  </si>
  <si>
    <t>EMEA_DLM_GS_A</t>
  </si>
  <si>
    <t>EMEA_DPA_GS_A</t>
  </si>
  <si>
    <t>EMEA_DPADSRT_GS_A</t>
  </si>
  <si>
    <t>EMEA_DPSolutions_GS_A</t>
  </si>
  <si>
    <t>EMEA_DPSolutions_GS_B</t>
  </si>
  <si>
    <t>EMEA_DSE_A</t>
  </si>
  <si>
    <t>EMEA_DSE_B</t>
  </si>
  <si>
    <t>EMEA_DSE_C</t>
  </si>
  <si>
    <t>EMEA_E2E_Connectivity_A</t>
  </si>
  <si>
    <t>EMEA_GBST&amp;M_A</t>
  </si>
  <si>
    <t>EMEA_Hyperconverged_GS_A</t>
  </si>
  <si>
    <t>EMEA_Isilon_GS_A</t>
  </si>
  <si>
    <t>EMEA_Isilon_GS_B</t>
  </si>
  <si>
    <t>EMEA_Mainframe_GS_A</t>
  </si>
  <si>
    <t>EMEA_Networker_GS_A</t>
  </si>
  <si>
    <t>EMEA_Networker_GS_B</t>
  </si>
  <si>
    <t>EMEA_Networker_SME_A</t>
  </si>
  <si>
    <t>EMEA_NETWORKER_TSE_C</t>
  </si>
  <si>
    <t>EMEA_OBJ_GS_A</t>
  </si>
  <si>
    <t>EMEA_OBJ_GS_B</t>
  </si>
  <si>
    <t>EMEA_PowerProtect_GS_A</t>
  </si>
  <si>
    <t>EMEA_RecoverPoint_GS_A</t>
  </si>
  <si>
    <t>EMEA_RecoverPoint_GS_B</t>
  </si>
  <si>
    <t>EMEA_SAM_A</t>
  </si>
  <si>
    <t>EMEA_SCALEIO_PowerFlex_GS_A</t>
  </si>
  <si>
    <t>EMEA_Solutions_GS_A</t>
  </si>
  <si>
    <t>EMEA_Solutions_GS_B</t>
  </si>
  <si>
    <t>EMEA_SOURCEONE_GS_A</t>
  </si>
  <si>
    <t>EMEA_Symm_GS_A</t>
  </si>
  <si>
    <t>EMEA_Symm_GS_B</t>
  </si>
  <si>
    <t>EMEA_Symm_GS_C</t>
  </si>
  <si>
    <t>EMEA_TAM_Core_B</t>
  </si>
  <si>
    <t>EMEA_VNX_Midrange_GS_A</t>
  </si>
  <si>
    <t>EMEA_VNX_Midrange_GS_B</t>
  </si>
  <si>
    <t>EMEA_VNX_Midrange_GS_C</t>
  </si>
  <si>
    <t>EMEA_VNX_Midrange_GS_D</t>
  </si>
  <si>
    <t>EMEA_VNX_Midrange_GS_E</t>
  </si>
  <si>
    <t>EMEA_VPLEX_GS_A</t>
  </si>
  <si>
    <t>EMEA_XtremIO_GS_A</t>
  </si>
  <si>
    <t>FRA_Hyperconverged_A</t>
  </si>
  <si>
    <t>FRA_VNX_Midrange_MLS_A</t>
  </si>
  <si>
    <t>GER_OBJ_A</t>
  </si>
  <si>
    <t>GER_Symm_MLS-G_A</t>
  </si>
  <si>
    <t>GER_VNX_Midrange_MLS_A</t>
  </si>
  <si>
    <t>HOP_AVAMAR_TSE_A</t>
  </si>
  <si>
    <t>HOP_AVAMAR_TSE_B</t>
  </si>
  <si>
    <t>HOP_Connectivity_Brocade_A</t>
  </si>
  <si>
    <t>HOP_Connectivity_Cisco_A</t>
  </si>
  <si>
    <t>HOP_CST_VIC_A</t>
  </si>
  <si>
    <t>HOP_CST_VIC_B</t>
  </si>
  <si>
    <t>HOP_CST_VIC_C</t>
  </si>
  <si>
    <t>HOP_E2E_Connectivity_A</t>
  </si>
  <si>
    <t>HOP_E2E_Connectivity_B</t>
  </si>
  <si>
    <t>HOP_Integrated_Software_A</t>
  </si>
  <si>
    <t>HOP_Integrated_Software_B</t>
  </si>
  <si>
    <t>HOP_Integrated_Software_C</t>
  </si>
  <si>
    <t>HOP_Integrated_Software_E</t>
  </si>
  <si>
    <t>HOP_OBJ_CAS_B</t>
  </si>
  <si>
    <t>HOP_OBJ_CAS_C</t>
  </si>
  <si>
    <t>HOP_OBJ_ECS_Recovery_A</t>
  </si>
  <si>
    <t>HOP_Symm_A</t>
  </si>
  <si>
    <t>HOP_Symm_B</t>
  </si>
  <si>
    <t>HOP_SymmSW_A</t>
  </si>
  <si>
    <t>HOP_VNX_Midrange_L1_A</t>
  </si>
  <si>
    <t>HOP_Vplex_TSE_A</t>
  </si>
  <si>
    <t>HOP_WFM_A</t>
  </si>
  <si>
    <t>HOP_XtremIO_A</t>
  </si>
  <si>
    <t>ITA_VNX_Midrange_MLS_A</t>
  </si>
  <si>
    <t>MI_Symm_MLS-I_A</t>
  </si>
  <si>
    <t>MIN_ISILON_B</t>
  </si>
  <si>
    <t>MIN_WFM_A</t>
  </si>
  <si>
    <t>NA_ Symm_ LATAM_SPA_TSE_A</t>
  </si>
  <si>
    <t>NA_AVAMAR_GS_A</t>
  </si>
  <si>
    <t>NA_AVAMAR_GS_B</t>
  </si>
  <si>
    <t>NA_Avamar_LATAM_POR_TSE_A</t>
  </si>
  <si>
    <t>NA_Avamar_LATAM_SPA_TSE_A</t>
  </si>
  <si>
    <t>NA_Cloudboost_GS_A</t>
  </si>
  <si>
    <t>NA_Connectivity_GS_A</t>
  </si>
  <si>
    <t>NA_Connectivity_GS_B</t>
  </si>
  <si>
    <t>NA_CSA_A</t>
  </si>
  <si>
    <t>NA_CSTCHAT_WEB-CHAT_A</t>
  </si>
  <si>
    <t>NA_CSTCHAT_WEB-CHAT_B</t>
  </si>
  <si>
    <t>NA_CSTeSERVICES_A</t>
  </si>
  <si>
    <t>NA_CSTLIC_A</t>
  </si>
  <si>
    <t>NA_CSTLIC_B</t>
  </si>
  <si>
    <t>NA_DataDomain_GS_A</t>
  </si>
  <si>
    <t>NA_DataDomain_LATAM_POR_TSE_A</t>
  </si>
  <si>
    <t>NA_DataDomain_LATAM_SPA_TSE_A</t>
  </si>
  <si>
    <t>NA_DLM_GS_A</t>
  </si>
  <si>
    <t>NA_DPA_GS_A</t>
  </si>
  <si>
    <t>NA_DPA_GS_B</t>
  </si>
  <si>
    <t>NA_DPADSRT_GS_A</t>
  </si>
  <si>
    <t>NA_DPSolutions_C</t>
  </si>
  <si>
    <t>NA_DPSolutions_GS_A</t>
  </si>
  <si>
    <t>NA_DPSolutions_GS_B</t>
  </si>
  <si>
    <t>NA_DPSolutions_GS_C</t>
  </si>
  <si>
    <t>NA_DPSolutions_NC_GS_A</t>
  </si>
  <si>
    <t>NA_DPSolutions_NC_GS_B</t>
  </si>
  <si>
    <t>NA_DPSolutions_TRM_GS_A</t>
  </si>
  <si>
    <t>NA_DPSolutions_WC_GS_A</t>
  </si>
  <si>
    <t>NA_DSE_A</t>
  </si>
  <si>
    <t>NA_DSE_B</t>
  </si>
  <si>
    <t>NA_DSE_C</t>
  </si>
  <si>
    <t>NA_DSE_D</t>
  </si>
  <si>
    <t>NA_DSE_E</t>
  </si>
  <si>
    <t>NA_E2E_Connectivity_A</t>
  </si>
  <si>
    <t>NA_GBST&amp;M_A</t>
  </si>
  <si>
    <t>NA_Hyperconverged_GS_A</t>
  </si>
  <si>
    <t>NA_Hyperconverged_GS_B</t>
  </si>
  <si>
    <t>NA_Hyperconverged_GS_C</t>
  </si>
  <si>
    <t>NA_Hypercoverged_ISG_Coaches_A</t>
  </si>
  <si>
    <t>NA_Isilon_GS_A</t>
  </si>
  <si>
    <t>NA_Isilon_GS_B</t>
  </si>
  <si>
    <t>NA_Isilon_GS_C</t>
  </si>
  <si>
    <t>NA_Mainframe_GS_A</t>
  </si>
  <si>
    <t>NA_Mainframe_GS_B</t>
  </si>
  <si>
    <t>NA_Networker_GS_A</t>
  </si>
  <si>
    <t>NA_Networker_GS_B</t>
  </si>
  <si>
    <t>NA_NetWorker_LATAM_SPA_TSE_A</t>
  </si>
  <si>
    <t>NA_Networker_TSE_B</t>
  </si>
  <si>
    <t>NA_OBJ_GS_A</t>
  </si>
  <si>
    <t>NA_OBJ_GS_B</t>
  </si>
  <si>
    <t>NA_PowerProtect_GS_A</t>
  </si>
  <si>
    <t>NA_RecoverPoint_GS_A</t>
  </si>
  <si>
    <t>NA_RecoverPoint_GS_B</t>
  </si>
  <si>
    <t>NA_SAM_A</t>
  </si>
  <si>
    <t>NA_SCALEIO_PowerFlex_GS_A</t>
  </si>
  <si>
    <t>NA_SCALEIO_PowerFlex_GS_B</t>
  </si>
  <si>
    <t>NA_SCALEIO_PowerFlex_GS_C</t>
  </si>
  <si>
    <t>NA_Solutions_GS_A</t>
  </si>
  <si>
    <t>NA_SOURCEONE_GS_A</t>
  </si>
  <si>
    <t>NA_SOURCEONE_GS_B</t>
  </si>
  <si>
    <t>NA_Symm_GS_A</t>
  </si>
  <si>
    <t>NA_Symm_GS_B</t>
  </si>
  <si>
    <t>NA_Symm_Perf_GS_A</t>
  </si>
  <si>
    <t>NA_Symm_Perf_GS_B</t>
  </si>
  <si>
    <t>NA_VNX_Midrange_GS_A</t>
  </si>
  <si>
    <t>NA_VNX_Midrange_GS_B</t>
  </si>
  <si>
    <t>NA_VNX_Midrange_GS_C</t>
  </si>
  <si>
    <t>NA_VNX_Midrange_GS_D</t>
  </si>
  <si>
    <t>NA_VNX_Midrange_GS_E</t>
  </si>
  <si>
    <t>NA_Vplex_GS_A</t>
  </si>
  <si>
    <t>NA_XtremIO_GS_A</t>
  </si>
  <si>
    <t>Nashua_Isilon_Dell_A</t>
  </si>
  <si>
    <t>Nashua_Isilon_Dell_B</t>
  </si>
  <si>
    <t>OKC_Hyperconverged_A</t>
  </si>
  <si>
    <t>OKC_Hyperconverged_B</t>
  </si>
  <si>
    <t>OKC_Hyperconverged_C</t>
  </si>
  <si>
    <t>PA_CST_VIC_A</t>
  </si>
  <si>
    <t>PA_Hyperconverged_A</t>
  </si>
  <si>
    <t>PA_VNX_Midrange_A</t>
  </si>
  <si>
    <t>PAR_Symm_MLS-F_A</t>
  </si>
  <si>
    <t>RR_Hyperconverged_A</t>
  </si>
  <si>
    <t>RR_HYPERCONVERGED_B</t>
  </si>
  <si>
    <t>RTPNC_Avamar_TSE_C</t>
  </si>
  <si>
    <t>RTPNC_Avamar_TSE_D</t>
  </si>
  <si>
    <t>RTPNC_DATADOMAIN_C</t>
  </si>
  <si>
    <t>RTPNC_DATADOMAIN_E</t>
  </si>
  <si>
    <t>RTPNC_ISILON_A</t>
  </si>
  <si>
    <t>RTPNC_ISILON_B</t>
  </si>
  <si>
    <t>RTPNC_ISILON_COACH_A</t>
  </si>
  <si>
    <t>RTPNC_Networker_A</t>
  </si>
  <si>
    <t>RTPNC_VNX_Midrange_L1_B</t>
  </si>
  <si>
    <t>RTPNC_VNX_Midrange_L1_C</t>
  </si>
  <si>
    <t>RTPNC_VPLEX_TSE_A</t>
  </si>
  <si>
    <t>RTPNC_WFM_A</t>
  </si>
  <si>
    <t>RTPNC_XtremIO_A</t>
  </si>
  <si>
    <t>SCL_DATADOMAIN_A</t>
  </si>
  <si>
    <t>SCL_DATADOMAIN_B</t>
  </si>
  <si>
    <t>SEA_ISILON_A</t>
  </si>
  <si>
    <t>SEA_ISILON_B</t>
  </si>
  <si>
    <t>SEA_ISILON_C</t>
  </si>
  <si>
    <t>SEA_Isilon_Coach_A</t>
  </si>
  <si>
    <t>SEL_Hyperconverged_A</t>
  </si>
  <si>
    <t>SHG_AVAMAR_TSE_A</t>
  </si>
  <si>
    <t>SHG_AVAMAR_TSE_B</t>
  </si>
  <si>
    <t>SHG_AVAMAR_TSE_C</t>
  </si>
  <si>
    <t>SHG_Connectivity_Connectrix_A</t>
  </si>
  <si>
    <t>SHG_DATADOMAIN_A</t>
  </si>
  <si>
    <t>SHG_DATADOMAIN_B</t>
  </si>
  <si>
    <t>SHG_E2E_Connectivity_A</t>
  </si>
  <si>
    <t>SHG_Hyperconverged_A</t>
  </si>
  <si>
    <t>SHG_Hyperconverged_B</t>
  </si>
  <si>
    <t>SHG_Hyperconverged_C</t>
  </si>
  <si>
    <t>SHG_Hyperconverged_Coach_A</t>
  </si>
  <si>
    <t>SHG_Hyperconverged_Coach_B</t>
  </si>
  <si>
    <t>SHG_Integrated_Software_B</t>
  </si>
  <si>
    <t>SHG_Integrated_Software_C</t>
  </si>
  <si>
    <t>SHG_ISILON_A</t>
  </si>
  <si>
    <t>SHG_ISILON_B</t>
  </si>
  <si>
    <t>SHG_ISILON_C</t>
  </si>
  <si>
    <t>SHG_ISILON_D</t>
  </si>
  <si>
    <t>SHG_ISSG_LLS_CHINA_A</t>
  </si>
  <si>
    <t>SHG_Networker_TSE_A</t>
  </si>
  <si>
    <t>SHG_NETWORKER_TSE_B</t>
  </si>
  <si>
    <t>SHG_OBJ_ATMOS_A</t>
  </si>
  <si>
    <t>SHG_OBJ_CAS_A</t>
  </si>
  <si>
    <t>SHG_OBJ_DCA_A</t>
  </si>
  <si>
    <t>SHG_RCM_A</t>
  </si>
  <si>
    <t>SHG_RCM_B</t>
  </si>
  <si>
    <t>SHG_RCM_C</t>
  </si>
  <si>
    <t>SHG_RCM_COE_A</t>
  </si>
  <si>
    <t>SHG_RCM_D</t>
  </si>
  <si>
    <t>SHG_RCM_UpgradeManagers_A</t>
  </si>
  <si>
    <t>SHG_Symm_A</t>
  </si>
  <si>
    <t>SHG_SYMM_B</t>
  </si>
  <si>
    <t>SHG_SYMM_CONTIGENCY_A</t>
  </si>
  <si>
    <t>SHG_SymmSW_A</t>
  </si>
  <si>
    <t>SHG_VNX_Midrange_Coach_A</t>
  </si>
  <si>
    <t>SHG_VNX_Midrange_Coach_B</t>
  </si>
  <si>
    <t>SHG_VNX_Midrange_L1_A</t>
  </si>
  <si>
    <t>SHG_VNX_Midrange_L1_B</t>
  </si>
  <si>
    <t>SHG_VNX_Midrange_L1_D</t>
  </si>
  <si>
    <t>SHG_VNX_Midrange_L1_E</t>
  </si>
  <si>
    <t>SHG_VNX_Midrange_L1_F</t>
  </si>
  <si>
    <t>SHG_VNX_Midrange_Perf_A</t>
  </si>
  <si>
    <t>SHG_VPLEX_CONTIGENCY_A</t>
  </si>
  <si>
    <t>SHG_Vplex_TSE_A</t>
  </si>
  <si>
    <t>SHG_WFM_A</t>
  </si>
  <si>
    <t>SHG_XtremIO_A</t>
  </si>
  <si>
    <t>SPA_VNX_Midrange_MLS_A</t>
  </si>
  <si>
    <t>SYD_AVAMAR_TSE_A</t>
  </si>
  <si>
    <t>SYD_DATADOMAIN_TSE_A</t>
  </si>
  <si>
    <t>SYD_Hyperconverged_B</t>
  </si>
  <si>
    <t>SYD_Integrated_Software_B</t>
  </si>
  <si>
    <t>SYD_Integrated_Software_C</t>
  </si>
  <si>
    <t>SYD_ISILON_A</t>
  </si>
  <si>
    <t>SYD_OBJ_CAS_A</t>
  </si>
  <si>
    <t>SYD_Symm_A</t>
  </si>
  <si>
    <t>SYD_Symm_B</t>
  </si>
  <si>
    <t>SYD_SymmSW_A</t>
  </si>
  <si>
    <t>SYD_VNX_Midrange_L1_A</t>
  </si>
  <si>
    <t>SYD_Vplex_TSE_A</t>
  </si>
  <si>
    <t>SYD_Vplex_TSE_B</t>
  </si>
  <si>
    <t>SYD_WFM_A</t>
  </si>
  <si>
    <t>SYD_XtremIO_A</t>
  </si>
  <si>
    <t>SYD_XtremIO_B</t>
  </si>
  <si>
    <t>TOK_Connectivity_Connectrix_A</t>
  </si>
  <si>
    <t>TOK_Hyperconverged_A</t>
  </si>
  <si>
    <t>TOK_ISILON_A</t>
  </si>
  <si>
    <t>TOK_ISSG_LLS_Japan_A</t>
  </si>
  <si>
    <t>TOK_Symm_A</t>
  </si>
  <si>
    <t>TOK_Symm_MFSysSW_A</t>
  </si>
  <si>
    <t>TOK_SYMMSW_A</t>
  </si>
  <si>
    <t>TOK_VNX_Midrange_L1_A</t>
  </si>
  <si>
    <t>TOK_VNX_Midrange_L1_B</t>
  </si>
  <si>
    <t>UTH_AVAMAR_TSE_A</t>
  </si>
  <si>
    <t>UTH_AVAMAR_TSE_C</t>
  </si>
  <si>
    <t>UTH_AVAMAR_TSE_E</t>
  </si>
  <si>
    <t>UTH_CST_VIC_A</t>
  </si>
  <si>
    <t>UTH_CST_VIC_C</t>
  </si>
  <si>
    <t>UTH_CST_VIC_D</t>
  </si>
  <si>
    <t>UTH_DATADOMAIN_A</t>
  </si>
  <si>
    <t>UTH_E2E_Connectivity_A</t>
  </si>
  <si>
    <t>UTH_Hyperconverged_D</t>
  </si>
  <si>
    <t>UTH_Hyperconverged_F</t>
  </si>
  <si>
    <t>UTH_Hyperconverged_G</t>
  </si>
  <si>
    <t>UTH_Hyperconverged_SST_A</t>
  </si>
  <si>
    <t>UTH_Integrated_Software_A</t>
  </si>
  <si>
    <t>UTH_Integrated_Software_B</t>
  </si>
  <si>
    <t>UTH_ISILON_A</t>
  </si>
  <si>
    <t>UTH_ISILON_B</t>
  </si>
  <si>
    <t>UTH_ISILON_C</t>
  </si>
  <si>
    <t>UTH_Isilon_D</t>
  </si>
  <si>
    <t>UTH_Networker_TSE_A</t>
  </si>
  <si>
    <t>UTH_Networker_TSE_B</t>
  </si>
  <si>
    <t>UTH_OBJ_ATMOS_A</t>
  </si>
  <si>
    <t>UTH_OBJ_ATMOS_B</t>
  </si>
  <si>
    <t>UTH_OBJ_ATMOS_COACH_A</t>
  </si>
  <si>
    <t>UTH_OBJ_DCA_A</t>
  </si>
  <si>
    <t>UTH_RCM_Upgrade_A</t>
  </si>
  <si>
    <t>UTH_RCM_Upgrade_B</t>
  </si>
  <si>
    <t>UTH_RCM_Upgrade_C</t>
  </si>
  <si>
    <t>UTH_RCM_Upgrade_D</t>
  </si>
  <si>
    <t>UTH_RCM_Upgrade_E</t>
  </si>
  <si>
    <t>UTH_RCM_Upgrade_F</t>
  </si>
  <si>
    <t>UTH_RCM_UpgradeManagers_A</t>
  </si>
  <si>
    <t>UTH_SCALEIO_A</t>
  </si>
  <si>
    <t>UTH_Symm_A</t>
  </si>
  <si>
    <t>UTH_SYMM_B</t>
  </si>
  <si>
    <t>UTH_SymmSW_A</t>
  </si>
  <si>
    <t>UTH_SymmSW_B</t>
  </si>
  <si>
    <t>UTH_VNX_Midrange_L1_A</t>
  </si>
  <si>
    <t>UTH_VNX_Midrange_L1_B</t>
  </si>
  <si>
    <t>UTH_VNX_Midrange_L1_D</t>
  </si>
  <si>
    <t>UTH_VNX_Midrange_L1_F</t>
  </si>
  <si>
    <t>UTH_VNX_Midrange_TechLead_A</t>
  </si>
  <si>
    <t>UTH_Vplex_TSE_A</t>
  </si>
  <si>
    <t>UTH_WFM_A</t>
  </si>
  <si>
    <t>UTH_XtremIO_A</t>
  </si>
  <si>
    <t>UTH_XtremIO_B</t>
  </si>
  <si>
    <t>UTH_XtremIO_Coach_B</t>
  </si>
  <si>
    <t>BNG_Converged_Wipro_A</t>
  </si>
  <si>
    <t>BNG_Hyperconverged_FP_Wipro_A</t>
  </si>
  <si>
    <t>BNG_IDPA_A</t>
  </si>
  <si>
    <t>BNG_ISILON_HARDWARE</t>
  </si>
  <si>
    <t>HER_Hyperconverged_A</t>
  </si>
  <si>
    <t>SEL_ISSG_LLS_Korea_A</t>
  </si>
  <si>
    <t>SHG_XtremIO_Contingent_A</t>
  </si>
  <si>
    <t>-</t>
  </si>
  <si>
    <t>Cork</t>
  </si>
  <si>
    <t>Egy</t>
  </si>
  <si>
    <t>VCF1</t>
  </si>
  <si>
    <t>VCF Delivery Engineer</t>
  </si>
  <si>
    <t>XE01</t>
  </si>
  <si>
    <t>Global PowerEdge XE Multi-Lingual</t>
  </si>
  <si>
    <t>XE02</t>
  </si>
  <si>
    <t>Global PowerEdge XE DE</t>
  </si>
  <si>
    <t>BT05</t>
  </si>
  <si>
    <t>EMEA Server Upsell English</t>
  </si>
  <si>
    <t>BT06</t>
  </si>
  <si>
    <t>EC Compute CEE RUA</t>
  </si>
  <si>
    <t>BT07</t>
  </si>
  <si>
    <t>SER Compute Iberian</t>
  </si>
  <si>
    <t>BT08</t>
  </si>
  <si>
    <t>SER Server Upsell French</t>
  </si>
  <si>
    <t>NE39</t>
  </si>
  <si>
    <t>Compute ProSupport Alt Channel</t>
  </si>
  <si>
    <t>VCF</t>
  </si>
  <si>
    <t>Bethany Rana</t>
  </si>
  <si>
    <t>BT02</t>
  </si>
  <si>
    <t>Brazil Midrange</t>
  </si>
  <si>
    <t>BT03</t>
  </si>
  <si>
    <t>MMCLA Midrange</t>
  </si>
  <si>
    <t>MMCLA</t>
  </si>
  <si>
    <t>11/5, 8/1</t>
  </si>
  <si>
    <t>HEL2</t>
  </si>
  <si>
    <t>HEG3</t>
  </si>
  <si>
    <t>LATAM Avamar Spanish</t>
  </si>
  <si>
    <t>LATAM Avamar Portuguese</t>
  </si>
  <si>
    <t>HEH4</t>
  </si>
  <si>
    <t>HEH5</t>
  </si>
  <si>
    <t>LATAM DataDomain Portuguese</t>
  </si>
  <si>
    <t>LATAM DataDomain Spanish</t>
  </si>
  <si>
    <t>HED1</t>
  </si>
  <si>
    <t>HED2</t>
  </si>
  <si>
    <t>LATAM Networker Portuguese</t>
  </si>
  <si>
    <t>LATAM Networker Spanish</t>
  </si>
  <si>
    <t>HEL3</t>
  </si>
  <si>
    <t>HEL1</t>
  </si>
  <si>
    <t>LATAM PowerScale Portuguese</t>
  </si>
  <si>
    <t>LATAM PowerScale Spanish</t>
  </si>
  <si>
    <t>HEE4</t>
  </si>
  <si>
    <t>LATAM Primary Storage Portuguese</t>
  </si>
  <si>
    <t>HEE5</t>
  </si>
  <si>
    <t>LATAM Primary Storage Spanish</t>
  </si>
  <si>
    <t>HEL4</t>
  </si>
  <si>
    <t>LATAM ECS Portuguese</t>
  </si>
  <si>
    <t>LATAM ECS Spanish</t>
  </si>
  <si>
    <t>HEL5</t>
  </si>
  <si>
    <t>RM Brazil</t>
  </si>
  <si>
    <t>Talley, Chad</t>
  </si>
  <si>
    <t>Christmas, James</t>
  </si>
  <si>
    <t>Demarest, Mark</t>
  </si>
  <si>
    <t>Copeland, Jessica</t>
  </si>
  <si>
    <t>Banthia, Nishant</t>
  </si>
  <si>
    <t>Johnson, Meghan</t>
  </si>
  <si>
    <t>Corcoran, Conor</t>
  </si>
  <si>
    <t>Venugopal, Lokesh</t>
  </si>
  <si>
    <t>Morgan, Melissa</t>
  </si>
  <si>
    <t>Tomczyk, Patrick</t>
  </si>
  <si>
    <t>Fitzgerald, Richard</t>
  </si>
  <si>
    <t>Patino, Paola</t>
  </si>
  <si>
    <t>Lind, Matt</t>
  </si>
  <si>
    <t>Semler, Jeff</t>
  </si>
  <si>
    <t>Otto, Jacob</t>
  </si>
  <si>
    <t>LATAM AH Portuguese</t>
  </si>
  <si>
    <t>LATAM Top Customers Portuguese</t>
  </si>
  <si>
    <t>CCC Compute ProSupport Mandarin Voice BW</t>
  </si>
  <si>
    <t>LATAM Networking Portuguese</t>
  </si>
  <si>
    <t>CCC CNS Cantonese</t>
  </si>
  <si>
    <t>CCC Compute Basic Mandarin Voice BW</t>
  </si>
  <si>
    <t>CCC CNS Mandarin Email</t>
  </si>
  <si>
    <t>CZE Enterprise (BRA)</t>
  </si>
  <si>
    <t>GER Enterprise (HAL)</t>
  </si>
  <si>
    <t>Licensing Support</t>
  </si>
  <si>
    <t>LATAM Compute Spanish</t>
  </si>
  <si>
    <t>LATAM AH Spanish</t>
  </si>
  <si>
    <t>LATAM Networking Spanish</t>
  </si>
  <si>
    <t>LATAM Top Customers Spanish</t>
  </si>
  <si>
    <t>APJ WFM</t>
  </si>
  <si>
    <t>BT04</t>
  </si>
  <si>
    <t>BT09</t>
  </si>
  <si>
    <t>CCC MidRange Mandarin</t>
  </si>
  <si>
    <t>BT10</t>
  </si>
  <si>
    <t>CCC CNS Mandarin Voice</t>
  </si>
  <si>
    <t>BZ24</t>
  </si>
  <si>
    <t>LATAM Compute Portuguese</t>
  </si>
  <si>
    <t>Global Networking English</t>
  </si>
  <si>
    <t>Custom Model</t>
  </si>
  <si>
    <t>Not Planned</t>
  </si>
  <si>
    <t>Non-L1</t>
  </si>
  <si>
    <t>StephenRaj  Kumar</t>
  </si>
  <si>
    <t>Khim Sun Lau</t>
  </si>
  <si>
    <t>Lucas Serafim</t>
  </si>
  <si>
    <t>Inactive</t>
  </si>
  <si>
    <t>DE18</t>
  </si>
  <si>
    <t>CER Server German</t>
  </si>
  <si>
    <t>GM01</t>
  </si>
  <si>
    <t>Global Midrange</t>
  </si>
  <si>
    <t>NA01</t>
  </si>
  <si>
    <t>NA Compute Pro Support</t>
  </si>
  <si>
    <t>PE01</t>
  </si>
  <si>
    <t>VCF2</t>
  </si>
  <si>
    <t>VCF Upgrade Coordinator</t>
  </si>
  <si>
    <t>APJ UDS PowerScale Chinese</t>
  </si>
  <si>
    <t>APJ UDS PowerScale Japanese</t>
  </si>
  <si>
    <t xml:space="preserve">HCS LATAM BRZ VxRail </t>
  </si>
  <si>
    <t>CCC Enterprise CMG Mandarin Voice BW</t>
  </si>
  <si>
    <t>EMEA PowerScale CTE</t>
  </si>
  <si>
    <t>EMEA Storage CTE</t>
  </si>
  <si>
    <t>GLOBAL UDS PowerScale</t>
  </si>
  <si>
    <t>Global AST</t>
  </si>
  <si>
    <t>HES Global PowerScale Support</t>
  </si>
  <si>
    <t>HES Global VMAX</t>
  </si>
  <si>
    <t>HES Global PowerScale</t>
  </si>
  <si>
    <t>NA PowerScale HE Storage Voice</t>
  </si>
  <si>
    <t>EMEA English Integrated Software</t>
  </si>
  <si>
    <t>AMER English PowerScale</t>
  </si>
  <si>
    <t>EMEA English PowerScale</t>
  </si>
  <si>
    <t>APJ English PowerScale</t>
  </si>
  <si>
    <t>HES Global DPSolutions WIPRO</t>
  </si>
  <si>
    <t>APJ UDS PowerScale</t>
  </si>
  <si>
    <t>EMEA UDS PowerScale</t>
  </si>
  <si>
    <t>India UDS PowerScale</t>
  </si>
  <si>
    <t>LATAM UDS PowerScale</t>
  </si>
  <si>
    <t>NAMER UDS PowerScale</t>
  </si>
  <si>
    <t>NAMER UDS OBJ</t>
  </si>
  <si>
    <t>HCS INDIA VxRail</t>
  </si>
  <si>
    <t>India UDS OBJ</t>
  </si>
  <si>
    <t>EMEA UDS OBJ</t>
  </si>
  <si>
    <t>APJ UDS OBJ</t>
  </si>
  <si>
    <t>MMCLA VXRail Spanish</t>
  </si>
  <si>
    <t>Nordics Server Core (TUR)</t>
  </si>
  <si>
    <t>NCS Non-Frontline</t>
  </si>
  <si>
    <t xml:space="preserve">Global PowerEdge DSE </t>
  </si>
  <si>
    <t>GC20</t>
  </si>
  <si>
    <t>GC19</t>
  </si>
  <si>
    <t>GC18</t>
  </si>
  <si>
    <t>GC17</t>
  </si>
  <si>
    <t>Global PowerFlex Domain Engineer</t>
  </si>
  <si>
    <t>Global PowerFlex</t>
  </si>
  <si>
    <t>Global VxRail Domain Engineer</t>
  </si>
  <si>
    <t>Global VxRail</t>
  </si>
  <si>
    <t>Carey, Geraldine</t>
  </si>
  <si>
    <t>BT12</t>
  </si>
  <si>
    <t>LATAM Midrange Spanish</t>
  </si>
  <si>
    <t>BT11</t>
  </si>
  <si>
    <t>LATAM Midrange Portuguese</t>
  </si>
  <si>
    <t>BT14</t>
  </si>
  <si>
    <t>SER Server Italian</t>
  </si>
  <si>
    <t>BT13</t>
  </si>
  <si>
    <t>EC Server Arabic</t>
  </si>
  <si>
    <t xml:space="preserve">Old  </t>
  </si>
  <si>
    <t xml:space="preserve">New </t>
  </si>
  <si>
    <t>Old CQN Code</t>
  </si>
  <si>
    <t>Old CQN Name</t>
  </si>
  <si>
    <t>New CQN Code</t>
  </si>
  <si>
    <t>New CQN Name</t>
  </si>
  <si>
    <t>SER Server French</t>
  </si>
  <si>
    <t>GC21</t>
  </si>
  <si>
    <t>Global Compute English</t>
  </si>
  <si>
    <t>GCF1</t>
  </si>
  <si>
    <t>Global Compute Community Forum</t>
  </si>
  <si>
    <t>NF58</t>
  </si>
  <si>
    <t>Global HCS Content Creators</t>
  </si>
  <si>
    <t>Vega, Cyril</t>
  </si>
  <si>
    <t>Active</t>
  </si>
  <si>
    <t>Status</t>
  </si>
  <si>
    <t>Planner 3</t>
  </si>
  <si>
    <t>Planner 5</t>
  </si>
  <si>
    <t>Planner 6</t>
  </si>
  <si>
    <t>Planner 7</t>
  </si>
  <si>
    <t>KOR Compute Upsell Korean</t>
  </si>
  <si>
    <t>KOR Storage Upsell Korean</t>
  </si>
  <si>
    <t>KOR Compute Basic Korean</t>
  </si>
  <si>
    <t>KOR Networking Upsell Korean</t>
  </si>
  <si>
    <t>Scope to Merge</t>
  </si>
  <si>
    <t>Coverage Time</t>
  </si>
  <si>
    <t>Coverage Days</t>
  </si>
  <si>
    <t>24*7</t>
  </si>
  <si>
    <t>Sat- Fri</t>
  </si>
  <si>
    <t>06:00-21:00 IST</t>
  </si>
  <si>
    <t>Sat-Fri</t>
  </si>
  <si>
    <t>08:30-18:00 CST</t>
  </si>
  <si>
    <t>01:00-09:00 CST</t>
  </si>
  <si>
    <t>Sat: 08:00-17:00, Sun-Fri 24/6 CST</t>
  </si>
  <si>
    <t>07:00-22:30 (Brasilia timezone)</t>
  </si>
  <si>
    <t xml:space="preserve">Mon-Sun </t>
  </si>
  <si>
    <t>08:00-22:30 (Brasilia timezone)</t>
  </si>
  <si>
    <t xml:space="preserve">Mon-Fri </t>
  </si>
  <si>
    <t>Email: 24*7, Chat: Mon-Fri 8:30-17:30 (GMT+8)</t>
  </si>
  <si>
    <t>Queue no longer exists eff Oct'24</t>
  </si>
  <si>
    <t>Queue no longer exists</t>
  </si>
  <si>
    <t>09:00-18:00 MYT (excluding Public Holidays)</t>
  </si>
  <si>
    <t>Mon-Fri</t>
  </si>
  <si>
    <t>09:00-21:00 IST</t>
  </si>
  <si>
    <t>24*7 (they get aligned to the agent schedules)</t>
  </si>
  <si>
    <t>09:00 – 17:30 JST</t>
  </si>
  <si>
    <t>Information not available</t>
  </si>
  <si>
    <t>Sat-Sun: 07:00-19:00 CST &amp; Mon-Fri: 07:00-20:00 CST</t>
  </si>
  <si>
    <t>08:00-19:00 (GMT+1)</t>
  </si>
  <si>
    <t>08:00-18:00 (GMT+1)</t>
  </si>
  <si>
    <t>07:00-21:00 CST</t>
  </si>
  <si>
    <t>0800-16:30  (GMT+1)</t>
  </si>
  <si>
    <t>08:00-17:30 (GMT+1)</t>
  </si>
  <si>
    <t>08:00-17:30 (GMT+0)</t>
  </si>
  <si>
    <t>07:00-18:00 (GMT+0)</t>
  </si>
  <si>
    <t>07:00-19:00 CST</t>
  </si>
  <si>
    <t>06:00-21:00 CST</t>
  </si>
  <si>
    <t>10:00-18:00 (GMT+1)</t>
  </si>
  <si>
    <t>07:00-23:00 (Bogota timezone)</t>
  </si>
  <si>
    <t>09:00-18:00 (GMT+1)</t>
  </si>
  <si>
    <t>07:00-17:00 (GMT+0)</t>
  </si>
  <si>
    <t>07:00-17:30 (GMT+0)</t>
  </si>
  <si>
    <t>Sun-Thu: 06:00-16:30, Fri: 08:00-16:30 (GMT+1)</t>
  </si>
  <si>
    <t>Sun-Fri</t>
  </si>
  <si>
    <t>06:00-17:00 (GMT+1)</t>
  </si>
  <si>
    <t>08:00-18:00 (Brasilia timezone)</t>
  </si>
  <si>
    <t>08:00-18:00 (Bogota timezone)</t>
  </si>
  <si>
    <t>07:00-19:00 (GMT+10)</t>
  </si>
  <si>
    <t>06:00-23:00 CST</t>
  </si>
  <si>
    <t>06:00-19:00 CST</t>
  </si>
  <si>
    <t>06:00-18:00 CST</t>
  </si>
  <si>
    <t>05:00-21:00 CST</t>
  </si>
  <si>
    <t>05:00-23:00 CST</t>
  </si>
  <si>
    <t>08:00-20:00 CST</t>
  </si>
  <si>
    <t xml:space="preserve">17:00-11:30 CST </t>
  </si>
  <si>
    <t>06:00-22:00 IST</t>
  </si>
  <si>
    <t>10:00-20:00 IST (Mon-Fri), 10:00-19:00 (Sat-Sun)</t>
  </si>
  <si>
    <t>08:00-16:00 (GMT+10)</t>
  </si>
  <si>
    <t>AVAYA: 04:00-19:00 EST, Case: 24*7</t>
  </si>
  <si>
    <t>07:00-16:30 (GMT+0)</t>
  </si>
  <si>
    <t>Mon-Thu: 07:00-18:00, Fri: 08:00-18:00, Sun: 07:00-15:00  (GMT+0)</t>
  </si>
  <si>
    <t>08:00-18:00 (GMT +10)</t>
  </si>
  <si>
    <t>Email &amp; Voice: 24*7, Chat: Mon-Fri 09:00-18:00 (GMT+8)</t>
  </si>
  <si>
    <t>08:00-17:00  (GMT+1)</t>
  </si>
  <si>
    <t>21:00-06:00 CST</t>
  </si>
  <si>
    <t>08:00-20:00 (Brasilia timezone)</t>
  </si>
  <si>
    <t>Mon-Sat</t>
  </si>
  <si>
    <t>22:20-07:20 (Brasilia timezone)</t>
  </si>
  <si>
    <t>08:00-17:30  (GMT+1)</t>
  </si>
  <si>
    <t>08:00-17:29 (Brasilia timezone)</t>
  </si>
  <si>
    <t>08:00-16:30 (GMT+1)</t>
  </si>
  <si>
    <t>23:00-07:00 (Bogota timezone)</t>
  </si>
  <si>
    <t>08:00-16:00 (GMT+1)</t>
  </si>
  <si>
    <t>09:00-17:00 KST</t>
  </si>
  <si>
    <t>05:00-20:00 CST</t>
  </si>
  <si>
    <t>06:00-20:00 CST</t>
  </si>
  <si>
    <t>01:00-12:00 CST</t>
  </si>
  <si>
    <t>05:00-22:30 IST</t>
  </si>
  <si>
    <t>07:00-23:30 CST</t>
  </si>
  <si>
    <t>06:00-23:00 (GMT+8)</t>
  </si>
  <si>
    <t>07:00-23:00 (GMT+8)</t>
  </si>
  <si>
    <t>07:00-18:00 CST</t>
  </si>
  <si>
    <t>18:00-14:00 EST</t>
  </si>
  <si>
    <t>06:00-18:00 (GMT+8)</t>
  </si>
  <si>
    <t>03:30-22:30 IST</t>
  </si>
  <si>
    <t>05:00-20:30 CST</t>
  </si>
  <si>
    <t>08:00–20:00 AEST</t>
  </si>
  <si>
    <t>06:00-18:00 (Daylight Saving Time) / 07:00-18:00 (Winter Time) (GMT+8)</t>
  </si>
  <si>
    <t>05:30-19:30 IST</t>
  </si>
  <si>
    <t>07:00-22:30 JST</t>
  </si>
  <si>
    <t>Mon-Sat: 06:00-18:00 (Daylight Saving Time); Mon-Sat: 07:00-18:00 (Winter Time) (GMT+8)
Sun: 06:00-14:00 (Daylight Saving Time), 07:00-15:00 (Winter Time) (GMT+8)</t>
  </si>
  <si>
    <t>09:00-17:00 AEST</t>
  </si>
  <si>
    <t>07:00–17:00 AEST</t>
  </si>
  <si>
    <t>Mon-Fri: 08:00-17:00 (GMT+8)
Sat-Sun: 08:00-14:00 (Daylight Saving Time), 09:00-15:00 (Winter Time) (GMT+8)</t>
  </si>
  <si>
    <t>Case: 07:00-19:00, Avaya: 08:00-18:00 (GMT+8)</t>
  </si>
  <si>
    <t>Mon-Fri: 06:30--20:30 IST &amp; Sat-Sun: 11:30-20:30 IST</t>
  </si>
  <si>
    <t>08:00–16:00 AEST </t>
  </si>
  <si>
    <t>08:00–16:00 AEST</t>
  </si>
  <si>
    <t>08:00-17:00 CST</t>
  </si>
  <si>
    <t> 09:00–17:30 JST</t>
  </si>
  <si>
    <t>Mon-Fri: 06:00-18:00 (Daylight Saving Time), Mon-Fri: 07:00-18:00 (Winter Time) (GMT+8)
Sat-Sun: 06:00-14:00 (Daylight Saving Time), 07:00-15:00 (Winter Time) (GMT+8)</t>
  </si>
  <si>
    <t>Mon-Fri: 06:00-18:00 (Daylight Saving Time); Mon-Fri: 07:00-18:00 (Winter Time) (GMT+8)
Sat-Sun: 06:00-14:00 (Daylight Saving Time), 07:00-15:00 (Winter Time) (GMT+8)</t>
  </si>
  <si>
    <t>09:00-17:30 JST</t>
  </si>
  <si>
    <t xml:space="preserve">09:00-17:00 Seoul </t>
  </si>
  <si>
    <t>GS02</t>
  </si>
  <si>
    <t>Global Solutions MS DE</t>
  </si>
  <si>
    <t>GS01</t>
  </si>
  <si>
    <t>Global Solutions HCI DE</t>
  </si>
  <si>
    <t>GS03</t>
  </si>
  <si>
    <t>EMEA Solutions HCI FL</t>
  </si>
  <si>
    <t>GS04</t>
  </si>
  <si>
    <t>EMEA Solutions MS FL</t>
  </si>
  <si>
    <t>GC22</t>
  </si>
  <si>
    <t>Global Connectivity</t>
  </si>
  <si>
    <t>Global Integrated Software</t>
  </si>
  <si>
    <t>GC23</t>
  </si>
  <si>
    <t>Global Symmetrix</t>
  </si>
  <si>
    <t>GC24</t>
  </si>
  <si>
    <t>Global Symmetrix SW</t>
  </si>
  <si>
    <t>BL17</t>
  </si>
  <si>
    <t>GLOBAL HES MIDRANGE Backline</t>
  </si>
  <si>
    <t>GS05</t>
  </si>
  <si>
    <t>Global HES Midrange FL</t>
  </si>
  <si>
    <t>Global ESG Midrange Backline</t>
  </si>
  <si>
    <t>Global Connectivity Backline</t>
  </si>
  <si>
    <t>Global DLM Backline</t>
  </si>
  <si>
    <t>Global Mainframe Backline</t>
  </si>
  <si>
    <t>Global Symmetrix Backline</t>
  </si>
  <si>
    <t>Global SymmSW Backline</t>
  </si>
  <si>
    <t>Global Vplex Backline</t>
  </si>
  <si>
    <t>GC08</t>
  </si>
  <si>
    <t>GIST Manager</t>
  </si>
  <si>
    <t>S&amp;AS Scheduler</t>
  </si>
  <si>
    <t>WFM Manager</t>
  </si>
  <si>
    <t>VMWare &amp; Hyperconverged</t>
  </si>
  <si>
    <t>GS01_Global Solutions HCI</t>
  </si>
  <si>
    <t>Server &amp; Global Solutions</t>
  </si>
  <si>
    <t>GS02_Global Solutions MS</t>
  </si>
  <si>
    <t>Missing</t>
  </si>
  <si>
    <t>Fix</t>
  </si>
  <si>
    <t>Code</t>
  </si>
  <si>
    <t>Action</t>
  </si>
  <si>
    <t>Raghaw</t>
  </si>
  <si>
    <t>Sarthak</t>
  </si>
  <si>
    <t>Capacity code</t>
  </si>
  <si>
    <t>Combined Queue Name</t>
  </si>
  <si>
    <t>New_Capacity code</t>
  </si>
  <si>
    <t>New_Combined Queue Name</t>
  </si>
  <si>
    <t>GS05_Global HES Midrange FL</t>
  </si>
  <si>
    <t>GC22_Global Connectivity</t>
  </si>
  <si>
    <t>BL17_GLOBAL HES MIDRANGE Backline</t>
  </si>
  <si>
    <t>GC24_Global Symmetrix SW</t>
  </si>
  <si>
    <t>HE12_Global Integrated Software</t>
  </si>
  <si>
    <t>GC25</t>
  </si>
  <si>
    <t>Global Vplex FL</t>
  </si>
  <si>
    <t>GC25_Global Vplex FL</t>
  </si>
  <si>
    <t>StephenRaj  Kumar / CZ</t>
  </si>
  <si>
    <t>Compute</t>
  </si>
  <si>
    <t>GC21_Global Compute English</t>
  </si>
  <si>
    <t>Comment</t>
  </si>
  <si>
    <t>Queues AA Plan For</t>
  </si>
  <si>
    <t>GS03_EMEA Solutions HCI FL</t>
  </si>
  <si>
    <t>GS04_EMEA Solutions MS FL</t>
  </si>
  <si>
    <t>Arpit Rathod</t>
  </si>
  <si>
    <t>Vasudev Warik</t>
  </si>
  <si>
    <t>Sarthak Shahir</t>
  </si>
  <si>
    <t>Raghaw Dubey</t>
  </si>
  <si>
    <t>Rahul Rohilkar / Arpit</t>
  </si>
  <si>
    <t>Merged in GS02</t>
  </si>
  <si>
    <t>Merged in GC21</t>
  </si>
  <si>
    <t>Merged in GS04</t>
  </si>
  <si>
    <t>Merged in GS03</t>
  </si>
  <si>
    <t>Merged in GS01</t>
  </si>
  <si>
    <t>Merged in BL17</t>
  </si>
  <si>
    <t>Merged in GC22</t>
  </si>
  <si>
    <t>Merged in HE12</t>
  </si>
  <si>
    <t>Merged in GC23</t>
  </si>
  <si>
    <t>Merged in GC24</t>
  </si>
  <si>
    <t>Merged in GS05</t>
  </si>
  <si>
    <t>Merged in GC25</t>
  </si>
  <si>
    <t>1. Filter Out</t>
  </si>
  <si>
    <t>Validation Required</t>
  </si>
  <si>
    <t>Getting Merged to CCC CNS Mandarian</t>
  </si>
  <si>
    <t>Need to Check with BP</t>
  </si>
  <si>
    <t>Getting Merged to AP23</t>
  </si>
  <si>
    <t>APJ Xtremio IO is merged here</t>
  </si>
  <si>
    <t>Should be merged with GP01 and GM01</t>
  </si>
  <si>
    <t>Getting Merged as Korea CNS</t>
  </si>
  <si>
    <t>Getting Mereged to HES Midrange Japanease</t>
  </si>
  <si>
    <t>EC</t>
  </si>
  <si>
    <t>GLOBAL Compellent Capgemini</t>
  </si>
  <si>
    <t>HES Global DataDomain</t>
  </si>
  <si>
    <t>Spanish VXRail</t>
  </si>
  <si>
    <t>APJ English VXRail</t>
  </si>
  <si>
    <t>Wipro AMER Midrange</t>
  </si>
  <si>
    <t>Global Symmetrix FL</t>
  </si>
  <si>
    <t>Global Connectivity FL</t>
  </si>
  <si>
    <t>Global Symmetrix SW FL</t>
  </si>
  <si>
    <t>Global Integrated Software FL</t>
  </si>
  <si>
    <t>Need to Split between GP01 and GM01</t>
  </si>
  <si>
    <t>WIP</t>
  </si>
  <si>
    <t>Creixell, Gustavo</t>
  </si>
  <si>
    <t>APJ DPD Japanese</t>
  </si>
  <si>
    <t>CCC CNS Mandarin</t>
  </si>
  <si>
    <t>CC29</t>
  </si>
  <si>
    <t>Korea CNS</t>
  </si>
  <si>
    <t>KR14</t>
  </si>
  <si>
    <t>Attrition</t>
  </si>
  <si>
    <t>GC02</t>
  </si>
  <si>
    <t>GC04</t>
  </si>
  <si>
    <t>GC06</t>
  </si>
  <si>
    <t>GC16</t>
  </si>
  <si>
    <t>L2G5</t>
  </si>
  <si>
    <t>Zhuo Chen</t>
  </si>
  <si>
    <t>Taini Liang - Dellteam</t>
  </si>
  <si>
    <t>Narendra Singh - Dellteam</t>
  </si>
  <si>
    <t>Jennifer Wang - Dellteam</t>
  </si>
  <si>
    <t>Keser Singh - Dellteam</t>
  </si>
  <si>
    <t>Michael Yumnam - Dellteam</t>
  </si>
  <si>
    <t>Manish Gahlawat-Dellteam</t>
  </si>
  <si>
    <t>Vikesh Gupta - Dellteam</t>
  </si>
  <si>
    <t>Prachi Gupta - Dellteam</t>
  </si>
  <si>
    <t>Komal Chhabra - Dell Team</t>
  </si>
  <si>
    <t>Geeta G-DellTeam</t>
  </si>
  <si>
    <t>Mukesh Kumar-Dellteam</t>
  </si>
  <si>
    <t>Geeta Tolani - Dellteam</t>
  </si>
  <si>
    <t>Titu Sharma - Dellteam</t>
  </si>
  <si>
    <t>Manish Gahlawat - Dellteam</t>
  </si>
  <si>
    <t>Jayant Chandekar - Dellteam</t>
  </si>
  <si>
    <t>Arpit Rathod - Dellteam</t>
  </si>
  <si>
    <t>Rahul Rohilkar - Dellteam</t>
  </si>
  <si>
    <t>Sarthak Shahir - Dellteam</t>
  </si>
  <si>
    <t>Abdul Latif Ansari - Dell Team</t>
  </si>
  <si>
    <t>Vasudev Warik - Dellteam</t>
  </si>
  <si>
    <t>MOONEY ELT</t>
  </si>
  <si>
    <t>E2E Manager</t>
  </si>
  <si>
    <t>Licensing Manager</t>
  </si>
  <si>
    <t>S&amp;AS Manager</t>
  </si>
  <si>
    <t>ARS ESC Commercial REC</t>
  </si>
  <si>
    <t>PowerScale</t>
  </si>
  <si>
    <t>Dexter Brown</t>
  </si>
  <si>
    <t>Denis Lucey</t>
  </si>
  <si>
    <t>Multiple SubRegions</t>
  </si>
  <si>
    <t>Language</t>
  </si>
  <si>
    <t>English</t>
  </si>
  <si>
    <t>Portuguese</t>
  </si>
  <si>
    <t>Multiple Languages</t>
  </si>
  <si>
    <t>Mandarin</t>
  </si>
  <si>
    <t>Korean</t>
  </si>
  <si>
    <t>German</t>
  </si>
  <si>
    <t>Hebrew</t>
  </si>
  <si>
    <t>French</t>
  </si>
  <si>
    <t>English/Spanish</t>
  </si>
  <si>
    <t>Japanese</t>
  </si>
  <si>
    <t>Swedish</t>
  </si>
  <si>
    <t>Arabic</t>
  </si>
  <si>
    <t>Italian</t>
  </si>
  <si>
    <t>Russian</t>
  </si>
  <si>
    <t>Thai</t>
  </si>
  <si>
    <t>Vietnamese</t>
  </si>
  <si>
    <t>Dutch</t>
  </si>
  <si>
    <t>Czech/Slovak</t>
  </si>
  <si>
    <t>Greek</t>
  </si>
  <si>
    <t>Polish</t>
  </si>
  <si>
    <t>Turkish</t>
  </si>
  <si>
    <t>Cantonese</t>
  </si>
  <si>
    <t>Bahasa Indonesia</t>
  </si>
  <si>
    <t>Scheduler</t>
  </si>
  <si>
    <t>Hake, Sadashiv - Dell Team</t>
  </si>
  <si>
    <t>Shankar Yadav, Shiv - Dell Team</t>
  </si>
  <si>
    <t>Thakur, Jyoti - Dell Team</t>
  </si>
  <si>
    <t>Walunj, Vinod - Dell Team</t>
  </si>
  <si>
    <t>Arya, Ramesh - Dell Team</t>
  </si>
  <si>
    <t>Dutt, Jitendra - Dell Team</t>
  </si>
  <si>
    <t>Paliwal, Chetan - Dell Team</t>
  </si>
  <si>
    <t>Nandakumar, Shashidhar - Dell Team</t>
  </si>
  <si>
    <t>Bansode, Mahendra - Dell Team</t>
  </si>
  <si>
    <t>Wei Han, Ying - Dell Team</t>
  </si>
  <si>
    <t>Tejpal, Sanna - Dell Team</t>
  </si>
  <si>
    <t>Mahajan, Rohit - Dell Team</t>
  </si>
  <si>
    <t>Prasad, Ranjan - Dell Team</t>
  </si>
  <si>
    <t>Global HES Midrange Backline</t>
  </si>
  <si>
    <t>CNS Technical Lead</t>
  </si>
  <si>
    <t>Global Powerflex</t>
  </si>
  <si>
    <t>Global PowerEdge DSE</t>
  </si>
  <si>
    <t>Front Line</t>
  </si>
  <si>
    <t>Backline</t>
  </si>
  <si>
    <t>Combined</t>
  </si>
  <si>
    <t>Juliano Alves Neres</t>
  </si>
  <si>
    <t>Marcy Jelinek</t>
  </si>
  <si>
    <t>Swathypriyal S</t>
  </si>
  <si>
    <t>OSP Forecast</t>
  </si>
  <si>
    <t>BW03</t>
  </si>
  <si>
    <t>CCC CNS Mandarin BW</t>
  </si>
  <si>
    <t>BW02</t>
  </si>
  <si>
    <t>CCC CNS Cantonese BW</t>
  </si>
  <si>
    <t>CM05</t>
  </si>
  <si>
    <t>CCC Midrange Mandarin BW</t>
  </si>
  <si>
    <t>CX03</t>
  </si>
  <si>
    <t>Server Core ANZ CNX</t>
  </si>
  <si>
    <t>CCB2</t>
  </si>
  <si>
    <t>CCC Compute Mandarin Email BW</t>
  </si>
  <si>
    <t>HC_Week 3</t>
  </si>
  <si>
    <t>Row Labels</t>
  </si>
  <si>
    <t>Count of epicenter_cco_queue_desc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</si>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</sst>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Arial"/>
      <family val="2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3" fillId="0" borderId="0">
      <alignment vertical="top"/>
    </xf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164" fontId="1" fillId="0" borderId="0" applyFont="0" applyFill="0" applyBorder="0" applyAlignment="0" applyProtection="0"/>
  </cellStyleXfs>
  <cellXfs count="93">
    <xf numFmtId="0" fontId="0" fillId="0" borderId="0" xfId="0"/>
    <xf numFmtId="10" fontId="0" fillId="0" borderId="0" xfId="0" applyNumberFormat="1"/>
    <xf numFmtId="0" fontId="0" fillId="0" borderId="1" xfId="0" applyBorder="1"/>
    <xf numFmtId="0" fontId="0" fillId="0" borderId="0" xfId="0" pivotButton="1"/>
    <xf numFmtId="0" fontId="2" fillId="0" borderId="0" xfId="0" quotePrefix="1" applyFont="1" applyAlignment="1">
      <alignment horizontal="left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1" applyNumberFormat="1" applyFont="1" applyFill="1" applyAlignment="1">
      <alignment horizontal="center"/>
    </xf>
    <xf numFmtId="0" fontId="0" fillId="2" borderId="0" xfId="0" applyFill="1"/>
    <xf numFmtId="0" fontId="2" fillId="2" borderId="0" xfId="0" quotePrefix="1" applyFont="1" applyFill="1" applyAlignment="1">
      <alignment horizontal="left" vertical="top"/>
    </xf>
    <xf numFmtId="10" fontId="0" fillId="2" borderId="0" xfId="0" applyNumberFormat="1" applyFill="1"/>
    <xf numFmtId="0" fontId="6" fillId="0" borderId="0" xfId="0" applyFont="1"/>
    <xf numFmtId="0" fontId="6" fillId="2" borderId="0" xfId="0" applyFont="1" applyFill="1"/>
    <xf numFmtId="0" fontId="7" fillId="0" borderId="0" xfId="0" applyFont="1"/>
    <xf numFmtId="165" fontId="7" fillId="0" borderId="0" xfId="0" applyNumberFormat="1" applyFont="1"/>
    <xf numFmtId="0" fontId="8" fillId="0" borderId="0" xfId="0" applyFont="1"/>
    <xf numFmtId="0" fontId="9" fillId="0" borderId="0" xfId="0" applyFont="1"/>
    <xf numFmtId="165" fontId="8" fillId="0" borderId="0" xfId="0" applyNumberFormat="1" applyFont="1"/>
    <xf numFmtId="9" fontId="8" fillId="0" borderId="0" xfId="0" applyNumberFormat="1" applyFont="1"/>
    <xf numFmtId="1" fontId="8" fillId="0" borderId="0" xfId="0" applyNumberFormat="1" applyFont="1"/>
    <xf numFmtId="0" fontId="8" fillId="0" borderId="0" xfId="0" applyFont="1" applyAlignment="1">
      <alignment horizontal="left"/>
    </xf>
    <xf numFmtId="165" fontId="9" fillId="0" borderId="0" xfId="0" applyNumberFormat="1" applyFont="1"/>
    <xf numFmtId="0" fontId="9" fillId="0" borderId="0" xfId="0" applyFont="1" applyAlignment="1">
      <alignment horizontal="left"/>
    </xf>
    <xf numFmtId="0" fontId="12" fillId="0" borderId="2" xfId="0" applyFont="1" applyBorder="1"/>
    <xf numFmtId="0" fontId="8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/>
    <xf numFmtId="0" fontId="11" fillId="0" borderId="2" xfId="0" applyFont="1" applyBorder="1"/>
    <xf numFmtId="0" fontId="8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0" borderId="2" xfId="0" applyFont="1" applyBorder="1"/>
    <xf numFmtId="0" fontId="11" fillId="0" borderId="0" xfId="0" applyFont="1"/>
    <xf numFmtId="165" fontId="11" fillId="0" borderId="0" xfId="0" applyNumberFormat="1" applyFont="1"/>
    <xf numFmtId="1" fontId="11" fillId="0" borderId="0" xfId="0" applyNumberFormat="1" applyFont="1"/>
    <xf numFmtId="0" fontId="13" fillId="0" borderId="0" xfId="0" applyFont="1"/>
    <xf numFmtId="0" fontId="10" fillId="0" borderId="0" xfId="0" applyFont="1"/>
    <xf numFmtId="0" fontId="0" fillId="4" borderId="5" xfId="0" applyFill="1" applyBorder="1"/>
    <xf numFmtId="0" fontId="11" fillId="0" borderId="0" xfId="0" applyFont="1" applyAlignment="1">
      <alignment horizontal="left"/>
    </xf>
    <xf numFmtId="0" fontId="6" fillId="0" borderId="2" xfId="0" applyFont="1" applyBorder="1"/>
    <xf numFmtId="0" fontId="6" fillId="0" borderId="4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4" fillId="0" borderId="2" xfId="0" applyFont="1" applyBorder="1"/>
    <xf numFmtId="165" fontId="6" fillId="0" borderId="0" xfId="0" applyNumberFormat="1" applyFont="1"/>
    <xf numFmtId="1" fontId="13" fillId="0" borderId="0" xfId="0" applyNumberFormat="1" applyFont="1"/>
    <xf numFmtId="0" fontId="0" fillId="0" borderId="2" xfId="0" applyBorder="1"/>
    <xf numFmtId="0" fontId="14" fillId="0" borderId="0" xfId="0" applyFont="1"/>
    <xf numFmtId="0" fontId="0" fillId="3" borderId="2" xfId="0" applyFill="1" applyBorder="1"/>
    <xf numFmtId="0" fontId="15" fillId="5" borderId="2" xfId="0" applyFont="1" applyFill="1" applyBorder="1"/>
    <xf numFmtId="0" fontId="15" fillId="3" borderId="2" xfId="0" applyFont="1" applyFill="1" applyBorder="1"/>
    <xf numFmtId="0" fontId="15" fillId="3" borderId="7" xfId="0" applyFont="1" applyFill="1" applyBorder="1"/>
    <xf numFmtId="0" fontId="0" fillId="3" borderId="3" xfId="0" applyFill="1" applyBorder="1"/>
    <xf numFmtId="9" fontId="7" fillId="0" borderId="0" xfId="1" applyFont="1"/>
    <xf numFmtId="9" fontId="11" fillId="0" borderId="0" xfId="1" applyFont="1"/>
    <xf numFmtId="0" fontId="6" fillId="6" borderId="2" xfId="0" applyFont="1" applyFill="1" applyBorder="1" applyAlignment="1">
      <alignment vertical="center" wrapText="1"/>
    </xf>
    <xf numFmtId="0" fontId="7" fillId="6" borderId="0" xfId="0" applyFont="1" applyFill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 vertical="center"/>
    </xf>
    <xf numFmtId="0" fontId="10" fillId="0" borderId="0" xfId="0" pivotButton="1" applyFont="1"/>
    <xf numFmtId="1" fontId="10" fillId="0" borderId="0" xfId="0" applyNumberFormat="1" applyFont="1" applyAlignment="1">
      <alignment horizontal="center"/>
    </xf>
    <xf numFmtId="0" fontId="10" fillId="2" borderId="0" xfId="0" applyFont="1" applyFill="1"/>
    <xf numFmtId="0" fontId="7" fillId="6" borderId="8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165" fontId="8" fillId="0" borderId="8" xfId="0" applyNumberFormat="1" applyFont="1" applyBorder="1" applyAlignment="1">
      <alignment horizontal="center"/>
    </xf>
    <xf numFmtId="9" fontId="8" fillId="0" borderId="8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1" fontId="11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1" fillId="0" borderId="8" xfId="0" quotePrefix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1" fillId="0" borderId="8" xfId="0" applyNumberFormat="1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</cellXfs>
  <cellStyles count="7">
    <cellStyle name="Comma 2" xfId="3" xr:uid="{B22F882A-21B8-43DC-B547-5D83BE3C74B0}"/>
    <cellStyle name="Comma 3" xfId="6" xr:uid="{03D218B7-D30B-4A7B-85BF-A0FD299FDE1D}"/>
    <cellStyle name="Normal" xfId="0" builtinId="0"/>
    <cellStyle name="Normal 2" xfId="2" xr:uid="{142BC610-3850-4FD5-BB42-4E3DB9862E4F}"/>
    <cellStyle name="Normal 2 2" xfId="5" xr:uid="{3F70A0D9-D8CF-43F8-B721-5E0F01362121}"/>
    <cellStyle name="Percent" xfId="1" builtinId="5"/>
    <cellStyle name="Percent 2" xfId="4" xr:uid="{ACF361DA-C21D-4299-98E9-4723C2D8B20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mb, Douglas" refreshedDate="44812.772057638889" createdVersion="7" refreshedVersion="7" minRefreshableVersion="3" recordCount="452" xr:uid="{B6535247-F529-4116-A761-FB616DC9A70B}">
  <cacheSource type="worksheet">
    <worksheetSource ref="A1:H430" sheet="UniqueCCOQueueCodes"/>
  </cacheSource>
  <cacheFields count="8">
    <cacheField name="epicenter_cco_queue_code" numFmtId="0">
      <sharedItems/>
    </cacheField>
    <cacheField name="epicenter_cco_queue_desc" numFmtId="0">
      <sharedItems containsBlank="1"/>
    </cacheField>
    <cacheField name="L5" numFmtId="0">
      <sharedItems containsBlank="1" count="8">
        <m/>
        <s v="Yap, Diane"/>
        <s v="D'Arcy, Mark"/>
        <s v="Paris, Claudia"/>
        <s v="Gobeli, Kristie"/>
        <s v="Whitney, Rich"/>
        <s v="Punch, Patrick"/>
        <s v="Brighton, Keith"/>
      </sharedItems>
    </cacheField>
    <cacheField name="Domain" numFmtId="0">
      <sharedItems containsBlank="1"/>
    </cacheField>
    <cacheField name="LOB Alignment" numFmtId="0">
      <sharedItems containsBlank="1" count="33">
        <m/>
        <s v="Isilon"/>
        <s v="Avamar"/>
        <s v="Connectivity"/>
        <s v="Datadomain"/>
        <s v="Vxrail"/>
        <s v="Integrated_Software"/>
        <s v="Networker"/>
        <s v="Symmetrix"/>
        <s v="Symmsw"/>
        <s v="Midrange"/>
        <s v="Vplex"/>
        <s v="DP Solutions"/>
        <s v="APEX"/>
        <s v="Hyperconverged"/>
        <s v="Cloudboost"/>
        <s v="DPA"/>
        <s v="DPADSRT"/>
        <s v="DPSolutions"/>
        <s v="OBJ"/>
        <s v="PowerProtect"/>
        <s v="RecoverPoint"/>
        <s v="Sourceone"/>
        <s v="Powerflex"/>
        <s v="Solutions"/>
        <s v="DLM"/>
        <s v="Mainframe"/>
        <s v="XtremIO"/>
        <s v="Ssg"/>
        <s v="Wipro"/>
        <s v="Storage"/>
        <s v="Spanish"/>
        <s v="E"/>
      </sharedItems>
    </cacheField>
    <cacheField name="Flag" numFmtId="0">
      <sharedItems count="2">
        <s v="N"/>
        <s v="Y"/>
      </sharedItems>
    </cacheField>
    <cacheField name="GS Flag" numFmtId="0">
      <sharedItems containsBlank="1"/>
    </cacheField>
    <cacheField name="Resource Region" numFmtId="0">
      <sharedItems containsBlank="1" count="7">
        <m/>
        <s v="APJ"/>
        <s v="LATAM"/>
        <s v="Global"/>
        <s v="EMEA"/>
        <s v="NAMER"/>
        <s v="Ind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, Vinothkumar - Dell Team" refreshedDate="45566.919148032408" createdVersion="8" refreshedVersion="8" minRefreshableVersion="3" recordCount="559" xr:uid="{9F9617A2-A88D-4FF3-AF6A-72BD76CD1915}">
  <cacheSource type="worksheet">
    <worksheetSource ref="A1:A12" sheet="UniqueCCOQueueCodes"/>
  </cacheSource>
  <cacheFields count="24">
    <cacheField name="epicenter_cco_queue_code" numFmtId="0">
      <sharedItems count="557">
        <s v="AM02"/>
        <s v="AM04"/>
        <s v="AM05"/>
        <s v="AM08"/>
        <s v="AN02"/>
        <s v="AN03"/>
        <s v="AO06"/>
        <s v="AO11"/>
        <s v="AO14"/>
        <s v="AP10"/>
        <s v="AP11"/>
        <s v="AP12"/>
        <s v="AP13"/>
        <s v="AP14"/>
        <s v="AP15"/>
        <s v="AP16"/>
        <s v="AP17"/>
        <s v="AP18"/>
        <s v="AP19"/>
        <s v="AP20"/>
        <s v="AP21"/>
        <s v="AP22"/>
        <s v="AP23"/>
        <s v="AP24"/>
        <s v="AP25"/>
        <s v="AP26"/>
        <s v="AX01"/>
        <s v="AZ09"/>
        <s v="AZ10"/>
        <s v="AZ11"/>
        <s v="AZ13"/>
        <s v="AZ16"/>
        <s v="BAH1"/>
        <s v="BPS1"/>
        <s v="BR02"/>
        <s v="BT01"/>
        <s v="BW01"/>
        <s v="BX02"/>
        <s v="BZ10"/>
        <s v="BZ11"/>
        <s v="BZ13"/>
        <s v="BZ14"/>
        <s v="BZ15"/>
        <s v="BZ19"/>
        <s v="BZ20"/>
        <s v="BZ21"/>
        <s v="BZ22"/>
        <s v="CC03"/>
        <s v="CC04"/>
        <s v="CC05"/>
        <s v="CC07"/>
        <s v="CC09"/>
        <s v="CC10"/>
        <s v="CC11"/>
        <s v="CC12"/>
        <s v="CC13"/>
        <s v="CC14"/>
        <s v="CC22"/>
        <s v="CC23"/>
        <s v="CC27"/>
        <s v="CC28"/>
        <s v="CCB1"/>
        <s v="CE01"/>
        <s v="CE02"/>
        <s v="CE03"/>
        <s v="CG Comp"/>
        <s v="CG01"/>
        <s v="CGEQ"/>
        <s v="CGGC"/>
        <s v="CGVE"/>
        <s v="CGVX"/>
        <s v="CHEQ"/>
        <s v="CM01"/>
        <s v="CM03"/>
        <s v="CM04"/>
        <s v="CSS1"/>
        <s v="CST4"/>
        <s v="CST5"/>
        <s v="CT11"/>
        <s v="CT12"/>
        <s v="CT13"/>
        <s v="CT14"/>
        <s v="CT15"/>
        <s v="CT16"/>
        <s v="CT17"/>
        <s v="CT18"/>
        <s v="CT19"/>
        <s v="CT20"/>
        <s v="CT23"/>
        <s v="CT24"/>
        <s v="CT25"/>
        <s v="CT26"/>
        <s v="CT27"/>
        <s v="CT29"/>
        <s v="CT30"/>
        <s v="CT32"/>
        <s v="CT34"/>
        <s v="CT35"/>
        <s v="CT36"/>
        <s v="CT37"/>
        <s v="CT38"/>
        <s v="CT67"/>
        <s v="CT68"/>
        <s v="CT69"/>
        <s v="CT70"/>
        <s v="CT76"/>
        <s v="CT91"/>
        <s v="CT95"/>
        <s v="CT96"/>
        <s v="CTA3"/>
        <s v="CTA4"/>
        <s v="CTA5"/>
        <s v="CTA6"/>
        <s v="CTA7"/>
        <s v="CTE2"/>
        <s v="CTE3"/>
        <s v="CTE4"/>
        <s v="CTE6"/>
        <s v="CV01"/>
        <s v="CV02"/>
        <s v="CV03"/>
        <s v="CV04"/>
        <s v="CV05"/>
        <s v="CX01"/>
        <s v="CX02"/>
        <s v="CX04"/>
        <s v="CX05"/>
        <s v="CZ03"/>
        <s v="DE07"/>
        <s v="DE08"/>
        <s v="DE09"/>
        <s v="DE10"/>
        <s v="DE12"/>
        <s v="DE13"/>
        <s v="DE17"/>
        <s v="DP01"/>
        <s v="EC03"/>
        <s v="EC04"/>
        <s v="EC06"/>
        <s v="EC07"/>
        <s v="EC14"/>
        <s v="EC21"/>
        <s v="EC30"/>
        <s v="EC32"/>
        <s v="EC33"/>
        <s v="EC34"/>
        <s v="EC39"/>
        <s v="EG13"/>
        <s v="EMC1"/>
        <s v="EN01"/>
        <s v="ER02"/>
        <s v="ES01"/>
        <s v="ES03"/>
        <s v="ES06"/>
        <s v="ES07"/>
        <s v="FD01"/>
        <s v="FED4"/>
        <s v="FED6"/>
        <s v="FR05"/>
        <s v="FR06"/>
        <s v="FR07"/>
        <s v="FR08"/>
        <s v="FR09"/>
        <s v="FR11"/>
        <s v="FR12"/>
        <s v="FR13"/>
        <s v="FR23"/>
        <s v="FR27"/>
        <s v="GB01"/>
        <s v="GB08"/>
        <s v="GB09"/>
        <s v="GB10"/>
        <s v="GB11"/>
        <s v="GB13"/>
        <s v="GB14"/>
        <s v="GB16"/>
        <s v="GB18"/>
        <s v="GB19"/>
        <s v="GB21"/>
        <s v="GB23"/>
        <s v="GB29"/>
        <s v="GB31"/>
        <s v="GC11"/>
        <s v="GC12"/>
        <s v="GC13"/>
        <s v="GC14"/>
        <s v="GCTE"/>
        <s v="GG01"/>
        <s v="GH01"/>
        <s v="GH02"/>
        <s v="GH03"/>
        <s v="GH04"/>
        <s v="GH05"/>
        <s v="GH06"/>
        <s v="GH07"/>
        <s v="GH08"/>
        <s v="GH09"/>
        <s v="GH10"/>
        <s v="GH11"/>
        <s v="GH12"/>
        <s v="GH13"/>
        <s v="GH14"/>
        <s v="GH15"/>
        <s v="GH16"/>
        <s v="GH17"/>
        <s v="GH18"/>
        <s v="GH19"/>
        <s v="GH20"/>
        <s v="GH21"/>
        <s v="GH22"/>
        <s v="GH23"/>
        <s v="GH24"/>
        <s v="GH25"/>
        <s v="Global Powerstore"/>
        <s v="GP01"/>
        <s v="GT06"/>
        <s v="HC06"/>
        <s v="HC07"/>
        <s v="HE01"/>
        <s v="HE02"/>
        <s v="HE03"/>
        <s v="HE04"/>
        <s v="HE06"/>
        <s v="HE09"/>
        <s v="HE12"/>
        <s v="HE16"/>
        <s v="HE17"/>
        <s v="HE20"/>
        <s v="HE22"/>
        <s v="HE23"/>
        <s v="HE24"/>
        <s v="HE25"/>
        <s v="HE26"/>
        <s v="HE28"/>
        <s v="HE29"/>
        <s v="HE30"/>
        <s v="HE32"/>
        <s v="HE36"/>
        <s v="HE37"/>
        <s v="HE38"/>
        <s v="HE39"/>
        <s v="HE40"/>
        <s v="HE41"/>
        <s v="HE42"/>
        <s v="HE43"/>
        <s v="HE44"/>
        <s v="HE47"/>
        <s v="HE48"/>
        <s v="HE52"/>
        <s v="HE53"/>
        <s v="HE58"/>
        <s v="HE59"/>
        <s v="HE61"/>
        <s v="HE62"/>
        <s v="HE63"/>
        <s v="HE64"/>
        <s v="HE66"/>
        <s v="HE67"/>
        <s v="HE68"/>
        <s v="HE70"/>
        <s v="HE71"/>
        <s v="HE72"/>
        <s v="HE73"/>
        <s v="HE74"/>
        <s v="HE78"/>
        <s v="HE81"/>
        <s v="HE85"/>
        <s v="HE93"/>
        <s v="HE95"/>
        <s v="HEA2"/>
        <s v="HEA5"/>
        <s v="HEA9"/>
        <s v="HEB0"/>
        <s v="HEB4"/>
        <s v="HEB5"/>
        <s v="HEC5"/>
        <s v="HEC6"/>
        <s v="HEC7"/>
        <s v="HED3"/>
        <s v="HED7"/>
        <s v="HEF2"/>
        <s v="HEF5"/>
        <s v="HEG4"/>
        <s v="HEG8"/>
        <s v="HEH6"/>
        <s v="HEJ1"/>
        <s v="HEK8"/>
        <s v="HW03"/>
        <s v="HW06"/>
        <s v="HWPA"/>
        <s v="ID06"/>
        <s v="IM01"/>
        <s v="IN01"/>
        <s v="IN14"/>
        <s v="IN15"/>
        <s v="IN16"/>
        <s v="IN19"/>
        <s v="INCV"/>
        <s v="INPX"/>
        <s v="INT1"/>
        <s v="IS01"/>
        <s v="IS02"/>
        <s v="IS03"/>
        <s v="IS04"/>
        <s v="IS05"/>
        <s v="IS11"/>
        <s v="IS14"/>
        <s v="IS15"/>
        <s v="IS19"/>
        <s v="IS20"/>
        <s v="IS21"/>
        <s v="IS23"/>
        <s v="IS24"/>
        <s v="IS31"/>
        <s v="IS32"/>
        <s v="IS34"/>
        <s v="IS36"/>
        <s v="IS37"/>
        <s v="IS38"/>
        <s v="IS41"/>
        <s v="IS42"/>
        <s v="IS47"/>
        <s v="IS48"/>
        <s v="IS50"/>
        <s v="IS51"/>
        <s v="IS58"/>
        <s v="IS59"/>
        <s v="IS61"/>
        <s v="IS63"/>
        <s v="IS64"/>
        <s v="IS65"/>
        <s v="IS68"/>
        <s v="IS69"/>
        <s v="IS74"/>
        <s v="IS75"/>
        <s v="IS77"/>
        <s v="IS78"/>
        <s v="IS85"/>
        <s v="IS86"/>
        <s v="IS88"/>
        <s v="IS90"/>
        <s v="IS91"/>
        <s v="IS92"/>
        <s v="IS96"/>
        <s v="IS98"/>
        <s v="IT04"/>
        <s v="IT08"/>
        <s v="IT10"/>
        <s v="IU02"/>
        <s v="IU05"/>
        <s v="IU06"/>
        <s v="IU13"/>
        <s v="IU14"/>
        <s v="IU16"/>
        <s v="IU20"/>
        <s v="IU23"/>
        <s v="IU23a"/>
        <s v="IU24"/>
        <s v="IU29"/>
        <s v="IU30"/>
        <s v="IU32"/>
        <s v="IU33"/>
        <s v="IU40"/>
        <s v="IU41"/>
        <s v="IU43"/>
        <s v="IU45"/>
        <s v="IU45a"/>
        <s v="IU46"/>
        <s v="IU56"/>
        <s v="IV01"/>
        <s v="IV03"/>
        <s v="JM01"/>
        <s v="JP11"/>
        <s v="JP13"/>
        <s v="JP19"/>
        <s v="JP22"/>
        <s v="JP24"/>
        <s v="JP25"/>
        <s v="JP26"/>
        <s v="JP27"/>
        <s v="JP29"/>
        <s v="JV01"/>
        <s v="KR05"/>
        <s v="KR06"/>
        <s v="KR11"/>
        <s v="KR12"/>
        <s v="KR13"/>
        <s v="L2G4"/>
        <s v="LFT1"/>
        <s v="LOS0"/>
        <s v="LOS1"/>
        <s v="LOS2"/>
        <s v="LOS3"/>
        <s v="LOS4"/>
        <s v="LOS5"/>
        <s v="LS01"/>
        <s v="MR01"/>
        <s v="MR02"/>
        <s v="MR03"/>
        <s v="MY11"/>
        <s v="MY13"/>
        <s v="MY14"/>
        <s v="MY15"/>
        <s v="NALC"/>
        <s v="NC04"/>
        <s v="NC14"/>
        <s v="ND02"/>
        <s v="ND03"/>
        <s v="NE02"/>
        <s v="NE04"/>
        <s v="NE05"/>
        <s v="NE06"/>
        <s v="NE07"/>
        <s v="NE08"/>
        <s v="NE09"/>
        <s v="NE13"/>
        <s v="NE14"/>
        <s v="NE20"/>
        <s v="NE21"/>
        <s v="NE25"/>
        <s v="NE27"/>
        <s v="NE29"/>
        <s v="NE31"/>
        <s v="NE33"/>
        <s v="NE35"/>
        <s v="NE36"/>
        <s v="NE38"/>
        <s v="NF01"/>
        <s v="NF02"/>
        <s v="NF03"/>
        <s v="NF04"/>
        <s v="NF05"/>
        <s v="NF06"/>
        <s v="NF09"/>
        <s v="NF10"/>
        <s v="NF11"/>
        <s v="NF12"/>
        <s v="NF13"/>
        <s v="NF14"/>
        <s v="NF15"/>
        <s v="NF16"/>
        <s v="NF17"/>
        <s v="NF18"/>
        <s v="NF19"/>
        <s v="NF20"/>
        <s v="NF21"/>
        <s v="NF22"/>
        <s v="NF23"/>
        <s v="NF24"/>
        <s v="NF25"/>
        <s v="NF26"/>
        <s v="NF27"/>
        <s v="NF28"/>
        <s v="NF29"/>
        <s v="NF30"/>
        <s v="NF31"/>
        <s v="NF32"/>
        <s v="NF33"/>
        <s v="NF34"/>
        <s v="NF35"/>
        <s v="NF36"/>
        <s v="NF37"/>
        <s v="NF40"/>
        <s v="NF41"/>
        <s v="NF42"/>
        <s v="NF43"/>
        <s v="NF44"/>
        <s v="NF45"/>
        <s v="NF46"/>
        <s v="NF47"/>
        <s v="NF48"/>
        <s v="NF49"/>
        <s v="NF50"/>
        <s v="NF53"/>
        <s v="NF54"/>
        <s v="NF56"/>
        <s v="NF57"/>
        <s v="Not Assigned"/>
        <s v="PF01"/>
        <s v="PG01"/>
        <s v="PH08"/>
        <s v="PHSS"/>
        <s v="PM01"/>
        <s v="PowerProtect"/>
        <s v="PP21"/>
        <s v="PS03"/>
        <s v="PS10"/>
        <s v="QCE1"/>
        <s v="RAH1"/>
        <s v="RE03"/>
        <s v="RL02"/>
        <s v="RL05"/>
        <s v="RL09"/>
        <s v="RL10"/>
        <s v="RL11"/>
        <s v="RL12"/>
        <s v="RL14"/>
        <s v="RL15"/>
        <s v="RL16"/>
        <s v="RL18"/>
        <s v="RL19"/>
        <s v="RM02"/>
        <s v="ROEN"/>
        <s v="RP01"/>
        <s v="RP02"/>
        <s v="RP03"/>
        <s v="RPS1"/>
        <s v="RR02"/>
        <s v="RR03"/>
        <s v="RTC1"/>
        <s v="SA10"/>
        <s v="SE02"/>
        <s v="SM02"/>
        <s v="SMP1"/>
        <s v="SMP2"/>
        <s v="SMP3"/>
        <s v="SMP4"/>
        <s v="SMP5"/>
        <s v="SMP6"/>
        <s v="SMP7"/>
        <s v="SMP8"/>
        <s v="SP04"/>
        <s v="SP09"/>
        <s v="SP10"/>
        <s v="SS03"/>
        <s v="SW02"/>
        <s v="SY01"/>
        <s v="TH04"/>
        <s v="TH07"/>
        <s v="THBW"/>
        <s v="UK03"/>
        <s v="UK05"/>
        <s v="UK06"/>
        <s v="UK07"/>
        <s v="UNOP"/>
        <s v="UPP1"/>
        <s v="VN02"/>
        <s v="VN03"/>
        <s v="VN04"/>
        <s v="VX01"/>
        <s v="VX02"/>
        <s v="VX03"/>
        <s v="VX04"/>
        <s v="WM01"/>
        <s v="WM02"/>
        <s v="WM03"/>
        <s v="WM04"/>
        <s v="WM05"/>
        <s v="WP01"/>
        <s v="BT05"/>
        <s v="BT06"/>
        <s v="BT07"/>
        <s v="BT08"/>
        <s v="NE39"/>
        <s v="VCF1"/>
        <s v="XE01"/>
        <s v="XE02"/>
      </sharedItems>
    </cacheField>
    <cacheField name="epicenter_cco_queue_desc" numFmtId="0">
      <sharedItems containsBlank="1" count="550">
        <s v="Enterprise Support Services US"/>
        <s v="Networking ProSupport Analysts US"/>
        <s v="Networking ProSupport RTSE US"/>
        <s v="Quality Lead US"/>
        <s v="ANZ Midrange Storage VNX/e"/>
        <s v="ANZ VX Rail Storage"/>
        <s v="APJ Upsell-Operations Multi"/>
        <s v="APJ Biz Ops"/>
        <s v="EMEA Biz Ops"/>
        <s v="APJ UDS Isilon Chinese"/>
        <s v="APJ UDS Isilon Japanese"/>
        <s v="APJ DPD AVAMAR Chinese"/>
        <s v="APJ HES Connectivity Chinese"/>
        <s v="APJ DPD DataDomain Chinese"/>
        <s v="HCS APJ VxRail Chinese"/>
        <s v="HCS APJ VxRail Japanese"/>
        <s v="APJ HES Integrated_Software Chinese"/>
        <s v="APJ DPD Networker Chinese"/>
        <s v="APJ HES Symmetrix Chinese"/>
        <s v="APJ HES Symmetrix Japanese"/>
        <s v="APJ HES SymmSW Chinese"/>
        <s v="APJ HES MIDRANGE Chinese"/>
        <s v="APJ HES MIDRANGE Japanese"/>
        <s v="APJ HES Vplex Chinese"/>
        <s v="APJ DPD DP Solutions"/>
        <s v="APJ DPD DPSolutions Chinese"/>
        <s v="HCS Global APEX"/>
        <s v="Networking ProSupport ANZ"/>
        <s v="Server ProSupport ANZ"/>
        <s v="Storage ProSupport ANZ"/>
        <s v="Client ProSupport ANZ"/>
        <s v="Enterprise ANZ AOH"/>
        <s v="Brazil Enterprise AH"/>
        <s v="Brazil Powerstore"/>
        <s v="Brazil Senior and Master Engineer"/>
        <s v="BRZ Enterprise Top Customers"/>
        <s v="Enterprise Prosupport CCC BW"/>
        <s v="ENG ProSupp Dutch Server (CWD)"/>
        <s v="BRZ HC Server Voice (EL)"/>
        <s v="BRZ HC Storage Voice (EL)"/>
        <s v="BRZ LC Server Voice (EL)"/>
        <s v="BRZ LC Storage Voice (EL)"/>
        <s v="Networking ProSupport BRZ"/>
        <s v="Proactive Systems Maintenance BR"/>
        <m/>
        <s v="POR Midrange Storage VNX/e"/>
        <s v="HCS LATAM BRZ VxRail"/>
        <s v="Client ProSupport CCC BW"/>
        <s v="CCC Enterprise CMG BW"/>
        <s v="Networking CCC"/>
        <s v="Enterprise Core CCC"/>
        <s v="Server ProSupport CCC"/>
        <s v="Storage ProSupport CCC"/>
        <s v="Client ProSupport CCC ML"/>
        <s v="Social Media CCC"/>
        <s v="Proactive Systems Maintenance CCC"/>
        <s v="Enterprise HK MultiChannel"/>
        <s v="Enterprise TW"/>
        <s v="Server ProSupport Plus CCC"/>
        <s v="Server Combined CCC"/>
        <s v="APJ ESG Call Directors Chinese"/>
        <s v="Enterprise Core CCC BW"/>
        <s v="Enterprise Echannel CCC"/>
        <s v="Storage Echannel CCC"/>
        <s v="Server/Networking Echannel CCC"/>
        <s v="Global Compellent Capgemini"/>
        <s v="Chmura Group"/>
        <s v="GLOBAL Equallogic Capgemini"/>
        <s v="GLOBAL VNXe Capgemini"/>
        <s v="GLOBAL VNX Capgemini"/>
        <s v="CHK Cons Tech CSQ BW"/>
        <s v="CCC Midrange Storage VNX/e"/>
        <s v="CNS Manager"/>
        <s v="CCC HES VXRail Hyperconverged"/>
        <s v="APJ HES CST Chinese"/>
        <s v="CST SPUS"/>
        <s v="CST VIC"/>
        <s v="CTE ANZ"/>
        <s v="CTE BRZ"/>
        <s v="CTE CCC"/>
        <s v="CTE IND"/>
        <s v="CTE JPN"/>
        <s v="CTE KOR"/>
        <s v="CTE ROLA"/>
        <s v="CTE SA"/>
        <s v="HCS Global Converged"/>
        <s v="GLOBAL E2E Connectivity"/>
        <s v="GLOBAL HES BSAFE"/>
        <s v="HCS Global DSE"/>
        <s v="Global Compute Hardware"/>
        <s v="Global ESG Midrange Storage"/>
        <s v="Global Compute Software"/>
        <s v="HCS Global Vmware"/>
        <s v="Global Networking"/>
        <s v="Global Networking RTSE"/>
        <s v="Solutions SPSPE"/>
        <s v="Server SPSPE"/>
        <s v="Networking SPSPE"/>
        <s v="APJ HES CST Japanese"/>
        <s v="Global Service Routing Manager"/>
        <s v="RPS Remote Proactive Services"/>
        <s v="RPS Proactive Systems Maintenance"/>
        <s v="Social Media English"/>
        <s v="Social Media EMEA"/>
        <s v="GLOBAL VxRail CTE"/>
        <s v="EMEA ISILON CTE"/>
        <s v="CTE NW IND"/>
        <s v="CTE Storage IND"/>
        <s v="CTE Server/Networking CCC"/>
        <s v="CTE Storage CCC"/>
        <s v="CTE Server/Networking JPN"/>
        <s v="CTE Storage JPN"/>
        <s v="CTE Enterprise KOR"/>
        <s v="NA CTE Server"/>
        <s v="EMEA SERVER CTE"/>
        <s v="EMEA MODULAR CTE"/>
        <s v="NA CTE Storage"/>
        <s v="CCC VX Rail Storage"/>
        <s v="HCS AMER Converged Infrastructure"/>
        <s v="HCS APJ Converged Infrastructure"/>
        <s v="HCS EMEA Converged Infrastructure"/>
        <s v="HCS Global Converged Infrastructure"/>
        <s v="NA Server Basic (Concentrix)"/>
        <s v="Server Core IND CNX"/>
        <s v="Server Core SA CNX"/>
        <s v="NA Server Basic Chat (CNX)"/>
        <s v="GER_CZE Enterprise (BRA)"/>
        <s v="GER ProSupp Server Email (HAL)"/>
        <s v="GER Modular (HAL)"/>
        <s v="GER Networking (HAL)"/>
        <s v="GER ProSupp OWR Ent (HAL)"/>
        <s v="GER Solutions (HAL)"/>
        <s v="GER ProSupp Enterprise (HAL)"/>
        <s v="German Storage"/>
        <s v="DSP OEM"/>
        <s v="EC GRE ProSupp Server (MTP)"/>
        <s v="ISR Client (Netanya)"/>
        <s v="EC Server Basic Hebrew (CGS) NET"/>
        <s v="EC ProSupp Server Hebrew (CGS)"/>
        <s v="EC POL Enterprise (HAL)"/>
        <s v="EC RUS Enterprise (HAL)"/>
        <s v="EC Basic Enterprise (CAS)"/>
        <s v="EC ProSupp Server Arabic (CAS)"/>
        <s v="EC ProSupp Server Turkish (HAL)"/>
        <s v="EC ProSupp Server CEE (HAL)"/>
        <s v="EC ProSupp Storage"/>
        <s v="HCS Global Cloud Solutions"/>
        <s v="Networking Product Escalations"/>
        <s v="EMEA Support Resolution Team"/>
        <s v="EMEA Static Central"/>
        <s v="EMEA SME Team"/>
        <s v="EMEA Technical Support Operations"/>
        <s v="EMEA VX Rail Storage"/>
        <s v="Federal Support NA"/>
        <s v="Federal Server US"/>
        <s v="US Federal Support Storage"/>
        <s v="FRA Basic Enterprise (CAS)"/>
        <s v="FRA Modular (MTP)"/>
        <s v="FRA Networking (MTP)"/>
        <s v="FRA Solutions (MTP)"/>
        <s v="FRA ProSupport Server (CAS)"/>
        <s v="FRA ProSupport Plus Server (MTP)"/>
        <s v="FRA ProSupp Server Alternate"/>
        <s v="ProSupp EQL (MTP)"/>
        <s v="FRA ProSupp Storage (MTP)"/>
        <s v="France Storage"/>
        <s v="UKISA Client DSP (BGL)"/>
        <s v="UKISA Basic Enterprise (BGL)"/>
        <s v="ProSupp Storage Co Pilot (CWD)"/>
        <s v="ProSupp EQL (CWD)"/>
        <s v="ENG Modular (CWD)"/>
        <s v="UKI Networking (CWD)"/>
        <s v="ENG Solutions (CWD)"/>
        <s v="ENG ProSupp Server 247 (CWD)"/>
        <s v="ENG ProSupp Server"/>
        <s v="EMEA ProSupp SST"/>
        <s v="ProSupp Storage 247 (CWD)"/>
        <s v="Proactive Systems Maintenance EMEA"/>
        <s v="EMEA ProSupport Powerstore"/>
        <s v="UKI Storage"/>
        <s v="AST Quality Coach"/>
        <s v="E2E Quality Coach"/>
        <s v="GIST Quality Coach"/>
        <s v="Licensing Quality Coach"/>
        <s v="CTE Global English"/>
        <s v="GER ProSupp Storage Co Pilot"/>
        <s v="GLOBAL DPD AVAMAR"/>
        <s v="GLOBAL DPD Cloudboost"/>
        <s v="GLOBAL DPD DataDomain"/>
        <s v="GLOBAL DPD DPA"/>
        <s v="GLOBAL DPD DPADSRT"/>
        <s v="GLOBAL DPD DPSolutions"/>
        <s v="GLOBAL UDS Isilon"/>
        <s v="GLOBAL DPD Networker"/>
        <s v="GLOBAL UDS OBJ"/>
        <s v="GLOBAL DPD PowerProtect"/>
        <s v="GLOBAL DPD RecoverPoint"/>
        <s v="GLOBAL DPD SOURCEONE"/>
        <s v="HCS Global VxRail"/>
        <s v="HCS Global PowerFlex"/>
        <s v="HCS Global Solutions"/>
        <s v="GLOBAL HES Connectivity"/>
        <s v="GLOBAL HES DLM"/>
        <s v="GLOBAL HES Integrated_Software"/>
        <s v="GLOBAL HES Mainframe"/>
        <s v="GLOBAL HES Symmetrix"/>
        <s v="GLOBAL HES SymmSW"/>
        <s v="GLOBAL HES MIDRANGE"/>
        <s v="GLOBAL HES Vplex"/>
        <s v="GLOBAL HES XtremIO"/>
        <s v="Global DPD PowerProtect Cyber"/>
        <s v="Global Powerstore"/>
        <s v="Global Inbound Support Team"/>
        <s v="EMEA Static Revenue"/>
        <s v="German Trainees"/>
        <s v="HES Global CST Chat"/>
        <s v="HES Global CST eServices"/>
        <s v="HES Global CST Management"/>
        <s v="HES Global Isilon Support"/>
        <s v="HES Global Remote Proactive"/>
        <s v="HES Global Integrated Software"/>
        <s v="HES Global DSE"/>
        <s v="HES Global Operations"/>
        <s v="HES Global Hyperconverged"/>
        <s v="HES Global Symmetrix"/>
        <s v="HES Global SymmSW"/>
        <s v="HES Global Vplex"/>
        <s v="HES Global Mainframe"/>
        <s v="HES Global DLM"/>
        <s v="HES Global XtremIO"/>
        <s v="HES Global Connectivity"/>
        <s v="HES Global Solutions"/>
        <s v="HES Global SSG"/>
        <s v="HES Global AVAMAR"/>
        <s v="HES Global Networker"/>
        <s v="HES Global DATADomain"/>
        <s v="HES Global RecoverPoint"/>
        <s v="HES Global DPADSRT"/>
        <s v="HES Global DPSolutions"/>
        <s v="HES Global DPA"/>
        <s v="HES Global SOURCEONE"/>
        <s v="HES Global Cloudboost"/>
        <s v="HES Global Isilon"/>
        <s v="HES Global OBJ"/>
        <s v="HES Global RCM"/>
        <s v="HES Global E2E CONNECTIVITY"/>
        <s v="German VXRail"/>
        <s v="German Midrange"/>
        <s v="French VXRail"/>
        <s v="French Midrange"/>
        <s v="UKI VXRail"/>
        <s v="UKI Midrange"/>
        <s v="Italian Midrange"/>
        <s v="Spanish VxRail"/>
        <s v="Spanish Midrange"/>
        <s v="APJ English Midrange"/>
        <s v="APJ English VxRail"/>
        <s v="HCS APJ VxRail Korean"/>
        <s v="APJ HES CST Korean"/>
        <s v="WIPRO AMER Midrange"/>
        <s v="NA Isilon HE Storage Voice"/>
        <s v="EMEA English VMAX"/>
        <s v="AMER English VMAX"/>
        <s v="EMEA English Vplex"/>
        <s v="AMER English Vplex"/>
        <s v="EMEA English Connectivity"/>
        <s v="AMER English Connectivity"/>
        <s v="EMEA English XtremIO"/>
        <s v="AMER English XtremIO"/>
        <s v="AMER English Integrated Software"/>
        <s v="Amer English Isilon"/>
        <s v="EMEA English Isilon"/>
        <s v="APJ English Isilon"/>
        <s v="AMER English Networker"/>
        <s v="EMEA English Networker"/>
        <s v="AMER English OBJ"/>
        <s v="EMEA English OBJ"/>
        <s v="AMER English Avamar"/>
        <s v="EMEA English Avamar"/>
        <s v="AMER English DataDomain"/>
        <s v="EMEA English DataDomain"/>
        <s v="APJ HES Symmetrix Korean"/>
        <s v="HES Global DPD Solutions WIPRO"/>
        <s v="HES Global RecoverPoint WIPRO"/>
        <s v="Honeywell Panama"/>
        <s v="Enterprise Pro/Core ID"/>
        <s v="IND Midrange Storage VNX/e"/>
        <s v="Workstation IND"/>
        <s v="Storage IND"/>
        <s v="Server Core IND"/>
        <s v="Server ProSupport IND"/>
        <s v="Wyse IND"/>
        <s v="India Core Concentrix"/>
        <s v="India Premium Support"/>
        <s v="Networking IND"/>
        <s v="APJ UDS Isilon"/>
        <s v="EMEA UDS Isilon"/>
        <s v="India UDS Isilon"/>
        <s v="LATAM UDS Isilon"/>
        <s v="NAMER UDS Isilon"/>
        <s v="APJ DPD AVAMAR"/>
        <s v="APJ HES Connectivity"/>
        <s v="APJ DPD DataDomain"/>
        <s v="APJ DPD DPSolutions"/>
        <s v="HCS APJ VxRail"/>
        <s v="APJ HES Integrated_Software"/>
        <s v="APJ DPD Networker"/>
        <s v="NAMER DPD OBJ"/>
        <s v="APJ HES Symmetrix"/>
        <s v="APJ HES SymmSW"/>
        <s v="APJ HES MIDRANGE"/>
        <s v="APJ HES Vplex"/>
        <s v="APJ HES XtremIO"/>
        <s v="EMEA DPD AVAMAR"/>
        <s v="EMEA HES Connectivity"/>
        <s v="EMEA DPD DataDomain"/>
        <s v="HCS EMEA VxRail"/>
        <s v="EMEA HES Integrated_Software"/>
        <s v="EMEA DPD Networker"/>
        <s v="LATAM UDS OBJ"/>
        <s v="EMEA HES Symmetrix"/>
        <s v="EMEA HES SymmSW"/>
        <s v="EMEA HES MIDRANGE"/>
        <s v="EMEA HES Vplex"/>
        <s v="EMEA HES XtremIO"/>
        <s v="India DPD AVAMAR"/>
        <s v="India HES Connectivity"/>
        <s v="India DPD DataDomain"/>
        <s v="India GNCS Hyperconverged"/>
        <s v="India HES Integrated_Software"/>
        <s v="India DPD Networker"/>
        <s v="India DPD OBJ"/>
        <s v="India HES Symmetrix"/>
        <s v="India HES SymmSW"/>
        <s v="INDIA HES MIDRANGE"/>
        <s v="India HES Vplex"/>
        <s v="India HES XtremIO"/>
        <s v="LATAM DPD AVAMAR"/>
        <s v="LATAM DPD DataDomain"/>
        <s v="LATAM DPD DPA"/>
        <s v="ITA Basic Enterprise (CAS)"/>
        <s v="ITA ProSupp Server (MTP)"/>
        <s v="ITA Social Media (MTP)"/>
        <s v="HCS LATAM VxRail"/>
        <s v="LATAM DPD Networker"/>
        <s v="EMEA DPD OBJ"/>
        <s v="LATAM HES Symmetrix"/>
        <s v="LATAM HES SymmSW"/>
        <s v="LATAM HES MIDRANGE"/>
        <s v="NAMER DPD AVAMAR"/>
        <s v="NAMER HES Connectivity"/>
        <s v="NAMER DPD DataDomain"/>
        <s v="HCS NAMER VxRail"/>
        <s v="NAMER HES Integrated_Software"/>
        <s v="NAMER DPD Networker"/>
        <s v="APJ DPD OBJ"/>
        <s v="NAMER HES Symmetrix"/>
        <s v="NAMER HES SymmSW"/>
        <s v="NAMER HES MIDRANGE"/>
        <s v="NAMER HES Vplex"/>
        <s v="NAMER HES XtremIO"/>
        <s v="APJ GNCS Hyperconverged Wipro"/>
        <s v="IND VX Rail Storage"/>
        <s v="HCS APJ VxRail English NAMER AOH"/>
        <s v="JP Midrange Storage VNX/e"/>
        <s v="Enterprise Core/ProSupport MIY"/>
        <s v="Japan Storage ProSupport KAW"/>
        <s v="Japan Enterprise SW-NWK"/>
        <s v="Enterprise Echannel Core/Pro MIY"/>
        <s v="Server Pro/Core Japan"/>
        <s v="Storage Pro/Core Japan"/>
        <s v="Server ProSupport Plus Japan"/>
        <s v="Enterprise Alt-channel JPN"/>
        <s v="Networking Pro/Core Japan"/>
        <s v="JP VX Rail Storage"/>
        <s v="Enterprise Core KOR"/>
        <s v="Enterprise ProSupport KOR"/>
        <s v="Storage ProSupport KOR"/>
        <s v="Server ProSupport KOR"/>
        <s v="Networking KOR"/>
        <s v="ARS System Exchange"/>
        <s v="SSO Quality Lets Fix It"/>
        <s v="EMEA Solutions MS (ENG)"/>
        <s v="EMEA Solutions HCI (ENG)"/>
        <s v="EMEA Solutions MS (FRA)"/>
        <s v="EMEA Solutions HCI (FRA)"/>
        <s v="EMEA Solutions MS (GER)"/>
        <s v="EMEA Solutions HCI (GER)"/>
        <s v="SSO Licensing Support"/>
        <s v="MMCLA Midrange Storage VNX/e Spanish"/>
        <s v="MMCLA VXRail"/>
        <s v="MMCLA Server Voice (PAN)"/>
        <s v="Networking Pro Core SA"/>
        <s v="Enterprise ProSupport ANZ/SA"/>
        <s v="Storage ProSupport SA"/>
        <s v="Proactive Systems Maintenance SA"/>
        <s v="NA Basic Core Concentrix"/>
        <s v="Client ProSupport US"/>
        <s v="Social Media English (AMER)"/>
        <s v="ENG ProSupp Nordics Server (CWD)"/>
        <s v="Nordics Enterprise (TUR)"/>
        <s v="Backup Solution HC US"/>
        <s v="Enterprise Triage Queue US"/>
        <s v="Storage PS MD US"/>
        <s v="PowerEdge After Hours US"/>
        <s v="Networking Basic US"/>
        <s v="NA Server Basic Chat (BNG)"/>
        <s v="NA Server Basic (BNG)"/>
        <s v="PowerEdge Alternate Channel US"/>
        <s v="Compellent Copilot US"/>
        <s v="Networking ProSupport US"/>
        <s v="Server eSupport Case Director US"/>
        <s v="Server ProSupport Chat US"/>
        <s v="NA ProSupp Storage eSupport"/>
        <s v="Proactive Systems Maintenance NA"/>
        <s v="PS One"/>
        <s v="Modular US"/>
        <s v="RT Linux / Virtualization US"/>
        <s v="RT Microsoft US"/>
        <s v="Compute High Complexity"/>
        <s v="APJ Manager"/>
        <s v="APJ Non-Frontline"/>
        <s v="APJ NR-FLS"/>
        <s v="APJ Quality Coach"/>
        <s v="Social Media Non-Frontline"/>
        <s v="Social Media Quality Coach"/>
        <s v="DPD/UDS Manager"/>
        <s v="DPD/UDS Non-Frontline"/>
        <s v="DPD/UDS NR-FLS"/>
        <s v="DPD/UDS Quality Coach"/>
        <s v="DPD/UDS Technical Lead"/>
        <s v="EMEA Manager"/>
        <s v="EMEA Non-Frontline"/>
        <s v="EMEA NR-FLS"/>
        <s v="EMEA Quality Coach"/>
        <s v="HCS Manager"/>
        <s v="HCS Non-Frontline"/>
        <s v="HCS NR-FLS"/>
        <s v="HCS Technical Lead"/>
        <s v="HES Manager"/>
        <s v="HES Non-Frontline"/>
        <s v="HES NR-FLS"/>
        <s v="HES Quality Coach"/>
        <s v="HES Technical Lead"/>
        <s v="LATAM Manager"/>
        <s v="LATAM Non-Frontline"/>
        <s v="LATAM NR-FLS"/>
        <s v="LATAM Quality Coach"/>
        <s v="NAMER Manager"/>
        <s v="NAMER Non-Frontline"/>
        <s v="NAMER NR-FLS"/>
        <s v="NAMER Quality Coach"/>
        <s v="NAMER Technical Lead"/>
        <s v="Service Engineering Manager"/>
        <s v="Service Engineering Non-Frontline"/>
        <s v="Service Engineering Technical Lead"/>
        <s v="SSO Manager"/>
        <s v="SSO Non-Frontline"/>
        <s v="SSO NR-FLS"/>
        <s v="SSO Quality Coach"/>
        <s v="STRATEGY Non-Frontline"/>
        <s v="WHITLOW ELT"/>
        <s v="SSO WFM"/>
        <s v="RM Manager"/>
        <s v="RM NR-FLS"/>
        <s v="Service Engineering WFM"/>
        <s v="Global TELCO Networking"/>
        <s v="Global TELCO - Server"/>
        <s v="HCS Quality Coach"/>
        <s v="Global TELCO"/>
        <s v="Not Assigned"/>
        <s v="PS One Field Consultant"/>
        <s v="POR ProSupp Server (MTP)"/>
        <s v="Enterprise Pro/Core PH"/>
        <s v="NA Premium Support"/>
        <s v="Partner Management"/>
        <s v="NAMER DPD PowerProtect"/>
        <s v="APJ English CTE"/>
        <s v="Brazil ESG CTE"/>
        <s v="Powerstore US"/>
        <s v="EMEA Quality Coach Compute"/>
        <s v="ROLA Enterprise AH"/>
        <s v="APJ Support Resolution Team"/>
        <s v="CPS Chat ROLA"/>
        <s v="Storage ROLA"/>
        <s v="Server ProSupport ROLA"/>
        <s v="Triage Enterprise Support Panama"/>
        <s v="Proactive Systems Maintenance ROLA"/>
        <s v="RM ROLA"/>
        <s v="MMCLA Midrange Storage VNX/e"/>
        <s v="HCS LATAM MMCLA VxRail"/>
        <s v="Networking ProSupport ROLA"/>
        <s v="MMCLA LC Server Voice (PAN)"/>
        <s v="MMCLA HC Server Voice (PAN)"/>
        <s v="RM NA Enterprise"/>
        <s v="ROE Networking (MULTI)"/>
        <s v="RPS Manager"/>
        <s v="RPS WFM"/>
        <s v="RPS Non-Frontline"/>
        <s v="MMCLA Powerstore"/>
        <s v="ROLA Senior and Master Engineer"/>
        <s v="Support Ops ROLA"/>
        <s v="ROLA Enterprise Top Customers"/>
        <s v="Enterprise SA"/>
        <s v="Enterprise SA Email"/>
        <s v="Social Media English (APJ)"/>
        <s v="SMPE English Storage SC"/>
        <s v="SMPE English Storage MD"/>
        <s v="SMPE English Networking"/>
        <s v="SMPE English Server"/>
        <s v="SMPE English Storage PS"/>
        <s v="SMPE English LVTS"/>
        <s v="SMPE English Nutanix"/>
        <s v="SMPE English Microsoft"/>
        <s v="SPA Basic Enterprise (CAS)"/>
        <s v="SPA ProSupp Server (MTP)"/>
        <s v="SPA Social Media (MTP)"/>
        <s v="MMCLA ESG CTE"/>
        <s v="SWE Client ProSupp (TUR)"/>
        <s v="Skytech Enterprise SA"/>
        <s v="Client Prosupport TH (CTX)"/>
        <s v="Enterprise Pro/Core TH"/>
        <s v="CCC Workstation BW"/>
        <s v="BLR Ent Basic (Alternate)"/>
        <s v="UKISA Basic Enterprise (Concentrix)"/>
        <s v="EMEA ProSupport Compellent"/>
        <s v="EMEA ProSupport Powervault"/>
        <s v="NA OOP Resolver"/>
        <s v="ENG ProSupport Plus Server"/>
        <s v="Client Prosupport VN (CTX)"/>
        <s v="Enterprise Pro/Core VN"/>
        <s v="Client Pro/Core VN"/>
        <s v="NA Midrange Storage VNX/e"/>
        <s v="NA VX Rail Storage"/>
        <s v="VXRail"/>
        <s v="Midrange Storage VNX/e"/>
        <s v="Workflow Management"/>
        <s v="NAMER WFM"/>
        <s v="EMEA WFM"/>
        <s v="LATAM WFM"/>
        <s v="APJ HES CST WFM"/>
        <s v="GLOBAL HES Wipro"/>
        <s v="EMEA Server Upsell English"/>
        <s v="EC Compute CEE RUA"/>
        <s v="SER Compute Iberian"/>
        <s v="SER Server Upsell French"/>
        <s v="Compute ProSupport Alt Channel"/>
        <s v="VCF Delivery Engineer"/>
        <s v="Global PowerEdge XE Multi-Lingual"/>
        <s v="Global PowerEdge XE DE"/>
      </sharedItems>
    </cacheField>
    <cacheField name="L5" numFmtId="0">
      <sharedItems/>
    </cacheField>
    <cacheField name="Domain" numFmtId="0">
      <sharedItems containsBlank="1" count="22">
        <m/>
        <s v="Networking"/>
        <s v="All"/>
        <s v="UDS"/>
        <s v="DPD"/>
        <s v="Primary"/>
        <s v="GNCS"/>
        <s v="Midrange"/>
        <s v="Server"/>
        <s v="Storage"/>
        <s v="Social"/>
        <s v="CST"/>
        <s v="CTE"/>
        <s v="E2E"/>
        <s v="DSE"/>
        <s v="GIST"/>
        <s v="RPS"/>
        <s v="Enterprise"/>
        <s v="Client"/>
        <s v="Solutions"/>
        <s v="WFM"/>
        <s v="VCF"/>
      </sharedItems>
    </cacheField>
    <cacheField name="LOB Alignment" numFmtId="0">
      <sharedItems containsBlank="1" count="53">
        <s v="Enterprise"/>
        <s v="Networking"/>
        <s v="Midrange"/>
        <s v="GNCS.VxRail"/>
        <s v="All"/>
        <s v="Isilon"/>
        <s v="Avamar"/>
        <s v="Connectivity"/>
        <s v="DataDomain"/>
        <s v="Hyperconverged"/>
        <s v="Integrated_Software"/>
        <s v="Networker"/>
        <s v="Symmetrix"/>
        <s v="Symmsw"/>
        <s v="Vplex"/>
        <s v="DPSolutions"/>
        <s v="APEX"/>
        <s v="Server"/>
        <s v="Storage"/>
        <s v="Client"/>
        <m/>
        <e v="#N/A"/>
        <s v="High End Storage"/>
        <s v="CTE"/>
        <s v="Converged"/>
        <s v="E2E Connectivity"/>
        <s v="BSAFE"/>
        <s v="VMWare"/>
        <s v="GIST"/>
        <s v="RPS"/>
        <s v="CTE Pro"/>
        <s v="Cloud"/>
        <s v="Cloudboost"/>
        <s v="DPA"/>
        <s v="DPADSRT"/>
        <s v="OBJ"/>
        <s v="PowerProtect"/>
        <s v="RecoverPoint"/>
        <s v="Sourceone"/>
        <s v="Powerflex"/>
        <s v="Global Solutions"/>
        <s v="DLM"/>
        <s v="Mainframe"/>
        <s v="XtremIO"/>
        <s v="PowerProtect Cyber"/>
        <s v="DPD.DPSolutions"/>
        <s v="DPD.DPA"/>
        <s v="Ssg"/>
        <s v="Wipro"/>
        <s v="Cloud Client"/>
        <s v="Spanish"/>
        <s v="Workstation"/>
        <s v="VCF"/>
      </sharedItems>
    </cacheField>
    <cacheField name="Flag" numFmtId="0">
      <sharedItems count="2">
        <s v="Y"/>
        <s v="N"/>
      </sharedItems>
    </cacheField>
    <cacheField name="GS Flag" numFmtId="0">
      <sharedItems containsBlank="1" containsMixedTypes="1" containsNumber="1" containsInteger="1" minValue="0" maxValue="1"/>
    </cacheField>
    <cacheField name="Resource Region" numFmtId="0">
      <sharedItems containsBlank="1"/>
    </cacheField>
    <cacheField name="Resource Sub Region" numFmtId="0">
      <sharedItems containsBlank="1"/>
    </cacheField>
    <cacheField name="Utilization" numFmtId="0">
      <sharedItems containsString="0" containsBlank="1" containsNumber="1" minValue="0.57099999999999995" maxValue="0.64800000000000002"/>
    </cacheField>
    <cacheField name="Attrition" numFmtId="0">
      <sharedItems containsString="0" containsBlank="1" containsNumber="1" minValue="1.0983368455756886E-2" maxValue="0.10229885057471264"/>
    </cacheField>
    <cacheField name="Reason" numFmtId="0">
      <sharedItems containsBlank="1"/>
    </cacheField>
    <cacheField name="Coverage" numFmtId="0">
      <sharedItems containsBlank="1" containsMixedTypes="1" containsNumber="1" containsInteger="1" minValue="0" maxValue="0"/>
    </cacheField>
    <cacheField name="Queue Type" numFmtId="0">
      <sharedItems containsBlank="1"/>
    </cacheField>
    <cacheField name="Queue Description" numFmtId="0">
      <sharedItems containsBlank="1"/>
    </cacheField>
    <cacheField name="Capacity Planner" numFmtId="0">
      <sharedItems containsBlank="1"/>
    </cacheField>
    <cacheField name="Business Owner" numFmtId="0">
      <sharedItems containsBlank="1"/>
    </cacheField>
    <cacheField name="Coverage HC" numFmtId="0">
      <sharedItems containsString="0" containsBlank="1" containsNumber="1" containsInteger="1" minValue="0" maxValue="24"/>
    </cacheField>
    <cacheField name="Manual Adj%" numFmtId="0">
      <sharedItems containsString="0" containsBlank="1" containsNumber="1" minValue="-0.17784135120824798" maxValue="2.7566283019081359"/>
    </cacheField>
    <cacheField name="HES/ESG" numFmtId="0">
      <sharedItems containsBlank="1"/>
    </cacheField>
    <cacheField name="H&amp;T Leadtime" numFmtId="0">
      <sharedItems containsString="0" containsBlank="1" containsNumber="1" containsInteger="1" minValue="13" maxValue="13"/>
    </cacheField>
    <cacheField name="EPI FTE as per week 13" numFmtId="0">
      <sharedItems containsString="0" containsBlank="1" containsNumber="1" minValue="0" maxValue="264.875"/>
    </cacheField>
    <cacheField name="Ramp time" numFmtId="0">
      <sharedItems containsNonDate="0" containsString="0" containsBlank="1"/>
    </cacheField>
    <cacheField name="Coverage HC from Scheduling Standpoint" numFmtId="0">
      <sharedItems containsString="0" containsBlank="1" containsNumber="1" containsInteger="1" minValue="0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shikesh Prakash Yadav" refreshedDate="46204.541592476853" createdVersion="8" refreshedVersion="8" minRefreshableVersion="3" recordCount="611" xr:uid="{F82B3AA3-E150-4AFD-A82A-9312B7BD3D61}">
  <cacheSource type="worksheet">
    <worksheetSource ref="A1:AC612" sheet="UniqueCCOQueueCodes"/>
  </cacheSource>
  <cacheFields count="29">
    <cacheField name="epicenter_cco_queue_code" numFmtId="0">
      <sharedItems count="611">
        <s v="CV02"/>
        <s v="CV03"/>
        <s v="CV04"/>
        <s v="CV05"/>
        <s v="BT02"/>
        <s v="BT03"/>
        <s v="HE02"/>
        <s v="BT10"/>
        <s v="CC14"/>
        <s v="CE03"/>
        <s v="AM02"/>
        <s v="AM04"/>
        <s v="AM05"/>
        <s v="AO06"/>
        <s v="BR02"/>
        <s v="CC07"/>
        <s v="CC09"/>
        <s v="CC22"/>
        <s v="CC23"/>
        <s v="CE01"/>
        <s v="CG Comp"/>
        <s v="CT16"/>
        <s v="CT36"/>
        <s v="DE12"/>
        <s v="FD01"/>
        <s v="FED4"/>
        <s v="FED6"/>
        <s v="FR08"/>
        <s v="FR12"/>
        <s v="FR13"/>
        <s v="FR23"/>
        <s v="GB08"/>
        <s v="GB09"/>
        <s v="GB10"/>
        <s v="GB14"/>
        <s v="GB29"/>
        <s v="GG01"/>
        <s v="HE17"/>
        <s v="HWPA"/>
        <s v="IN15"/>
        <s v="IU56"/>
        <s v="IV01"/>
        <s v="JP11"/>
        <s v="JP13"/>
        <s v="JP19"/>
        <s v="JP22"/>
        <s v="JP27"/>
        <s v="KR06"/>
        <s v="LFT1"/>
        <s v="MY13"/>
        <s v="NE04"/>
        <s v="NE08"/>
        <s v="NE09"/>
        <s v="NF03"/>
        <s v="PS10"/>
        <s v="RL02"/>
        <s v="RL09"/>
        <s v="RL11"/>
        <s v="RL18"/>
        <s v="RL19"/>
        <s v="RR02"/>
        <s v="RR03"/>
        <s v="SE02"/>
        <s v="SW02"/>
        <s v="BT05"/>
        <s v="CTE2"/>
        <s v="DE07"/>
        <s v="DE08"/>
        <s v="DE13"/>
        <s v="EC30"/>
        <s v="EC32"/>
        <s v="FR05"/>
        <s v="FR06"/>
        <s v="GB11"/>
        <s v="GB13"/>
        <s v="GB16"/>
        <s v="IT04"/>
        <s v="IT08"/>
        <s v="LOS0"/>
        <s v="LOS1"/>
        <s v="LOS2"/>
        <s v="LOS3"/>
        <s v="LOS4"/>
        <s v="LOS5"/>
        <s v="NA01"/>
        <s v="NE02"/>
        <s v="NE06"/>
        <s v="NE20"/>
        <s v="NE36"/>
        <s v="NE38"/>
        <s v="NE39"/>
        <s v="SA10"/>
        <s v="AZ09"/>
        <s v="AZ10"/>
        <s v="AZ16"/>
        <s v="CC05"/>
        <s v="CC10"/>
        <s v="CC27"/>
        <s v="CE02"/>
        <s v="CT13"/>
        <s v="CT15"/>
        <s v="CT18"/>
        <s v="CT95"/>
        <s v="CT96"/>
        <s v="CTA3"/>
        <s v="CTA4"/>
        <s v="CTA5"/>
        <s v="CTA6"/>
        <s v="CTA7"/>
        <s v="DP01"/>
        <s v="MY11"/>
        <s v="NE07"/>
        <s v="NE13"/>
        <s v="PH08"/>
        <s v="SY01"/>
        <s v="BPS1"/>
        <s v="BZ10"/>
        <s v="BZ11"/>
        <s v="BZ13"/>
        <s v="PS03"/>
        <s v="RPS1"/>
        <s v="SS03"/>
        <s v="CTE3"/>
        <s v="CTE4"/>
        <s v="CTE6"/>
        <s v="EC21"/>
        <s v="EC34"/>
        <s v="FR09"/>
        <s v="FR11"/>
        <s v="GB18"/>
        <s v="NE25"/>
        <s v="NE33"/>
        <s v="NE35"/>
        <s v="PG01"/>
        <s v="SP04"/>
        <s v="SP09"/>
        <s v="UPP1"/>
        <s v="BZ14"/>
        <s v="RL05"/>
        <s v="AZ11"/>
        <s v="EC39"/>
        <s v="GB21"/>
        <s v="GB31"/>
        <s v="MY14"/>
        <s v="NE05"/>
        <s v="NE14"/>
        <s v="NE27"/>
        <s v="UK06"/>
        <s v="UK07"/>
        <s v="KR05"/>
        <s v="KR12"/>
        <s v="KR13"/>
        <s v="AN02"/>
        <s v="AN03"/>
        <s v="BZ21"/>
        <s v="CM01"/>
        <s v="CT19"/>
        <s v="CT91"/>
        <s v="CV01"/>
        <s v="GH05"/>
        <s v="GH14"/>
        <s v="HE01"/>
        <s v="HE06"/>
        <s v="HE20"/>
        <s v="HE22"/>
        <s v="HE23"/>
        <s v="HE24"/>
        <s v="HE25"/>
        <s v="HE26"/>
        <s v="HE28"/>
        <s v="HE29"/>
        <s v="HE30"/>
        <s v="HE32"/>
        <s v="HE36"/>
        <s v="HE37"/>
        <s v="HE38"/>
        <s v="HE39"/>
        <s v="HE40"/>
        <s v="HE41"/>
        <s v="HE42"/>
        <s v="HE43"/>
        <s v="HE44"/>
        <s v="HE47"/>
        <s v="HE48"/>
        <s v="HE53"/>
        <s v="HE58"/>
        <s v="HE59"/>
        <s v="HE61"/>
        <s v="HE62"/>
        <s v="HE63"/>
        <s v="HE64"/>
        <s v="HE66"/>
        <s v="HE67"/>
        <s v="HE68"/>
        <s v="HE70"/>
        <s v="HE71"/>
        <s v="HE78"/>
        <s v="HE81"/>
        <s v="HE85"/>
        <s v="HE93"/>
        <s v="HE95"/>
        <s v="HEA2"/>
        <s v="HEA5"/>
        <s v="HEA9"/>
        <s v="HEB0"/>
        <s v="HEB4"/>
        <s v="HEB5"/>
        <s v="HEC5"/>
        <s v="HEC6"/>
        <s v="HEC7"/>
        <s v="HED3"/>
        <s v="HED7"/>
        <s v="HEF2"/>
        <s v="HEF5"/>
        <s v="HEG4"/>
        <s v="HEG8"/>
        <s v="HEH6"/>
        <s v="HEJ1"/>
        <s v="HW03"/>
        <s v="HW06"/>
        <s v="IM01"/>
        <s v="IS03"/>
        <s v="IS24"/>
        <s v="IS65"/>
        <s v="IS68"/>
        <s v="IS69"/>
        <s v="IS74"/>
        <s v="IS75"/>
        <s v="IS77"/>
        <s v="IS78"/>
        <s v="IS85"/>
        <s v="IS86"/>
        <s v="IS88"/>
        <s v="IS90"/>
        <s v="IS91"/>
        <s v="IS98"/>
        <s v="IU02"/>
        <s v="IU06"/>
        <s v="IU33"/>
        <s v="JM01"/>
        <s v="JV01"/>
        <s v="MR01"/>
        <s v="MR02"/>
        <s v="PowerProtect"/>
        <s v="RL14"/>
        <s v="VX01"/>
        <s v="VX02"/>
        <s v="VX03"/>
        <s v="VX04"/>
        <s v="CT29"/>
        <s v="CT76"/>
        <s v="EG13"/>
        <s v="GH13"/>
        <s v="GH15"/>
        <s v="IS20"/>
        <s v="IS47"/>
        <s v="IU29"/>
        <s v="IV03"/>
        <s v="CM04"/>
        <s v="IU13"/>
        <s v="IU16"/>
        <s v="GH02"/>
        <s v="GH12"/>
        <s v="IS19"/>
        <s v="IS04"/>
        <s v="IS51"/>
        <s v="IS92"/>
        <s v="IS96"/>
        <s v="IU05"/>
        <s v="GH22"/>
        <s v="GH24"/>
        <s v="IS14"/>
        <s v="IS21"/>
        <s v="IS31"/>
        <s v="IS32"/>
        <s v="IS34"/>
        <s v="IS36"/>
        <s v="IS41"/>
        <s v="IS48"/>
        <s v="IS58"/>
        <s v="IS59"/>
        <s v="IS61"/>
        <s v="IS63"/>
        <s v="IS64"/>
        <s v="IU14"/>
        <s v="IU23"/>
        <s v="IU23a"/>
        <s v="IU30"/>
        <s v="IU40"/>
        <s v="IU41"/>
        <s v="IU43"/>
        <s v="IU45"/>
        <s v="IU45a"/>
        <s v="IU46"/>
        <s v="AX01"/>
        <s v="AP26"/>
        <s v="IS01"/>
        <s v="CC12"/>
        <s v="AM08"/>
        <s v="AO11"/>
        <s v="AO14"/>
        <s v="AZ13"/>
        <s v="BZ19"/>
        <s v="BZ20"/>
        <s v="CC03"/>
        <s v="CC11"/>
        <s v="CC13"/>
        <s v="CG01"/>
        <s v="CHEQ"/>
        <s v="CST4"/>
        <s v="CT12"/>
        <s v="CT17"/>
        <s v="CT32"/>
        <s v="CT34"/>
        <s v="CT35"/>
        <s v="CT38"/>
        <s v="EC04"/>
        <s v="EMC1"/>
        <s v="EN01"/>
        <s v="ER02"/>
        <s v="ES03"/>
        <s v="ES06"/>
        <s v="ES07"/>
        <s v="GB19"/>
        <s v="GB23"/>
        <s v="HE03"/>
        <s v="HE04"/>
        <s v="HE09"/>
        <s v="HE16"/>
        <s v="HE52"/>
        <s v="IN01"/>
        <s v="IN19"/>
        <s v="INCV"/>
        <s v="INPX"/>
        <s v="L2G4"/>
        <s v="MY15"/>
        <s v="NC04"/>
        <s v="NE21"/>
        <s v="NE29"/>
        <s v="NF05"/>
        <s v="NF11"/>
        <s v="NF15"/>
        <s v="NF16"/>
        <s v="NF20"/>
        <s v="NF24"/>
        <s v="NF29"/>
        <s v="NF32"/>
        <s v="NF33"/>
        <s v="NF36"/>
        <s v="NF40"/>
        <s v="NF45"/>
        <s v="NF47"/>
        <s v="NF48"/>
        <s v="NF49"/>
        <s v="NF50"/>
        <s v="NF53"/>
        <s v="NF54"/>
        <s v="PHSS"/>
        <s v="PP21"/>
        <s v="RE03"/>
        <s v="RL10"/>
        <s v="RL12"/>
        <s v="RM02"/>
        <s v="RP03"/>
        <s v="SMP1"/>
        <s v="SMP2"/>
        <s v="SMP3"/>
        <s v="SMP4"/>
        <s v="SMP5"/>
        <s v="SMP6"/>
        <s v="SMP7"/>
        <s v="SMP8"/>
        <s v="SP10"/>
        <s v="TH04"/>
        <s v="THBW"/>
        <s v="UNOP"/>
        <s v="VN02"/>
        <s v="VN04"/>
        <s v="WM01"/>
        <s v="WM04"/>
        <s v="CT27"/>
        <s v="DE10"/>
        <s v="CT11"/>
        <s v="CT14"/>
        <s v="ES01"/>
        <s v="HC06"/>
        <s v="PM01"/>
        <s v="CT69"/>
        <s v="CT70"/>
        <s v="IT10"/>
        <s v="NC14"/>
        <s v="SM02"/>
        <s v="AP25"/>
        <s v="NF35"/>
        <s v="NF44"/>
        <s v="RP02"/>
        <s v="UK03"/>
        <s v="WM02"/>
        <s v="WM03"/>
        <s v="WM05"/>
        <s v="GB01"/>
        <s v="GC11"/>
        <s v="GCTE"/>
        <s v="HE74"/>
        <s v="CGEQ"/>
        <s v="CGGC"/>
        <s v="CGVE"/>
        <s v="CGVX"/>
        <s v="CT20"/>
        <s v="CT37"/>
        <s v="GC19"/>
        <s v="GC20"/>
        <s v="HE73"/>
        <s v="LS01"/>
        <s v="XE01"/>
        <s v="XE02"/>
        <s v="BAH1"/>
        <s v="BT01"/>
        <s v="BT04"/>
        <s v="BT06"/>
        <s v="BT07"/>
        <s v="BT08"/>
        <s v="BT09"/>
        <s v="BT11"/>
        <s v="BT12"/>
        <s v="BT13"/>
        <s v="BT14"/>
        <s v="BX02"/>
        <s v="BZ15"/>
        <s v="BZ24"/>
        <s v="CZ03"/>
        <s v="DE09"/>
        <s v="DE17"/>
        <s v="DE18"/>
        <s v="EC03"/>
        <s v="EC14"/>
        <s v="EC33"/>
        <s v="FR07"/>
        <s v="FR27"/>
        <s v="GC21"/>
        <s v="GM01"/>
        <s v="GP01"/>
        <s v="GS03"/>
        <s v="GS04"/>
        <s v="GT06"/>
        <s v="ID06"/>
        <s v="IN14"/>
        <s v="IN16"/>
        <s v="INT1"/>
        <s v="JP24"/>
        <s v="JP25"/>
        <s v="JP26"/>
        <s v="JP29"/>
        <s v="KR11"/>
        <s v="KR14"/>
        <s v="MR03"/>
        <s v="ND02"/>
        <s v="NE31"/>
        <s v="RAH1"/>
        <s v="RL16"/>
        <s v="ROEN"/>
        <s v="RTC1"/>
        <s v="TH07"/>
        <s v="VN03"/>
        <s v="AP10"/>
        <s v="AP11"/>
        <s v="AP12"/>
        <s v="AP13"/>
        <s v="AP14"/>
        <s v="AP15"/>
        <s v="AP16"/>
        <s v="AP17"/>
        <s v="AP18"/>
        <s v="AP19"/>
        <s v="AP20"/>
        <s v="AP21"/>
        <s v="AP22"/>
        <s v="AP23"/>
        <s v="AP24"/>
        <s v="BL17"/>
        <s v="BZ22"/>
        <s v="CSS1"/>
        <s v="CT25"/>
        <s v="CT26"/>
        <s v="CT30"/>
        <s v="CT67"/>
        <s v="GC17"/>
        <s v="GC18"/>
        <s v="GC22"/>
        <s v="GC23"/>
        <s v="GC24"/>
        <s v="GC25"/>
        <s v="GH01"/>
        <s v="GH03"/>
        <s v="GH04"/>
        <s v="GH06"/>
        <s v="GH07"/>
        <s v="GH08"/>
        <s v="GH09"/>
        <s v="GH10"/>
        <s v="GH11"/>
        <s v="GH16"/>
        <s v="GH17"/>
        <s v="GH18"/>
        <s v="GH19"/>
        <s v="GH20"/>
        <s v="GH21"/>
        <s v="GH23"/>
        <s v="GH25"/>
        <s v="GS01"/>
        <s v="GS02"/>
        <s v="GS05"/>
        <s v="HE12"/>
        <s v="HE72"/>
        <s v="HED1"/>
        <s v="HED2"/>
        <s v="HEE4"/>
        <s v="HEE5"/>
        <s v="HEG3"/>
        <s v="HEH4"/>
        <s v="HEH5"/>
        <s v="HEK8"/>
        <s v="HEL1"/>
        <s v="HEL2"/>
        <s v="HEL3"/>
        <s v="HEL4"/>
        <s v="HEL5"/>
        <s v="IS02"/>
        <s v="IS05"/>
        <s v="IS11"/>
        <s v="IS15"/>
        <s v="IS23"/>
        <s v="IS37"/>
        <s v="IS38"/>
        <s v="IS42"/>
        <s v="IS50"/>
        <s v="IU20"/>
        <s v="IU24"/>
        <s v="IU32"/>
        <s v="NF57"/>
        <s v="RL15"/>
        <s v="CC28"/>
        <s v="CC29"/>
        <s v="CM03"/>
        <s v="CST5"/>
        <s v="CT23"/>
        <s v="CT24"/>
        <s v="CT68"/>
        <s v="GC02"/>
        <s v="GC04"/>
        <s v="GC06"/>
        <s v="GC12"/>
        <s v="GC13"/>
        <s v="GC14"/>
        <s v="GC16"/>
        <s v="GCF1"/>
        <s v="HC07"/>
        <s v="L2G5"/>
        <s v="NALC"/>
        <s v="NF01"/>
        <s v="NF02"/>
        <s v="NF04"/>
        <s v="NF06"/>
        <s v="NF09"/>
        <s v="NF10"/>
        <s v="NF12"/>
        <s v="NF13"/>
        <s v="NF14"/>
        <s v="NF17"/>
        <s v="NF18"/>
        <s v="NF19"/>
        <s v="NF21"/>
        <s v="NF22"/>
        <s v="NF23"/>
        <s v="NF25"/>
        <s v="NF26"/>
        <s v="NF27"/>
        <s v="NF28"/>
        <s v="NF30"/>
        <s v="NF31"/>
        <s v="NF34"/>
        <s v="NF37"/>
        <s v="NF41"/>
        <s v="NF42"/>
        <s v="NF43"/>
        <s v="NF46"/>
        <s v="NF56"/>
        <s v="NF58"/>
        <s v="PE01"/>
        <s v="PF01"/>
        <s v="QCE1"/>
        <s v="RP01"/>
        <s v="VCF1"/>
        <s v="VCF2"/>
        <s v="WP01"/>
        <s v="CC04"/>
        <s v="EC06"/>
        <s v="EC07"/>
        <s v="ND03"/>
        <s v="BW01"/>
        <s v="BW02"/>
        <s v="BW03"/>
        <s v="CCB1"/>
        <s v="CCB2"/>
        <s v="CM05"/>
        <s v="CX01"/>
        <s v="CX02"/>
        <s v="CX03"/>
        <s v="CX04"/>
        <s v="CX05"/>
        <s v="UK05"/>
      </sharedItems>
    </cacheField>
    <cacheField name="epicenter_cco_queue_desc" numFmtId="0">
      <sharedItems containsBlank="1" count="606">
        <s v="HCS AMER Converged Infrastructure"/>
        <s v="HCS APJ Converged Infrastructure"/>
        <s v="HCS EMEA Converged Infrastructure"/>
        <s v="HCS Global Converged Infrastructure"/>
        <s v="Brazil Midrange"/>
        <s v="MMCLA Midrange"/>
        <s v="Global AST"/>
        <s v="CCC CNS Mandarin Voice"/>
        <s v="CCC CNS Cantonese"/>
        <s v="CCC CNS Mandarin Email"/>
        <s v="Enterprise Support Services US"/>
        <s v="Networking ProSupport Analysts US"/>
        <s v="Networking ProSupport RTSE US"/>
        <s v="APJ Upsell-Operations Multi"/>
        <s v="Brazil Senior and Master Engineer"/>
        <s v="Enterprise Core CCC"/>
        <s v="Server ProSupport CCC"/>
        <s v="Enterprise TW"/>
        <s v="Server ProSupport Plus CCC"/>
        <s v="Enterprise Echannel CCC"/>
        <m/>
        <s v="CTE KOR"/>
        <s v="Networking SPSPE"/>
        <s v="GER Solutions (HAL)"/>
        <s v="Federal Support NA"/>
        <s v="Federal Server US"/>
        <s v="US Federal Support Storage"/>
        <s v="FRA Solutions (MTP)"/>
        <s v="FRA ProSupp Server Alternate"/>
        <s v="ProSupp EQL (MTP)"/>
        <s v="FRA ProSupp Storage (MTP)"/>
        <s v="UKISA Basic Enterprise (BGL)"/>
        <s v="ProSupp Storage Co Pilot (CWD)"/>
        <s v="ProSupp EQL (CWD)"/>
        <s v="ENG Solutions (CWD)"/>
        <s v="EMEA ProSupport Powerstore"/>
        <s v="GER ProSupp Storage Co Pilot"/>
        <s v="HES Global Operations"/>
        <s v="Honeywell Panama"/>
        <s v="Server Core IND"/>
        <s v="APJ GNCS Hyperconverged Wipro"/>
        <s v="IND VX Rail Storage"/>
        <s v="Enterprise Core/ProSupport MIY"/>
        <s v="Japan Storage ProSupport KAW"/>
        <s v="Japan Enterprise SW-NWK"/>
        <s v="Enterprise Echannel Core/Pro MIY"/>
        <s v="Enterprise Alt-channel JPN"/>
        <s v="Enterprise ProSupport KOR"/>
        <s v="SSO Quality Lets Fix It"/>
        <s v="Enterprise ProSupport ANZ/SA"/>
        <s v="Enterprise Triage Queue US"/>
        <s v="NA Server Basic Chat (BNG)"/>
        <s v="NA Server Basic (BNG)"/>
        <s v="APJ NR-FLS"/>
        <s v="Powerstore US"/>
        <s v="CPS Chat ROLA"/>
        <s v="Server ProSupport ROLA"/>
        <s v="Proactive Systems Maintenance ROLA"/>
        <s v="MMCLA LC Server Voice (PAN)"/>
        <s v="MMCLA HC Server Voice (PAN)"/>
        <s v="ROLA Senior and Master Engineer"/>
        <s v="Support Ops ROLA"/>
        <s v="Enterprise SA Email"/>
        <s v="SWE Client ProSupp (TUR)"/>
        <s v="EMEA Server Upsell English"/>
        <s v="NA CTE Server"/>
        <s v="GER ProSupp Server Email (HAL)"/>
        <s v="GER Modular (HAL)"/>
        <s v="GER Enterprise (HAL)"/>
        <s v="EC Basic Enterprise (CAS)"/>
        <s v="EC ProSupp Server Arabic (CAS)"/>
        <s v="FRA Basic Enterprise (CAS)"/>
        <s v="FRA Modular (MTP)"/>
        <s v="ENG Modular (CWD)"/>
        <s v="UKI Networking (CWD)"/>
        <s v="ENG ProSupp Server 247 (CWD)"/>
        <s v="ITA Basic Enterprise (CAS)"/>
        <s v="ITA ProSupp Server (MTP)"/>
        <s v="EMEA Solutions MS (ENG)"/>
        <s v="EMEA Solutions HCI (ENG)"/>
        <s v="EMEA Solutions MS (FRA)"/>
        <s v="EMEA Solutions HCI (FRA)"/>
        <s v="EMEA Solutions MS (GER)"/>
        <s v="EMEA Solutions HCI (GER)"/>
        <s v="NA Compute Pro Support"/>
        <s v="Backup Solution HC US"/>
        <s v="PowerEdge After Hours US"/>
        <s v="Networking ProSupport US"/>
        <s v="RT Microsoft US"/>
        <s v="Compute High Complexity"/>
        <s v="Compute ProSupport Alt Channel"/>
        <s v="Enterprise SA"/>
        <s v="Networking ProSupport ANZ"/>
        <s v="Server ProSupport ANZ"/>
        <s v="Enterprise ANZ AOH"/>
        <s v="Networking CCC"/>
        <s v="Storage ProSupport CCC"/>
        <s v="Server Combined CCC"/>
        <s v="Storage Echannel CCC"/>
        <s v="CTE CCC"/>
        <s v="CTE JPN"/>
        <s v="CTE SA"/>
        <s v="CTE NW IND"/>
        <s v="CTE Storage IND"/>
        <s v="CTE Server/Networking CCC"/>
        <s v="CTE Storage CCC"/>
        <s v="CTE Server/Networking JPN"/>
        <s v="CTE Storage JPN"/>
        <s v="CTE Enterprise KOR"/>
        <s v="DSP OEM"/>
        <s v="Networking Pro Core SA"/>
        <s v="Networking Basic US"/>
        <s v="PowerEdge Alternate Channel US"/>
        <s v="Enterprise Pro/Core PH"/>
        <s v="Skytech Enterprise SA"/>
        <s v="Brazil Powerstore"/>
        <s v="BRZ HC Server Voice (EL)"/>
        <s v="BRZ HC Storage Voice (EL)"/>
        <s v="BRZ LC Server Voice (EL)"/>
        <s v="Brazil ESG CTE"/>
        <s v="MMCLA Powerstore"/>
        <s v="MMCLA ESG CTE"/>
        <s v="EMEA SERVER CTE"/>
        <s v="EMEA MODULAR CTE"/>
        <s v="NA CTE Storage"/>
        <s v="EC RUS Enterprise (HAL)"/>
        <s v="EC ProSupp Server CEE (HAL)"/>
        <s v="FRA ProSupport Server (CAS)"/>
        <s v="FRA ProSupport Plus Server (MTP)"/>
        <s v="ENG ProSupp Server"/>
        <s v="Server ProSupport Chat US"/>
        <s v="Modular US"/>
        <s v="RT Linux / Virtualization US"/>
        <s v="POR ProSupp Server (MTP)"/>
        <s v="SPA Basic Enterprise (CAS)"/>
        <s v="SPA ProSupp Server (MTP)"/>
        <s v="ENG ProSupport Plus Server"/>
        <s v="BRZ LC Storage Voice (EL)"/>
        <s v="Storage ROLA"/>
        <s v="Storage ProSupport ANZ"/>
        <s v="EC ProSupp Storage"/>
        <s v="ProSupp Storage 247 (CWD)"/>
        <s v="UKI Storage"/>
        <s v="Storage ProSupport SA"/>
        <s v="Storage PS MD US"/>
        <s v="Compellent Copilot US"/>
        <s v="NA ProSupp Storage eSupport"/>
        <s v="EMEA ProSupport Compellent"/>
        <s v="EMEA ProSupport Powervault"/>
        <s v="KOR Compute Basic Korean"/>
        <s v="KOR Compute Upsell Korean"/>
        <s v="KOR Networking Upsell Korean"/>
        <s v="ANZ Midrange Storage VNX/e"/>
        <s v="ANZ VX Rail Storage"/>
        <s v="POR Midrange Storage VNX/e"/>
        <s v="CCC Midrange Storage VNX/e"/>
        <s v="HCS Global Converged"/>
        <s v="EMEA PowerScale CTE"/>
        <s v="CCC VX Rail Storage"/>
        <s v="GLOBAL DPD DPADSRT"/>
        <s v="HCS Global PowerFlex"/>
        <s v="HES Global CST Chat"/>
        <s v="HES Global PowerScale Support"/>
        <s v="HES Global Hyperconverged"/>
        <s v="HES Global VMAX"/>
        <s v="HES Global SymmSW"/>
        <s v="HES Global Vplex"/>
        <s v="HES Global Mainframe"/>
        <s v="HES Global DLM"/>
        <s v="HES Global XtremIO"/>
        <s v="HES Global Connectivity"/>
        <s v="HES Global Solutions"/>
        <s v="HES Global SSG"/>
        <s v="HES Global AVAMAR"/>
        <s v="HES Global Networker"/>
        <s v="HES Global DataDomain"/>
        <s v="HES Global RecoverPoint"/>
        <s v="HES Global DPADSRT"/>
        <s v="HES Global DPSolutions"/>
        <s v="HES Global DPA"/>
        <s v="HES Global SOURCEONE"/>
        <s v="HES Global Cloudboost"/>
        <s v="HES Global PowerScale"/>
        <s v="HES Global OBJ"/>
        <s v="HES Global E2E CONNECTIVITY"/>
        <s v="German VXRail"/>
        <s v="German Midrange"/>
        <s v="French VXRail"/>
        <s v="French Midrange"/>
        <s v="UKI VXRail"/>
        <s v="UKI Midrange"/>
        <s v="Italian Midrange"/>
        <s v="Spanish VXRail"/>
        <s v="Spanish Midrange"/>
        <s v="APJ English Midrange"/>
        <s v="APJ English VXRail"/>
        <s v="NA PowerScale HE Storage Voice"/>
        <s v="EMEA English VMAX"/>
        <s v="AMER English VMAX"/>
        <s v="EMEA English Vplex"/>
        <s v="AMER English Vplex"/>
        <s v="EMEA English Connectivity"/>
        <s v="AMER English Connectivity"/>
        <s v="EMEA English XtremIO"/>
        <s v="AMER English XtremIO"/>
        <s v="EMEA English Integrated Software"/>
        <s v="AMER English Integrated Software"/>
        <s v="AMER English PowerScale"/>
        <s v="EMEA English PowerScale"/>
        <s v="APJ English PowerScale"/>
        <s v="AMER English Networker"/>
        <s v="EMEA English Networker"/>
        <s v="AMER English OBJ"/>
        <s v="EMEA English OBJ"/>
        <s v="AMER English Avamar"/>
        <s v="EMEA English Avamar"/>
        <s v="AMER English DataDomain"/>
        <s v="EMEA English DataDomain"/>
        <s v="HES Global DPSolutions WIPRO"/>
        <s v="HES Global RecoverPoint WIPRO"/>
        <s v="IND Midrange Storage VNX/e"/>
        <s v="India UDS PowerScale"/>
        <s v="NAMER UDS OBJ"/>
        <s v="India DPD AVAMAR"/>
        <s v="India HES Connectivity"/>
        <s v="India DPD DataDomain"/>
        <s v="HCS INDIA VxRail"/>
        <s v="India HES Integrated_Software"/>
        <s v="India DPD Networker"/>
        <s v="India UDS OBJ"/>
        <s v="India HES SymmSW"/>
        <s v="INDIA HES MIDRANGE"/>
        <s v="India HES Vplex"/>
        <s v="India HES XtremIO"/>
        <s v="LATAM DPD DPA"/>
        <s v="HCS LATAM VxRail"/>
        <s v="EMEA UDS OBJ"/>
        <s v="APJ UDS OBJ"/>
        <s v="JP Midrange Storage VNX/e"/>
        <s v="JP VX Rail Storage"/>
        <s v="MMCLA Midrange Storage VNX/e Spanish"/>
        <s v="MMCLA VXRail Spanish"/>
        <s v="MMCLA Midrange Storage VNX/e"/>
        <s v="NA Midrange Storage VNX/e"/>
        <s v="NA VX Rail Storage"/>
        <s v="VXRail"/>
        <s v="Midrange Storage VNX/e"/>
        <s v="HCS Global Vmware"/>
        <s v="Global VxRail CTE"/>
        <s v="HCS Global Cloud Solutions"/>
        <s v="HCS Global VxRail"/>
        <s v="HCS Global Solutions"/>
        <s v="HCS APJ VxRail"/>
        <s v="HCS EMEA VxRail"/>
        <s v="HCS NAMER VxRail"/>
        <s v="HCS APJ VxRail English NAMER AOH"/>
        <s v="CCC HES VXRail Hyperconverged"/>
        <s v="LATAM HES Symmetrix"/>
        <s v="LATAM HES MIDRANGE"/>
        <s v="GLOBAL DPD Cloudboost"/>
        <s v="GLOBAL DPD SOURCEONE"/>
        <s v="APJ DPD DPSolutions"/>
        <s v="LATAM UDS PowerScale"/>
        <s v="LATAM UDS OBJ"/>
        <s v="LATAM DPD AVAMAR"/>
        <s v="LATAM DPD DataDomain"/>
        <s v="LATAM DPD Networker"/>
        <s v="GLOBAL HES MIDRANGE"/>
        <s v="GLOBAL HES XtremIO"/>
        <s v="APJ HES Connectivity"/>
        <s v="APJ HES Integrated_Software"/>
        <s v="APJ HES Symmetrix"/>
        <s v="APJ HES SymmSW"/>
        <s v="APJ HES MIDRANGE"/>
        <s v="APJ HES Vplex"/>
        <s v="EMEA HES Connectivity"/>
        <s v="EMEA HES Integrated_Software"/>
        <s v="EMEA HES Symmetrix"/>
        <s v="EMEA HES SymmSW"/>
        <s v="EMEA HES MIDRANGE"/>
        <s v="EMEA HES Vplex"/>
        <s v="EMEA HES XtremIO"/>
        <s v="LATAM HES SymmSW"/>
        <s v="NAMER HES Connectivity"/>
        <s v="NAMER HES Integrated_Software"/>
        <s v="NAMER HES Symmetrix"/>
        <s v="NAMER HES SymmSW"/>
        <s v="NAMER HES MIDRANGE"/>
        <s v="NAMER HES Vplex"/>
        <s v="NAMER HES XtremIO"/>
        <s v="HCS Global APEX"/>
        <s v="APJ DPD DPSolutions Chinese"/>
        <s v="APJ UDS PowerScale"/>
        <s v="Social Media CCC"/>
        <s v="Quality Lead US"/>
        <s v="APJ Biz Ops"/>
        <s v="EMEA Biz Ops"/>
        <s v="Client ProSupport ANZ"/>
        <s v="Proactive Systems Maintenance BR"/>
        <s v="RM Brazil"/>
        <s v="Client ProSupport CCC BW"/>
        <s v="Client ProSupport CCC ML"/>
        <s v="Proactive Systems Maintenance CCC"/>
        <s v="CHK Cons Tech CSQ BW"/>
        <s v="CST SPUS"/>
        <s v="CTE BRZ"/>
        <s v="CTE ROLA"/>
        <s v="Global Networking RTSE"/>
        <s v="Solutions SPSPE"/>
        <s v="Server SPSPE"/>
        <s v="Global Service Routing Manager"/>
        <s v="ISR Client (Netanya)"/>
        <s v="EMEA Storage CTE"/>
        <s v="Networking Product Escalations"/>
        <s v="EMEA Support Resolution Team"/>
        <s v="EMEA SME Team"/>
        <s v="EMEA Technical Support Operations"/>
        <s v="EMEA VX Rail Storage"/>
        <s v="EMEA ProSupp SST"/>
        <s v="Proactive Systems Maintenance EMEA"/>
        <s v="HES Global CST Management"/>
        <s v="HES Global CST VIC"/>
        <s v="HES Global Remote Proactive"/>
        <s v="HES Global DSE"/>
        <s v="HES Global RCM"/>
        <s v="Workstation IND"/>
        <s v="Wyse IND"/>
        <s v="India Core Concentrix"/>
        <s v="India Premium Support"/>
        <s v="ARS System Exchange"/>
        <s v="Proactive Systems Maintenance SA"/>
        <s v="Client ProSupport US"/>
        <s v="Server eSupport Case Director US"/>
        <s v="Proactive Systems Maintenance NA"/>
        <s v="Social Media Non-Frontline"/>
        <s v="DPD/UDS NR-FLS"/>
        <s v="EMEA Non-Frontline"/>
        <s v="EMEA NR-FLS"/>
        <s v="HCS NR-FLS"/>
        <s v="HES NR-FLS"/>
        <s v="LATAM NR-FLS"/>
        <s v="NCS Non-Frontline"/>
        <s v="NAMER NR-FLS"/>
        <s v="Service Engineering Manager"/>
        <s v="Service Engineering Technical Lead"/>
        <s v="STRATEGY Non-Frontline"/>
        <s v="SSO WFM"/>
        <s v="RM Manager"/>
        <s v="RM NR-FLS"/>
        <s v="Service Engineering WFM"/>
        <s v="Global TELCO Networking"/>
        <s v="Global TELCO - Server"/>
        <s v="NA Premium Support"/>
        <s v="APJ English CTE"/>
        <s v="APJ Support Resolution Team"/>
        <s v="Triage Enterprise Support Panama"/>
        <s v="RM ROLA"/>
        <s v="RM NA Enterprise"/>
        <s v="RPS Non-Frontline"/>
        <s v="SMPE English Storage SC"/>
        <s v="SMPE English Storage MD"/>
        <s v="SMPE English Networking"/>
        <s v="SMPE English Server"/>
        <s v="SMPE English Storage PS"/>
        <s v="SMPE English LVTS"/>
        <s v="SMPE English Nutanix"/>
        <s v="SMPE English Microsoft"/>
        <s v="SPA Social Media (MTP)"/>
        <s v="Client Prosupport TH (CTX)"/>
        <s v="CCC Workstation BW"/>
        <s v="NA OOP Resolver"/>
        <s v="Client Prosupport VN (CTX)"/>
        <s v="Client Pro/Core VN"/>
        <s v="Workflow Management"/>
        <s v="LATAM WFM"/>
        <s v="Global Compute Software"/>
        <s v="GER ProSupp OWR Ent (HAL)"/>
        <s v="CTE ANZ"/>
        <s v="CTE IND"/>
        <s v="EMEA Static Central"/>
        <s v="EMEA Static Revenue"/>
        <s v="Partner Management"/>
        <s v="Social Media English"/>
        <s v="Social Media EMEA"/>
        <s v="ITA Social Media (MTP)"/>
        <s v="Social Media English (AMER)"/>
        <s v="Social Media English (APJ)"/>
        <s v="APJ DPD DP Solutions"/>
        <s v="NAMER Technical Lead"/>
        <s v="SSO Quality Coach"/>
        <s v="RPS WFM"/>
        <s v="BLR Ent Basic (Alternate)"/>
        <s v="NAMER WFM"/>
        <s v="EMEA WFM"/>
        <s v="APJ WFM"/>
        <s v="UKISA Client DSP (BGL)"/>
        <s v="AST Quality Coach"/>
        <s v="CTE Global English"/>
        <s v="Wipro AMER Midrange"/>
        <s v="GLOBAL Equallogic Capgemini"/>
        <s v="GLOBAL Compellent Capgemini"/>
        <s v="GLOBAL VNXe Capgemini"/>
        <s v="GLOBAL VNX Capgemini"/>
        <s v="GLOBAL E2E Connectivity"/>
        <s v="APJ HES CST Japanese"/>
        <s v="Global PowerFlex"/>
        <s v="Global PowerFlex Domain Engineer"/>
        <s v="APJ HES CST Korean"/>
        <s v="Licensing Support"/>
        <s v="Global PowerEdge XE Multi-Lingual"/>
        <s v="Global PowerEdge XE DE"/>
        <s v="LATAM AH Portuguese"/>
        <s v="LATAM Top Customers Portuguese"/>
        <s v="Global Networking English"/>
        <s v="EC Compute CEE RUA"/>
        <s v="SER Compute Iberian"/>
        <s v="SER Server French"/>
        <s v="CCC MidRange Mandarin"/>
        <s v="LATAM Midrange Portuguese"/>
        <s v="LATAM Midrange Spanish"/>
        <s v="EC Server Arabic"/>
        <s v="SER Server Italian"/>
        <s v="ENG ProSupp Dutch Server (CWD)"/>
        <s v="LATAM Networking Portuguese"/>
        <s v="LATAM Compute Portuguese"/>
        <s v="CZE Enterprise (BRA)"/>
        <s v="GER Networking (HAL)"/>
        <s v="German Storage"/>
        <s v="CER Server German"/>
        <s v="EC GRE ProSupp Server (MTP)"/>
        <s v="EC POL Enterprise (HAL)"/>
        <s v="EC ProSupp Server Turkish (HAL)"/>
        <s v="FRA Networking (MTP)"/>
        <s v="France Storage"/>
        <s v="Global Compute English"/>
        <s v="Global Midrange"/>
        <s v="Global Powerstore"/>
        <s v="EMEA Solutions HCI FL"/>
        <s v="EMEA Solutions MS FL"/>
        <s v="Global Inbound Support Team"/>
        <s v="Enterprise Pro/Core ID"/>
        <s v="Storage IND"/>
        <s v="Server ProSupport IND"/>
        <s v="Networking IND"/>
        <s v="Server Pro/Core Japan"/>
        <s v="Storage Pro/Core Japan"/>
        <s v="Server ProSupport Plus Japan"/>
        <s v="Networking Pro/Core Japan"/>
        <s v="KOR Storage Upsell Korean"/>
        <s v="Korea CNS"/>
        <s v="LATAM Compute Spanish"/>
        <s v="ENG ProSupp Nordics Server (CWD)"/>
        <s v="PS One"/>
        <s v="LATAM AH Spanish"/>
        <s v="LATAM Networking Spanish"/>
        <s v="ROE Networking (MULTI)"/>
        <s v="LATAM Top Customers Spanish"/>
        <s v="Enterprise Pro/Core TH"/>
        <s v="Enterprise Pro/Core VN"/>
        <s v="APJ UDS PowerScale Chinese"/>
        <s v="APJ UDS PowerScale Japanese"/>
        <s v="APJ DPD AVAMAR Chinese"/>
        <s v="APJ HES Connectivity Chinese"/>
        <s v="APJ DPD DataDomain Chinese"/>
        <s v="HCS APJ VxRail Chinese"/>
        <s v="HCS APJ VxRail Japanese"/>
        <s v="APJ HES Integrated_Software Chinese"/>
        <s v="APJ DPD Networker Chinese"/>
        <s v="APJ HES Symmetrix Chinese"/>
        <s v="APJ HES Symmetrix Japanese"/>
        <s v="APJ HES SymmSW Chinese"/>
        <s v="APJ HES MIDRANGE Chinese"/>
        <s v="APJ HES MIDRANGE Japanese"/>
        <s v="APJ HES Vplex Chinese"/>
        <s v="GLOBAL HES MIDRANGE Backline"/>
        <s v="HCS LATAM BRZ VxRail"/>
        <s v="APJ HES CST Chinese"/>
        <s v="Global Compute Hardware"/>
        <s v="Global ESG Midrange Backline"/>
        <s v="Global Networking"/>
        <s v="RPS Remote Proactive Services"/>
        <s v="Global VxRail"/>
        <s v="Global VxRail Domain Engineer"/>
        <s v="Global Connectivity FL"/>
        <s v="Global Symmetrix FL"/>
        <s v="Global Symmetrix SW FL"/>
        <s v="Global Vplex FL"/>
        <s v="GLOBAL DPD AVAMAR"/>
        <s v="GLOBAL DPD DataDomain"/>
        <s v="GLOBAL DPD DPA"/>
        <s v="GLOBAL DPD DPSolutions"/>
        <s v="GLOBAL UDS PowerScale"/>
        <s v="GLOBAL DPD Networker"/>
        <s v="GLOBAL UDS OBJ"/>
        <s v="GLOBAL DPD PowerProtect"/>
        <s v="GLOBAL DPD RecoverPoint"/>
        <s v="Global Connectivity Backline"/>
        <s v="Global DLM Backline"/>
        <s v="GLOBAL HES Integrated_Software"/>
        <s v="Global Mainframe Backline"/>
        <s v="Global Symmetrix Backline"/>
        <s v="Global SymmSW Backline"/>
        <s v="Global Vplex Backline"/>
        <s v="Global DPD PowerProtect Cyber"/>
        <s v="Global Solutions HCI DE"/>
        <s v="Global Solutions MS DE"/>
        <s v="Global HES Midrange FL"/>
        <s v="Global Integrated Software FL"/>
        <s v="HCS APJ VxRail Korean"/>
        <s v="LATAM Networker Portuguese"/>
        <s v="LATAM Networker Spanish"/>
        <s v="LATAM Primary Storage Portuguese"/>
        <s v="LATAM Primary Storage Spanish"/>
        <s v="LATAM Avamar Spanish"/>
        <s v="LATAM DataDomain Portuguese"/>
        <s v="LATAM DataDomain Spanish"/>
        <s v="APJ HES Symmetrix Korean"/>
        <s v="LATAM PowerScale Spanish"/>
        <s v="LATAM Avamar Portuguese"/>
        <s v="LATAM PowerScale Portuguese"/>
        <s v="LATAM ECS Portuguese"/>
        <s v="LATAM ECS Spanish"/>
        <s v="EMEA UDS PowerScale"/>
        <s v="NAMER UDS PowerScale"/>
        <s v="APJ DPD AVAMAR"/>
        <s v="APJ DPD DataDomain"/>
        <s v="APJ DPD Networker"/>
        <s v="APJ HES XtremIO"/>
        <s v="EMEA DPD AVAMAR"/>
        <s v="EMEA DPD DataDomain"/>
        <s v="EMEA DPD Networker"/>
        <s v="NAMER DPD AVAMAR"/>
        <s v="NAMER DPD DataDomain"/>
        <s v="NAMER DPD Networker"/>
        <s v="Global TELCO"/>
        <s v="HCS LATAM MMCLA VxRail"/>
        <s v="APJ ESG Call Directors Chinese"/>
        <s v="CCC CNS Mandarin"/>
        <s v="CNS Manager"/>
        <s v="CST VIC"/>
        <s v="GLOBAL HES BSAFE"/>
        <s v="HCS Global DSE"/>
        <s v="RPS Proactive Systems Maintenance"/>
        <s v="E2E Manager"/>
        <s v="Licensing Manager"/>
        <s v="S&amp;AS Manager"/>
        <s v="E2E Quality Coach"/>
        <s v="GIST Quality Coach"/>
        <s v="Licensing Quality Coach"/>
        <s v="GIST Manager"/>
        <s v="Global Compute Community Forum"/>
        <s v="German Trainees"/>
        <s v="ARS ESC Commercial REC"/>
        <s v="NA Basic Core Concentrix"/>
        <s v="APJ Manager"/>
        <s v="APJ Non-Frontline"/>
        <s v="APJ Quality Coach"/>
        <s v="Social Media Quality Coach"/>
        <s v="DPD/UDS Manager"/>
        <s v="DPD/UDS Non-Frontline"/>
        <s v="DPD/UDS Quality Coach"/>
        <s v="DPD/UDS Technical Lead"/>
        <s v="EMEA Manager"/>
        <s v="EMEA Quality Coach"/>
        <s v="HCS Manager"/>
        <s v="HCS Non-Frontline"/>
        <s v="HCS Technical Lead"/>
        <s v="HES Manager"/>
        <s v="HES Non-Frontline"/>
        <s v="HES Quality Coach"/>
        <s v="HES Technical Lead"/>
        <s v="LATAM Manager"/>
        <s v="LATAM Non-Frontline"/>
        <s v="LATAM Quality Coach"/>
        <s v="NAMER Manager"/>
        <s v="NAMER Quality Coach"/>
        <s v="Service Engineering Non-Frontline"/>
        <s v="SSO Manager"/>
        <s v="SSO Non-Frontline"/>
        <s v="SSO NR-FLS"/>
        <s v="MOONEY ELT"/>
        <s v="HCS Quality Coach"/>
        <s v="Global HCS Content Creators"/>
        <s v="Global PowerEdge DSE "/>
        <s v="PS One Field Consultant"/>
        <s v="EMEA Quality Coach Compute"/>
        <s v="RPS Manager"/>
        <s v="VCF Delivery Engineer"/>
        <s v="VCF Upgrade Coordinator"/>
        <s v="GLOBAL HES Wipro"/>
        <s v="CCC Enterprise CMG Mandarin Voice BW"/>
        <s v="EC Server Basic Hebrew (CGS) NET"/>
        <s v="EC ProSupp Server Hebrew (CGS)"/>
        <s v="Nordics Server Core (TUR)"/>
        <s v="CCC Compute ProSupport Mandarin Voice BW"/>
        <s v="CCC CNS Cantonese BW"/>
        <s v="CCC CNS Mandarin BW"/>
        <s v="CCC Compute Basic Mandarin Voice BW"/>
        <s v="CCC Compute Mandarin Email BW"/>
        <s v="CCC Midrange Mandarin BW"/>
        <s v="NA Server Basic (Concentrix)"/>
        <s v="Server Core IND CNX"/>
        <s v="Server Core ANZ CNX"/>
        <s v="Server Core SA CNX"/>
        <s v="NA Server Basic Chat (CNX)"/>
        <s v="UKISA Basic Enterprise (Concentrix)"/>
      </sharedItems>
    </cacheField>
    <cacheField name="L5" numFmtId="0">
      <sharedItems/>
    </cacheField>
    <cacheField name="Domain" numFmtId="0">
      <sharedItems containsBlank="1"/>
    </cacheField>
    <cacheField name="LOB Alignment" numFmtId="0">
      <sharedItems containsBlank="1"/>
    </cacheField>
    <cacheField name="Flag" numFmtId="0">
      <sharedItems/>
    </cacheField>
    <cacheField name="GS Flag" numFmtId="0">
      <sharedItems/>
    </cacheField>
    <cacheField name="Resource Region" numFmtId="0">
      <sharedItems containsBlank="1"/>
    </cacheField>
    <cacheField name="Resource Sub Region" numFmtId="0">
      <sharedItems containsBlank="1"/>
    </cacheField>
    <cacheField name="Utilization" numFmtId="165">
      <sharedItems containsString="0" containsBlank="1" containsNumber="1" minValue="0.57099999999999995" maxValue="0.64800000000000002"/>
    </cacheField>
    <cacheField name="Attrition" numFmtId="165">
      <sharedItems containsString="0" containsBlank="1" containsNumber="1" minValue="3.7082818294190355E-3" maxValue="0.1"/>
    </cacheField>
    <cacheField name="Reason" numFmtId="0">
      <sharedItems containsNonDate="0" containsString="0" containsBlank="1"/>
    </cacheField>
    <cacheField name="Coverage" numFmtId="0">
      <sharedItems containsBlank="1" containsMixedTypes="1" containsNumber="1" containsInteger="1" minValue="0" maxValue="45862"/>
    </cacheField>
    <cacheField name="Queue Type" numFmtId="0">
      <sharedItems containsBlank="1"/>
    </cacheField>
    <cacheField name="Queue Description" numFmtId="0">
      <sharedItems count="611">
        <s v="CV02_HCS AMER Converged Infrastructure"/>
        <s v="CV03_HCS APJ Converged Infrastructure"/>
        <s v="CV04_HCS EMEA Converged Infrastructure"/>
        <s v="CV05_HCS Global Converged Infrastructure"/>
        <s v="BT02_Brazil Midrange"/>
        <s v="BT03_MMCLA Midrange"/>
        <s v="HE02_Global AST"/>
        <s v="BT10_CCC CNS Mandarin Voice"/>
        <s v="CC14_CCC CNS Cantonese"/>
        <s v="CE03_CCC CNS Mandarin Email"/>
        <s v="AM02_Enterprise Support Services US"/>
        <s v="AM04_Networking ProSupport Analysts US"/>
        <s v="AM05_Networking ProSupport RTSE US"/>
        <s v="AO06_APJ Upsell-Operations Multi"/>
        <s v="BR02_Brazil Senior and Master Engineer"/>
        <s v="CC07_Enterprise Core CCC"/>
        <s v="CC09_Server ProSupport CCC"/>
        <s v="CC22_Enterprise TW"/>
        <s v="CC23_Server ProSupport Plus CCC"/>
        <s v="CE01_Enterprise Echannel CCC"/>
        <s v="CG Comp_"/>
        <s v="CT16_CTE KOR"/>
        <s v="CT36_Networking SPSPE"/>
        <s v="DE12_GER Solutions (HAL)"/>
        <s v="FD01_Federal Support NA"/>
        <s v="FED4_Federal Server US"/>
        <s v="FED6_US Federal Support Storage"/>
        <s v="FR08_FRA Solutions (MTP)"/>
        <s v="FR12_FRA ProSupp Server Alternate"/>
        <s v="FR13_ProSupp EQL (MTP)"/>
        <s v="FR23_FRA ProSupp Storage (MTP)"/>
        <s v="GB08_UKISA Basic Enterprise (BGL)"/>
        <s v="GB09_ProSupp Storage Co Pilot (CWD)"/>
        <s v="GB10_ProSupp EQL (CWD)"/>
        <s v="GB14_ENG Solutions (CWD)"/>
        <s v="GB29_EMEA ProSupport Powerstore"/>
        <s v="GG01_GER ProSupp Storage Co Pilot"/>
        <s v="HE17_HES Global Operations"/>
        <s v="HWPA_Honeywell Panama"/>
        <s v="IN15_Server Core IND"/>
        <s v="IU56_APJ GNCS Hyperconverged Wipro"/>
        <s v="IV01_IND VX Rail Storage"/>
        <s v="JP11_Enterprise Core/ProSupport MIY"/>
        <s v="JP13_Japan Storage ProSupport KAW"/>
        <s v="JP19_Japan Enterprise SW-NWK"/>
        <s v="JP22_Enterprise Echannel Core/Pro MIY"/>
        <s v="JP27_Enterprise Alt-channel JPN"/>
        <s v="KR06_Enterprise ProSupport KOR"/>
        <s v="LFT1_SSO Quality Lets Fix It"/>
        <s v="MY13_Enterprise ProSupport ANZ/SA"/>
        <s v="NE04_Enterprise Triage Queue US"/>
        <s v="NE08_NA Server Basic Chat (BNG)"/>
        <s v="NE09_NA Server Basic (BNG)"/>
        <s v="NF03_APJ NR-FLS"/>
        <s v="PS10_Powerstore US"/>
        <s v="RL02_CPS Chat ROLA"/>
        <s v="RL09_Server ProSupport ROLA"/>
        <s v="RL11_Proactive Systems Maintenance ROLA"/>
        <s v="RL18_MMCLA LC Server Voice (PAN)"/>
        <s v="RL19_MMCLA HC Server Voice (PAN)"/>
        <s v="RR02_ROLA Senior and Master Engineer"/>
        <s v="RR03_Support Ops ROLA"/>
        <s v="SE02_Enterprise SA Email"/>
        <s v="SW02_SWE Client ProSupp (TUR)"/>
        <s v="BT05_EMEA Server Upsell English"/>
        <s v="CTE2_NA CTE Server"/>
        <s v="DE07_GER ProSupp Server Email (HAL)"/>
        <s v="DE08_GER Modular (HAL)"/>
        <s v="DE13_GER Enterprise (HAL)"/>
        <s v="EC30_EC Basic Enterprise (CAS)"/>
        <s v="EC32_EC ProSupp Server Arabic (CAS)"/>
        <s v="FR05_FRA Basic Enterprise (CAS)"/>
        <s v="FR06_FRA Modular (MTP)"/>
        <s v="GB11_ENG Modular (CWD)"/>
        <s v="GB13_UKI Networking (CWD)"/>
        <s v="GB16_ENG ProSupp Server 247 (CWD)"/>
        <s v="IT04_ITA Basic Enterprise (CAS)"/>
        <s v="IT08_ITA ProSupp Server (MTP)"/>
        <s v="LOS0_EMEA Solutions MS (ENG)"/>
        <s v="LOS1_EMEA Solutions HCI (ENG)"/>
        <s v="LOS2_EMEA Solutions MS (FRA)"/>
        <s v="LOS3_EMEA Solutions HCI (FRA)"/>
        <s v="LOS4_EMEA Solutions MS (GER)"/>
        <s v="LOS5_EMEA Solutions HCI (GER)"/>
        <s v="NA01_NA Compute Pro Support"/>
        <s v="NE02_Backup Solution HC US"/>
        <s v="NE06_PowerEdge After Hours US"/>
        <s v="NE20_Networking ProSupport US"/>
        <s v="NE36_RT Microsoft US"/>
        <s v="NE38_Compute High Complexity"/>
        <s v="NE39_Compute ProSupport Alt Channel"/>
        <s v="SA10_Enterprise SA"/>
        <s v="AZ09_Networking ProSupport ANZ"/>
        <s v="AZ10_Server ProSupport ANZ"/>
        <s v="AZ16_Enterprise ANZ AOH"/>
        <s v="CC05_Networking CCC"/>
        <s v="CC10_Storage ProSupport CCC"/>
        <s v="CC27_Server Combined CCC"/>
        <s v="CE02_Storage Echannel CCC"/>
        <s v="CT13_CTE CCC"/>
        <s v="CT15_CTE JPN"/>
        <s v="CT18_CTE SA"/>
        <s v="CT95_CTE NW IND"/>
        <s v="CT96_CTE Storage IND"/>
        <s v="CTA3_CTE Server/Networking CCC"/>
        <s v="CTA4_CTE Storage CCC"/>
        <s v="CTA5_CTE Server/Networking JPN"/>
        <s v="CTA6_CTE Storage JPN"/>
        <s v="CTA7_CTE Enterprise KOR"/>
        <s v="DP01_DSP OEM"/>
        <s v="MY11_Networking Pro Core SA"/>
        <s v="NE07_Networking Basic US"/>
        <s v="NE13_PowerEdge Alternate Channel US"/>
        <s v="PH08_Enterprise Pro/Core PH"/>
        <s v="SY01_Skytech Enterprise SA"/>
        <s v="BPS1_Brazil Powerstore"/>
        <s v="BZ10_BRZ HC Server Voice (EL)"/>
        <s v="BZ11_BRZ HC Storage Voice (EL)"/>
        <s v="BZ13_BRZ LC Server Voice (EL)"/>
        <s v="PS03_Brazil ESG CTE"/>
        <s v="RPS1_MMCLA Powerstore"/>
        <s v="SS03_MMCLA ESG CTE"/>
        <s v="CTE3_EMEA SERVER CTE"/>
        <s v="CTE4_EMEA MODULAR CTE"/>
        <s v="CTE6_NA CTE Storage"/>
        <s v="EC21_EC RUS Enterprise (HAL)"/>
        <s v="EC34_EC ProSupp Server CEE (HAL)"/>
        <s v="FR09_FRA ProSupport Server (CAS)"/>
        <s v="FR11_FRA ProSupport Plus Server (MTP)"/>
        <s v="GB18_ENG ProSupp Server"/>
        <s v="NE25_Server ProSupport Chat US"/>
        <s v="NE33_Modular US"/>
        <s v="NE35_RT Linux / Virtualization US"/>
        <s v="PG01_POR ProSupp Server (MTP)"/>
        <s v="SP04_SPA Basic Enterprise (CAS)"/>
        <s v="SP09_SPA ProSupp Server (MTP)"/>
        <s v="UPP1_ENG ProSupport Plus Server"/>
        <s v="BZ14_BRZ LC Storage Voice (EL)"/>
        <s v="RL05_Storage ROLA"/>
        <s v="AZ11_Storage ProSupport ANZ"/>
        <s v="EC39_EC ProSupp Storage"/>
        <s v="GB21_ProSupp Storage 247 (CWD)"/>
        <s v="GB31_UKI Storage"/>
        <s v="MY14_Storage ProSupport SA"/>
        <s v="NE05_Storage PS MD US"/>
        <s v="NE14_Compellent Copilot US"/>
        <s v="NE27_NA ProSupp Storage eSupport"/>
        <s v="UK06_EMEA ProSupport Compellent"/>
        <s v="UK07_EMEA ProSupport Powervault"/>
        <s v="KR05_KOR Compute Basic Korean"/>
        <s v="KR12_KOR Compute Upsell Korean"/>
        <s v="KR13_KOR Networking Upsell Korean"/>
        <s v="AN02_ANZ Midrange Storage VNX/e"/>
        <s v="AN03_ANZ VX Rail Storage"/>
        <s v="BZ21_POR Midrange Storage VNX/e"/>
        <s v="CM01_CCC Midrange Storage VNX/e"/>
        <s v="CT19_HCS Global Converged"/>
        <s v="CT91_EMEA PowerScale CTE"/>
        <s v="CV01_CCC VX Rail Storage"/>
        <s v="GH05_GLOBAL DPD DPADSRT"/>
        <s v="GH14_HCS Global PowerFlex"/>
        <s v="HE01_HES Global CST Chat"/>
        <s v="HE06_HES Global PowerScale Support"/>
        <s v="HE20_HES Global Hyperconverged"/>
        <s v="HE22_HES Global VMAX"/>
        <s v="HE23_HES Global SymmSW"/>
        <s v="HE24_HES Global Vplex"/>
        <s v="HE25_HES Global Mainframe"/>
        <s v="HE26_HES Global DLM"/>
        <s v="HE28_HES Global XtremIO"/>
        <s v="HE29_HES Global Connectivity"/>
        <s v="HE30_HES Global Solutions"/>
        <s v="HE32_HES Global SSG"/>
        <s v="HE36_HES Global AVAMAR"/>
        <s v="HE37_HES Global Networker"/>
        <s v="HE38_HES Global DataDomain"/>
        <s v="HE39_HES Global RecoverPoint"/>
        <s v="HE40_HES Global DPADSRT"/>
        <s v="HE41_HES Global DPSolutions"/>
        <s v="HE42_HES Global DPA"/>
        <s v="HE43_HES Global SOURCEONE"/>
        <s v="HE44_HES Global Cloudboost"/>
        <s v="HE47_HES Global PowerScale"/>
        <s v="HE48_HES Global OBJ"/>
        <s v="HE53_HES Global E2E CONNECTIVITY"/>
        <s v="HE58_German VXRail"/>
        <s v="HE59_German Midrange"/>
        <s v="HE61_French VXRail"/>
        <s v="HE62_French Midrange"/>
        <s v="HE63_UKI VXRail"/>
        <s v="HE64_UKI Midrange"/>
        <s v="HE66_Italian Midrange"/>
        <s v="HE67_Spanish VXRail"/>
        <s v="HE68_Spanish Midrange"/>
        <s v="HE70_APJ English Midrange"/>
        <s v="HE71_APJ English VXRail"/>
        <s v="HE78_NA PowerScale HE Storage Voice"/>
        <s v="HE81_EMEA English VMAX"/>
        <s v="HE85_AMER English VMAX"/>
        <s v="HE93_EMEA English Vplex"/>
        <s v="HE95_AMER English Vplex"/>
        <s v="HEA2_EMEA English Connectivity"/>
        <s v="HEA5_AMER English Connectivity"/>
        <s v="HEA9_EMEA English XtremIO"/>
        <s v="HEB0_AMER English XtremIO"/>
        <s v="HEB4_EMEA English Integrated Software"/>
        <s v="HEB5_AMER English Integrated Software"/>
        <s v="HEC5_AMER English PowerScale"/>
        <s v="HEC6_EMEA English PowerScale"/>
        <s v="HEC7_APJ English PowerScale"/>
        <s v="HED3_AMER English Networker"/>
        <s v="HED7_EMEA English Networker"/>
        <s v="HEF2_AMER English OBJ"/>
        <s v="HEF5_EMEA English OBJ"/>
        <s v="HEG4_AMER English Avamar"/>
        <s v="HEG8_EMEA English Avamar"/>
        <s v="HEH6_AMER English DataDomain"/>
        <s v="HEJ1_EMEA English DataDomain"/>
        <s v="HW03_HES Global DPSolutions WIPRO"/>
        <s v="HW06_HES Global RecoverPoint WIPRO"/>
        <s v="IM01_IND Midrange Storage VNX/e"/>
        <s v="IS03_India UDS PowerScale"/>
        <s v="IS24_NAMER UDS OBJ"/>
        <s v="IS65_India DPD AVAMAR"/>
        <s v="IS68_India HES Connectivity"/>
        <s v="IS69_India DPD DataDomain"/>
        <s v="IS74_HCS INDIA VxRail"/>
        <s v="IS75_India HES Integrated_Software"/>
        <s v="IS77_India DPD Networker"/>
        <s v="IS78_India UDS OBJ"/>
        <s v="IS85_"/>
        <s v="IS86_India HES SymmSW"/>
        <s v="IS88_INDIA HES MIDRANGE"/>
        <s v="IS90_India HES Vplex"/>
        <s v="IS91_India HES XtremIO"/>
        <s v="IS98_LATAM DPD DPA"/>
        <s v="IU02_HCS LATAM VxRail"/>
        <s v="IU06_EMEA UDS OBJ"/>
        <s v="IU33_APJ UDS OBJ"/>
        <s v="JM01_JP Midrange Storage VNX/e"/>
        <s v="JV01_JP VX Rail Storage"/>
        <s v="MR01_MMCLA Midrange Storage VNX/e Spanish"/>
        <s v="MR02_MMCLA VXRail Spanish"/>
        <s v="PowerProtect_"/>
        <s v="RL14_MMCLA Midrange Storage VNX/e"/>
        <s v="VX01_NA Midrange Storage VNX/e"/>
        <s v="VX02_NA VX Rail Storage"/>
        <s v="VX03_VXRail"/>
        <s v="VX04_Midrange Storage VNX/e"/>
        <s v="CT29_HCS Global Vmware"/>
        <s v="CT76_Global VxRail CTE"/>
        <s v="EG13_HCS Global Cloud Solutions"/>
        <s v="GH13_HCS Global VxRail"/>
        <s v="GH15_HCS Global Solutions"/>
        <s v="IS20_HCS APJ VxRail"/>
        <s v="IS47_HCS EMEA VxRail"/>
        <s v="IU29_HCS NAMER VxRail"/>
        <s v="IV03_HCS APJ VxRail English NAMER AOH"/>
        <s v="CM04_CCC HES VXRail Hyperconverged"/>
        <s v="IU13_LATAM HES Symmetrix"/>
        <s v="IU16_LATAM HES MIDRANGE"/>
        <s v="GH02_GLOBAL DPD Cloudboost"/>
        <s v="GH12_GLOBAL DPD SOURCEONE"/>
        <s v="IS19_APJ DPD DPSolutions"/>
        <s v="IS04_LATAM UDS PowerScale"/>
        <s v="IS51_LATAM UDS OBJ"/>
        <s v="IS92_LATAM DPD AVAMAR"/>
        <s v="IS96_LATAM DPD DataDomain"/>
        <s v="IU05_LATAM DPD Networker"/>
        <s v="GH22_GLOBAL HES MIDRANGE"/>
        <s v="GH24_GLOBAL HES XtremIO"/>
        <s v="IS14_APJ HES Connectivity"/>
        <s v="IS21_APJ HES Integrated_Software"/>
        <s v="IS31_APJ HES Symmetrix"/>
        <s v="IS32_APJ HES SymmSW"/>
        <s v="IS34_APJ HES MIDRANGE"/>
        <s v="IS36_APJ HES Vplex"/>
        <s v="IS41_EMEA HES Connectivity"/>
        <s v="IS48_EMEA HES Integrated_Software"/>
        <s v="IS58_EMEA HES Symmetrix"/>
        <s v="IS59_EMEA HES SymmSW"/>
        <s v="IS61_EMEA HES MIDRANGE"/>
        <s v="IS63_EMEA HES Vplex"/>
        <s v="IS64_EMEA HES XtremIO"/>
        <s v="IU14_LATAM HES SymmSW"/>
        <s v="IU23_NAMER HES Connectivity"/>
        <s v="IU23a_"/>
        <s v="IU30_NAMER HES Integrated_Software"/>
        <s v="IU40_NAMER HES Symmetrix"/>
        <s v="IU41_NAMER HES SymmSW"/>
        <s v="IU43_NAMER HES MIDRANGE"/>
        <s v="IU45_NAMER HES Vplex"/>
        <s v="IU45a_"/>
        <s v="IU46_NAMER HES XtremIO"/>
        <s v="AX01_HCS Global APEX"/>
        <s v="AP26_APJ DPD DPSolutions Chinese"/>
        <s v="IS01_APJ UDS PowerScale"/>
        <s v="CC12_Social Media CCC"/>
        <s v="AM08_Quality Lead US"/>
        <s v="AO11_APJ Biz Ops"/>
        <s v="AO14_EMEA Biz Ops"/>
        <s v="AZ13_Client ProSupport ANZ"/>
        <s v="BZ19_Proactive Systems Maintenance BR"/>
        <s v="BZ20_RM Brazil"/>
        <s v="CC03_Client ProSupport CCC BW"/>
        <s v="CC11_Client ProSupport CCC ML"/>
        <s v="CC13_Proactive Systems Maintenance CCC"/>
        <s v="CG01_"/>
        <s v="CHEQ_CHK Cons Tech CSQ BW"/>
        <s v="CST4_CST SPUS"/>
        <s v="CT12_CTE BRZ"/>
        <s v="CT17_CTE ROLA"/>
        <s v="CT32_Global Networking RTSE"/>
        <s v="CT34_Solutions SPSPE"/>
        <s v="CT35_Server SPSPE"/>
        <s v="CT38_Global Service Routing Manager"/>
        <s v="EC04_ISR Client (Netanya)"/>
        <s v="EMC1_EMEA Storage CTE"/>
        <s v="EN01_Networking Product Escalations"/>
        <s v="ER02_EMEA Support Resolution Team"/>
        <s v="ES03_EMEA SME Team"/>
        <s v="ES06_EMEA Technical Support Operations"/>
        <s v="ES07_EMEA VX Rail Storage"/>
        <s v="GB19_EMEA ProSupp SST"/>
        <s v="GB23_Proactive Systems Maintenance EMEA"/>
        <s v="HE03_HES Global CST Management"/>
        <s v="HE04_HES Global CST VIC"/>
        <s v="HE09_HES Global Remote Proactive"/>
        <s v="HE16_HES Global DSE"/>
        <s v="HE52_HES Global RCM"/>
        <s v="IN01_Workstation IND"/>
        <s v="IN19_Wyse IND"/>
        <s v="INCV_India Core Concentrix"/>
        <s v="INPX_India Premium Support"/>
        <s v="L2G4_ARS System Exchange"/>
        <s v="MY15_Proactive Systems Maintenance SA"/>
        <s v="NC04_Client ProSupport US"/>
        <s v="NE21_Server eSupport Case Director US"/>
        <s v="NE29_Proactive Systems Maintenance NA"/>
        <s v="NF05_Social Media Non-Frontline"/>
        <s v="NF11_DPD/UDS NR-FLS"/>
        <s v="NF15_EMEA Non-Frontline"/>
        <s v="NF16_EMEA NR-FLS"/>
        <s v="NF20_HCS NR-FLS"/>
        <s v="NF24_HES NR-FLS"/>
        <s v="NF29_LATAM NR-FLS"/>
        <s v="NF32_NCS Non-Frontline"/>
        <s v="NF33_NAMER NR-FLS"/>
        <s v="NF36_Service Engineering Manager"/>
        <s v="NF40_Service Engineering Technical Lead"/>
        <s v="NF45_STRATEGY Non-Frontline"/>
        <s v="NF47_SSO WFM"/>
        <s v="NF48_RM Manager"/>
        <s v="NF49_RM NR-FLS"/>
        <s v="NF50_Service Engineering WFM"/>
        <s v="NF53_Global TELCO Networking"/>
        <s v="NF54_Global TELCO - Server"/>
        <s v="PHSS_NA Premium Support"/>
        <s v="PP21_APJ English CTE"/>
        <s v="RE03_APJ Support Resolution Team"/>
        <s v="RL10_Triage Enterprise Support Panama"/>
        <s v="RL12_RM ROLA"/>
        <s v="RM02_RM NA Enterprise"/>
        <s v="RP03_RPS Non-Frontline"/>
        <s v="SMP1_SMPE English Storage SC"/>
        <s v="SMP2_SMPE English Storage MD"/>
        <s v="SMP3_SMPE English Networking"/>
        <s v="SMP4_SMPE English Server"/>
        <s v="SMP5_SMPE English Storage PS"/>
        <s v="SMP6_SMPE English LVTS"/>
        <s v="SMP7_SMPE English Nutanix"/>
        <s v="SMP8_SMPE English Microsoft"/>
        <s v="SP10_SPA Social Media (MTP)"/>
        <s v="TH04_Client Prosupport TH (CTX)"/>
        <s v="THBW_CCC Workstation BW"/>
        <s v="UNOP_NA OOP Resolver"/>
        <s v="VN02_Client Prosupport VN (CTX)"/>
        <s v="VN04_Client Pro/Core VN"/>
        <s v="WM01_Workflow Management"/>
        <s v="WM04_LATAM WFM"/>
        <s v="CT27_Global Compute Software"/>
        <s v="DE10_GER ProSupp OWR Ent (HAL)"/>
        <s v="CT11_CTE ANZ"/>
        <s v="CT14_CTE IND"/>
        <s v="ES01_EMEA Static Central"/>
        <s v="HC06_EMEA Static Revenue"/>
        <s v="PM01_Partner Management"/>
        <s v="CT69_Social Media English"/>
        <s v="CT70_Social Media EMEA"/>
        <s v="IT10_ITA Social Media (MTP)"/>
        <s v="NC14_Social Media English (AMER)"/>
        <s v="SM02_Social Media English (APJ)"/>
        <s v="AP25_APJ DPD DP Solutions"/>
        <s v="NF35_NAMER Technical Lead"/>
        <s v="NF44_SSO Quality Coach"/>
        <s v="RP02_RPS WFM"/>
        <s v="UK03_BLR Ent Basic (Alternate)"/>
        <s v="WM02_NAMER WFM"/>
        <s v="WM03_EMEA WFM"/>
        <s v="WM05_APJ WFM"/>
        <s v="GB01_UKISA Client DSP (BGL)"/>
        <s v="GC11_AST Quality Coach"/>
        <s v="GCTE_CTE Global English"/>
        <s v="HE74_Wipro AMER Midrange"/>
        <s v="CGEQ_GLOBAL Equallogic Capgemini"/>
        <s v="CGGC_GLOBAL Compellent Capgemini"/>
        <s v="CGVE_GLOBAL VNXe Capgemini"/>
        <s v="CGVX_GLOBAL VNX Capgemini"/>
        <s v="CT20_GLOBAL E2E Connectivity"/>
        <s v="CT37_APJ HES CST Japanese"/>
        <s v="GC19_Global PowerFlex"/>
        <s v="GC20_Global PowerFlex Domain Engineer"/>
        <s v="HE73_APJ HES CST Korean"/>
        <s v="LS01_Licensing Support"/>
        <s v="XE01_Global PowerEdge XE Multi-Lingual"/>
        <s v="XE02_Global PowerEdge XE DE"/>
        <s v="BAH1_LATAM AH Portuguese"/>
        <s v="BT01_LATAM Top Customers Portuguese"/>
        <s v="BT04_Global Networking English"/>
        <s v="BT06_EC Compute CEE RUA"/>
        <s v="BT07_SER Compute Iberian"/>
        <s v="BT08_SER Server French"/>
        <s v="BT09_CCC MidRange Mandarin"/>
        <s v="BT11_LATAM Midrange Portuguese"/>
        <s v="BT12_LATAM Midrange Spanish"/>
        <s v="BT13_EC Server Arabic"/>
        <s v="BT14_SER Server Italian"/>
        <s v="BX02_ENG ProSupp Dutch Server (CWD)"/>
        <s v="BZ15_LATAM Networking Portuguese"/>
        <s v="BZ24_LATAM Compute Portuguese"/>
        <s v="CZ03_CZE Enterprise (BRA)"/>
        <s v="DE09_GER Networking (HAL)"/>
        <s v="DE17_German Storage"/>
        <s v="DE18_CER Server German"/>
        <s v="EC03_EC GRE ProSupp Server (MTP)"/>
        <s v="EC14_EC POL Enterprise (HAL)"/>
        <s v="EC33_EC ProSupp Server Turkish (HAL)"/>
        <s v="FR07_FRA Networking (MTP)"/>
        <s v="FR27_France Storage"/>
        <s v="GC21_Global Compute English"/>
        <s v="GM01_Global Midrange"/>
        <s v="GP01_Global Powerstore"/>
        <s v="GS03_EMEA Solutions HCI FL"/>
        <s v="GS04_EMEA Solutions MS FL"/>
        <s v="GT06_Global Inbound Support Team"/>
        <s v="ID06_Enterprise Pro/Core ID"/>
        <s v="IN14_Storage IND"/>
        <s v="IN16_Server ProSupport IND"/>
        <s v="INT1_Networking IND"/>
        <s v="JP24_Server Pro/Core Japan"/>
        <s v="JP25_Storage Pro/Core Japan"/>
        <s v="JP26_Server ProSupport Plus Japan"/>
        <s v="JP29_Networking Pro/Core Japan"/>
        <s v="KR11_KOR Storage Upsell Korean"/>
        <s v="KR14_Korea CNS"/>
        <s v="MR03_LATAM Compute Spanish"/>
        <s v="ND02_ENG ProSupp Nordics Server (CWD)"/>
        <s v="NE31_PS One"/>
        <s v="RAH1_LATAM AH Spanish"/>
        <s v="RL16_LATAM Networking Spanish"/>
        <s v="ROEN_ROE Networking (MULTI)"/>
        <s v="RTC1_LATAM Top Customers Spanish"/>
        <s v="TH07_Enterprise Pro/Core TH"/>
        <s v="VN03_Enterprise Pro/Core VN"/>
        <s v="AP10_APJ UDS PowerScale Chinese"/>
        <s v="AP11_APJ UDS PowerScale Japanese"/>
        <s v="AP12_APJ DPD AVAMAR Chinese"/>
        <s v="AP13_APJ HES Connectivity Chinese"/>
        <s v="AP14_APJ DPD DataDomain Chinese"/>
        <s v="AP15_HCS APJ VxRail Chinese"/>
        <s v="AP16_HCS APJ VxRail Japanese"/>
        <s v="AP17_APJ HES Integrated_Software Chinese"/>
        <s v="AP18_APJ DPD Networker Chinese"/>
        <s v="AP19_APJ HES Symmetrix Chinese"/>
        <s v="AP20_APJ HES Symmetrix Japanese"/>
        <s v="AP21_APJ HES SymmSW Chinese"/>
        <s v="AP22_APJ HES MIDRANGE Chinese"/>
        <s v="AP23_APJ HES MIDRANGE Japanese"/>
        <s v="AP24_APJ HES Vplex Chinese"/>
        <s v="BL17_GLOBAL HES MIDRANGE Backline"/>
        <s v="BZ22_HCS LATAM BRZ VxRail"/>
        <s v="CSS1_APJ HES CST Chinese"/>
        <s v="CT25_Global Compute Hardware"/>
        <s v="CT26_Global ESG Midrange Backline"/>
        <s v="CT30_Global Networking"/>
        <s v="CT67_RPS Remote Proactive Services"/>
        <s v="GC17_Global VxRail"/>
        <s v="GC18_Global VxRail Domain Engineer"/>
        <s v="GC22_Global Connectivity FL"/>
        <s v="GC23_Global Symmetrix FL"/>
        <s v="GC24_Global Symmetrix SW FL"/>
        <s v="GC25_Global Vplex FL"/>
        <s v="GH01_GLOBAL DPD AVAMAR"/>
        <s v="GH03_GLOBAL DPD DataDomain"/>
        <s v="GH04_GLOBAL DPD DPA"/>
        <s v="GH06_GLOBAL DPD DPSolutions"/>
        <s v="GH07_GLOBAL UDS PowerScale"/>
        <s v="GH08_GLOBAL DPD Networker"/>
        <s v="GH09_GLOBAL UDS OBJ"/>
        <s v="GH10_GLOBAL DPD PowerProtect"/>
        <s v="GH11_GLOBAL DPD RecoverPoint"/>
        <s v="GH16_Global Connectivity Backline"/>
        <s v="GH17_Global DLM Backline"/>
        <s v="GH18_GLOBAL HES Integrated_Software"/>
        <s v="GH19_Global Mainframe Backline"/>
        <s v="GH20_Global Symmetrix Backline"/>
        <s v="GH21_Global SymmSW Backline"/>
        <s v="GH23_Global Vplex Backline"/>
        <s v="GH25_Global DPD PowerProtect Cyber"/>
        <s v="GS01_Global Solutions HCI DE"/>
        <s v="GS02_Global Solutions MS DE"/>
        <s v="GS05_Global HES Midrange FL"/>
        <s v="HE12_Global Integrated Software FL"/>
        <s v="HE72_HCS APJ VxRail Korean"/>
        <s v="HED1_LATAM Networker Portuguese"/>
        <s v="HED2_LATAM Networker Spanish"/>
        <s v="HEE4_LATAM Primary Storage Portuguese"/>
        <s v="HEE5_LATAM Primary Storage Spanish"/>
        <s v="HEG3_LATAM Avamar Spanish"/>
        <s v="HEH4_LATAM DataDomain Portuguese"/>
        <s v="HEH5_LATAM DataDomain Spanish"/>
        <s v="HEK8_APJ HES Symmetrix Korean"/>
        <s v="HEL1_LATAM PowerScale Spanish"/>
        <s v="HEL2_LATAM Avamar Portuguese"/>
        <s v="HEL3_LATAM PowerScale Portuguese"/>
        <s v="HEL4_LATAM ECS Portuguese"/>
        <s v="HEL5_LATAM ECS Spanish"/>
        <s v="IS02_EMEA UDS PowerScale"/>
        <s v="IS05_NAMER UDS PowerScale"/>
        <s v="IS11_APJ DPD AVAMAR"/>
        <s v="IS15_APJ DPD DataDomain"/>
        <s v="IS23_APJ DPD Networker"/>
        <s v="IS37_APJ HES XtremIO"/>
        <s v="IS38_EMEA DPD AVAMAR"/>
        <s v="IS42_EMEA DPD DataDomain"/>
        <s v="IS50_EMEA DPD Networker"/>
        <s v="IU20_NAMER DPD AVAMAR"/>
        <s v="IU24_NAMER DPD DataDomain"/>
        <s v="IU32_NAMER DPD Networker"/>
        <s v="NF57_Global TELCO"/>
        <s v="RL15_HCS LATAM MMCLA VxRail"/>
        <s v="CC28_APJ ESG Call Directors Chinese"/>
        <s v="CC29_CCC CNS Mandarin"/>
        <s v="CM03_CNS Manager"/>
        <s v="CST5_CST VIC"/>
        <s v="CT23_GLOBAL HES BSAFE"/>
        <s v="CT24_HCS Global DSE"/>
        <s v="CT68_RPS Proactive Systems Maintenance"/>
        <s v="GC02_E2E Manager"/>
        <s v="GC04_Licensing Manager"/>
        <s v="GC06_S&amp;AS Manager"/>
        <s v="GC12_E2E Quality Coach"/>
        <s v="GC13_GIST Quality Coach"/>
        <s v="GC14_Licensing Quality Coach"/>
        <s v="GC16_GIST Manager"/>
        <s v="GCF1_Global Compute Community Forum"/>
        <s v="HC07_German Trainees"/>
        <s v="L2G5_ARS ESC Commercial REC"/>
        <s v="NALC_NA Basic Core Concentrix"/>
        <s v="NF01_APJ Manager"/>
        <s v="NF02_APJ Non-Frontline"/>
        <s v="NF04_APJ Quality Coach"/>
        <s v="NF06_Social Media Quality Coach"/>
        <s v="NF09_DPD/UDS Manager"/>
        <s v="NF10_DPD/UDS Non-Frontline"/>
        <s v="NF12_DPD/UDS Quality Coach"/>
        <s v="NF13_DPD/UDS Technical Lead"/>
        <s v="NF14_EMEA Manager"/>
        <s v="NF17_EMEA Quality Coach"/>
        <s v="NF18_HCS Manager"/>
        <s v="NF19_HCS Non-Frontline"/>
        <s v="NF21_HCS Technical Lead"/>
        <s v="NF22_HES Manager"/>
        <s v="NF23_HES Non-Frontline"/>
        <s v="NF25_HES Quality Coach"/>
        <s v="NF26_HES Technical Lead"/>
        <s v="NF27_LATAM Manager"/>
        <s v="NF28_LATAM Non-Frontline"/>
        <s v="NF30_LATAM Quality Coach"/>
        <s v="NF31_NAMER Manager"/>
        <s v="NF34_NAMER Quality Coach"/>
        <s v="NF37_Service Engineering Non-Frontline"/>
        <s v="NF41_SSO Manager"/>
        <s v="NF42_SSO Non-Frontline"/>
        <s v="NF43_SSO NR-FLS"/>
        <s v="NF46_MOONEY ELT"/>
        <s v="NF56_HCS Quality Coach"/>
        <s v="NF58_Global HCS Content Creators"/>
        <s v="PE01_Global PowerEdge DSE "/>
        <s v="PF01_PS One Field Consultant"/>
        <s v="QCE1_EMEA Quality Coach Compute"/>
        <s v="RP01_RPS Manager"/>
        <s v="VCF1_VCF Delivery Engineer"/>
        <s v="VCF2_VCF Upgrade Coordinator"/>
        <s v="WP01_GLOBAL HES Wipro"/>
        <s v="CC04_CCC Enterprise CMG Mandarin Voice BW"/>
        <s v="EC06_EC Server Basic Hebrew (CGS) NET"/>
        <s v="EC07_EC ProSupp Server Hebrew (CGS)"/>
        <s v="ND03_Nordics Server Core (TUR)"/>
        <s v="BW01_CCC Compute ProSupport Mandarin Voice BW"/>
        <s v="BW02_CCC CNS Cantonese BW"/>
        <s v="BW03_CCC CNS Mandarin BW"/>
        <s v="CCB1_CCC Compute Basic Mandarin Voice BW"/>
        <s v="CCB2_CCC Compute Mandarin Email BW"/>
        <s v="CM05_CCC Midrange Mandarin BW"/>
        <s v="CX01_NA Server Basic (Concentrix)"/>
        <s v="CX02_Server Core IND CNX"/>
        <s v="CX03_Server Core ANZ CNX"/>
        <s v="CX04_Server Core SA CNX"/>
        <s v="CX05_NA Server Basic Chat (CNX)"/>
        <s v="UK05_UKISA Basic Enterprise (Concentrix)"/>
      </sharedItems>
    </cacheField>
    <cacheField name="Capacity Planner" numFmtId="0">
      <sharedItems/>
    </cacheField>
    <cacheField name="Business Owner" numFmtId="0">
      <sharedItems containsBlank="1"/>
    </cacheField>
    <cacheField name="Coverage HC" numFmtId="0">
      <sharedItems containsString="0" containsBlank="1" containsNumber="1" containsInteger="1" minValue="0" maxValue="24"/>
    </cacheField>
    <cacheField name="Manual Adj%" numFmtId="9">
      <sharedItems containsNonDate="0" containsString="0" containsBlank="1"/>
    </cacheField>
    <cacheField name="HES/ESG" numFmtId="0">
      <sharedItems/>
    </cacheField>
    <cacheField name="H&amp;T Leadtime" numFmtId="0">
      <sharedItems containsString="0" containsBlank="1" containsNumber="1" containsInteger="1" minValue="13" maxValue="13"/>
    </cacheField>
    <cacheField name="Status" numFmtId="1">
      <sharedItems count="2">
        <s v="Inactive"/>
        <s v="Active"/>
      </sharedItems>
    </cacheField>
    <cacheField name="HC_Week 3" numFmtId="1">
      <sharedItems containsSemiMixedTypes="0" containsString="0" containsNumber="1" minValue="0" maxValue="666.66666666666663"/>
    </cacheField>
    <cacheField name="Scope to Merge" numFmtId="0">
      <sharedItems containsBlank="1"/>
    </cacheField>
    <cacheField name="Coverage Time" numFmtId="0">
      <sharedItems containsBlank="1"/>
    </cacheField>
    <cacheField name="Coverage Days" numFmtId="0">
      <sharedItems containsBlank="1" containsMixedTypes="1" containsNumber="1" containsInteger="1" minValue="0" maxValue="0"/>
    </cacheField>
    <cacheField name="Comment" numFmtId="0">
      <sharedItems containsBlank="1"/>
    </cacheField>
    <cacheField name="Language" numFmtId="0">
      <sharedItems containsBlank="1"/>
    </cacheField>
    <cacheField name="Schedul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">
  <r>
    <s v="AM02"/>
    <m/>
    <x v="0"/>
    <m/>
    <x v="0"/>
    <x v="0"/>
    <m/>
    <x v="0"/>
  </r>
  <r>
    <s v="AM04"/>
    <m/>
    <x v="0"/>
    <m/>
    <x v="0"/>
    <x v="0"/>
    <m/>
    <x v="0"/>
  </r>
  <r>
    <s v="AM05"/>
    <m/>
    <x v="0"/>
    <m/>
    <x v="0"/>
    <x v="0"/>
    <m/>
    <x v="0"/>
  </r>
  <r>
    <s v="AM08"/>
    <m/>
    <x v="0"/>
    <m/>
    <x v="0"/>
    <x v="0"/>
    <m/>
    <x v="0"/>
  </r>
  <r>
    <s v="AN02"/>
    <s v="ANZ Midrange Storage VNX/e"/>
    <x v="0"/>
    <m/>
    <x v="0"/>
    <x v="0"/>
    <m/>
    <x v="0"/>
  </r>
  <r>
    <s v="AN03"/>
    <s v="ANZ VX Rail Storage"/>
    <x v="0"/>
    <m/>
    <x v="0"/>
    <x v="0"/>
    <m/>
    <x v="0"/>
  </r>
  <r>
    <s v="AO06"/>
    <s v="APJ Upsell-Operations Multi"/>
    <x v="1"/>
    <m/>
    <x v="0"/>
    <x v="0"/>
    <m/>
    <x v="0"/>
  </r>
  <r>
    <s v="AO11"/>
    <s v="APJ Biz Ops"/>
    <x v="0"/>
    <m/>
    <x v="0"/>
    <x v="0"/>
    <m/>
    <x v="0"/>
  </r>
  <r>
    <s v="AO14"/>
    <s v="EMEA Biz Ops"/>
    <x v="0"/>
    <m/>
    <x v="0"/>
    <x v="0"/>
    <m/>
    <x v="0"/>
  </r>
  <r>
    <s v="AP10"/>
    <s v="APJ UDS Isilon Chinese"/>
    <x v="1"/>
    <s v="DPD"/>
    <x v="1"/>
    <x v="1"/>
    <s v="0"/>
    <x v="1"/>
  </r>
  <r>
    <s v="AP11"/>
    <s v="APJ UDS Isilon Japanese"/>
    <x v="1"/>
    <s v="DPD"/>
    <x v="1"/>
    <x v="1"/>
    <s v="0"/>
    <x v="1"/>
  </r>
  <r>
    <s v="AP12"/>
    <s v="APJ DPD AVAMAR Chinese"/>
    <x v="1"/>
    <s v="DPD"/>
    <x v="2"/>
    <x v="1"/>
    <s v="0"/>
    <x v="1"/>
  </r>
  <r>
    <s v="AP13"/>
    <s v="APJ HES Connectivity Chinese"/>
    <x v="1"/>
    <s v="HES"/>
    <x v="3"/>
    <x v="1"/>
    <s v="0"/>
    <x v="1"/>
  </r>
  <r>
    <s v="AP14"/>
    <s v="APJ DPD DataDomain Chinese"/>
    <x v="1"/>
    <s v="DPD"/>
    <x v="4"/>
    <x v="1"/>
    <s v="0"/>
    <x v="1"/>
  </r>
  <r>
    <s v="AP15"/>
    <s v="APJ GNCS Hyperconverged Chinese"/>
    <x v="1"/>
    <s v="GNCS"/>
    <x v="5"/>
    <x v="1"/>
    <s v="0"/>
    <x v="1"/>
  </r>
  <r>
    <s v="AP16"/>
    <s v="APJ GNCS Hyperconverged Japanese"/>
    <x v="1"/>
    <s v="GNCS"/>
    <x v="5"/>
    <x v="1"/>
    <s v="0"/>
    <x v="1"/>
  </r>
  <r>
    <s v="AP17"/>
    <s v="APJ HES Integrated_Software Chinese"/>
    <x v="1"/>
    <s v="HES"/>
    <x v="6"/>
    <x v="1"/>
    <s v="0"/>
    <x v="1"/>
  </r>
  <r>
    <s v="AP18"/>
    <s v="APJ DPD Networker Chinese"/>
    <x v="1"/>
    <s v="DPD"/>
    <x v="7"/>
    <x v="1"/>
    <s v="0"/>
    <x v="1"/>
  </r>
  <r>
    <s v="AP19"/>
    <s v="APJ HES Symmetrix Chinese"/>
    <x v="1"/>
    <s v="HES"/>
    <x v="8"/>
    <x v="1"/>
    <s v="0"/>
    <x v="1"/>
  </r>
  <r>
    <s v="AP20"/>
    <s v="APJ HES Symmetrix Japanese"/>
    <x v="1"/>
    <s v="HES"/>
    <x v="8"/>
    <x v="1"/>
    <s v="0"/>
    <x v="1"/>
  </r>
  <r>
    <s v="AP21"/>
    <s v="APJ HES SymmSW Chinese"/>
    <x v="1"/>
    <s v="HES"/>
    <x v="9"/>
    <x v="1"/>
    <s v="0"/>
    <x v="1"/>
  </r>
  <r>
    <s v="AP22"/>
    <s v="APJ HES MIDRANGE Chinese"/>
    <x v="1"/>
    <s v="Midrange"/>
    <x v="10"/>
    <x v="1"/>
    <s v="0"/>
    <x v="1"/>
  </r>
  <r>
    <s v="AP23"/>
    <s v="APJ HES MIDRANGE Japanese"/>
    <x v="1"/>
    <s v="Midrange"/>
    <x v="10"/>
    <x v="1"/>
    <s v="0"/>
    <x v="1"/>
  </r>
  <r>
    <s v="AP24"/>
    <s v="APJ HES Vplex Chinese"/>
    <x v="1"/>
    <s v="HES"/>
    <x v="11"/>
    <x v="1"/>
    <s v="0"/>
    <x v="1"/>
  </r>
  <r>
    <s v="AP25"/>
    <s v="APJ DPD DP Solutions"/>
    <x v="1"/>
    <s v="DPD"/>
    <x v="12"/>
    <x v="1"/>
    <s v="0"/>
    <x v="1"/>
  </r>
  <r>
    <s v="AP26"/>
    <s v="APJ DPD DP Solutions Chinese"/>
    <x v="1"/>
    <s v="DPD"/>
    <x v="12"/>
    <x v="1"/>
    <s v="0"/>
    <x v="1"/>
  </r>
  <r>
    <s v="AX01"/>
    <s v="HCS Global APEX"/>
    <x v="2"/>
    <s v="GNCS"/>
    <x v="13"/>
    <x v="0"/>
    <m/>
    <x v="0"/>
  </r>
  <r>
    <s v="AZ09"/>
    <s v="Networking ProSupport ANZ"/>
    <x v="0"/>
    <m/>
    <x v="0"/>
    <x v="0"/>
    <m/>
    <x v="0"/>
  </r>
  <r>
    <s v="AZ10"/>
    <s v="Server ProSupport ANZ"/>
    <x v="0"/>
    <m/>
    <x v="0"/>
    <x v="0"/>
    <m/>
    <x v="0"/>
  </r>
  <r>
    <s v="AZ11"/>
    <s v="Storage ProSupport ANZ"/>
    <x v="0"/>
    <m/>
    <x v="0"/>
    <x v="0"/>
    <m/>
    <x v="0"/>
  </r>
  <r>
    <s v="AZ13"/>
    <s v="Client ProSupport ANZ"/>
    <x v="1"/>
    <m/>
    <x v="0"/>
    <x v="0"/>
    <m/>
    <x v="0"/>
  </r>
  <r>
    <s v="AZ16"/>
    <m/>
    <x v="0"/>
    <m/>
    <x v="0"/>
    <x v="0"/>
    <m/>
    <x v="0"/>
  </r>
  <r>
    <s v="BAH1"/>
    <s v="Brazil Enterprise AH"/>
    <x v="0"/>
    <m/>
    <x v="0"/>
    <x v="0"/>
    <m/>
    <x v="0"/>
  </r>
  <r>
    <s v="BPS1"/>
    <s v="Brazil Powerstore"/>
    <x v="3"/>
    <m/>
    <x v="0"/>
    <x v="0"/>
    <m/>
    <x v="0"/>
  </r>
  <r>
    <s v="BR02"/>
    <s v="Brazil Senior and Master Engineer"/>
    <x v="0"/>
    <m/>
    <x v="0"/>
    <x v="0"/>
    <m/>
    <x v="0"/>
  </r>
  <r>
    <s v="BT01"/>
    <s v="BRZ Enterprise Top Customers"/>
    <x v="0"/>
    <m/>
    <x v="0"/>
    <x v="0"/>
    <m/>
    <x v="0"/>
  </r>
  <r>
    <s v="BX02"/>
    <s v="ENG ProSupp Dutch Server (CWD)"/>
    <x v="0"/>
    <m/>
    <x v="0"/>
    <x v="0"/>
    <m/>
    <x v="0"/>
  </r>
  <r>
    <s v="BZ10"/>
    <s v="BRZ HC Server Voice (EL)"/>
    <x v="0"/>
    <m/>
    <x v="0"/>
    <x v="0"/>
    <m/>
    <x v="0"/>
  </r>
  <r>
    <s v="BZ11"/>
    <s v="BRZ HC Storage Voice (EL)"/>
    <x v="0"/>
    <m/>
    <x v="0"/>
    <x v="0"/>
    <m/>
    <x v="0"/>
  </r>
  <r>
    <s v="BZ13"/>
    <s v="BRZ LC Server Voice (EL)"/>
    <x v="0"/>
    <m/>
    <x v="0"/>
    <x v="0"/>
    <m/>
    <x v="0"/>
  </r>
  <r>
    <s v="BZ14"/>
    <s v="BRZ LC Storage Voice (EL)"/>
    <x v="0"/>
    <m/>
    <x v="0"/>
    <x v="0"/>
    <m/>
    <x v="0"/>
  </r>
  <r>
    <s v="BZ15"/>
    <s v="Networking ProSupport BRZ"/>
    <x v="0"/>
    <m/>
    <x v="0"/>
    <x v="0"/>
    <m/>
    <x v="0"/>
  </r>
  <r>
    <s v="BZ19"/>
    <s v="Proactive Systems Maintenance BR"/>
    <x v="0"/>
    <m/>
    <x v="0"/>
    <x v="0"/>
    <m/>
    <x v="0"/>
  </r>
  <r>
    <s v="BZ20"/>
    <s v="RM Brazil"/>
    <x v="0"/>
    <m/>
    <x v="0"/>
    <x v="0"/>
    <m/>
    <x v="0"/>
  </r>
  <r>
    <s v="BZ21"/>
    <s v="POR Midrange Storage VNX/e"/>
    <x v="0"/>
    <m/>
    <x v="0"/>
    <x v="1"/>
    <s v="0"/>
    <x v="2"/>
  </r>
  <r>
    <s v="BZ22"/>
    <s v="POR VXRail"/>
    <x v="0"/>
    <m/>
    <x v="0"/>
    <x v="1"/>
    <s v="0"/>
    <x v="2"/>
  </r>
  <r>
    <s v="CC04"/>
    <s v="CCC Enterprise CMG BW"/>
    <x v="0"/>
    <m/>
    <x v="0"/>
    <x v="0"/>
    <m/>
    <x v="0"/>
  </r>
  <r>
    <s v="CC05"/>
    <s v="Networking CCC"/>
    <x v="0"/>
    <m/>
    <x v="0"/>
    <x v="0"/>
    <m/>
    <x v="0"/>
  </r>
  <r>
    <s v="CC07"/>
    <s v="Enterprise Core CCC"/>
    <x v="0"/>
    <m/>
    <x v="0"/>
    <x v="0"/>
    <m/>
    <x v="0"/>
  </r>
  <r>
    <s v="CC10"/>
    <s v="Storage ProSupport CCC"/>
    <x v="0"/>
    <m/>
    <x v="0"/>
    <x v="0"/>
    <m/>
    <x v="0"/>
  </r>
  <r>
    <s v="CC13"/>
    <s v="Proactive Systems Maintenance CCC"/>
    <x v="0"/>
    <m/>
    <x v="0"/>
    <x v="0"/>
    <m/>
    <x v="0"/>
  </r>
  <r>
    <s v="CC14"/>
    <s v="Enterprise HK MultiChannel"/>
    <x v="0"/>
    <m/>
    <x v="0"/>
    <x v="0"/>
    <m/>
    <x v="0"/>
  </r>
  <r>
    <s v="CC27"/>
    <s v="Server Combined CCC"/>
    <x v="0"/>
    <m/>
    <x v="0"/>
    <x v="0"/>
    <m/>
    <x v="0"/>
  </r>
  <r>
    <s v="CC28"/>
    <s v="APJ ESG Call Directors Chinese"/>
    <x v="1"/>
    <m/>
    <x v="0"/>
    <x v="0"/>
    <m/>
    <x v="0"/>
  </r>
  <r>
    <s v="CE01"/>
    <s v="Enterprise Echannel CCC"/>
    <x v="0"/>
    <m/>
    <x v="0"/>
    <x v="0"/>
    <m/>
    <x v="0"/>
  </r>
  <r>
    <s v="CE02"/>
    <s v="Storage Echannel CCC"/>
    <x v="1"/>
    <m/>
    <x v="0"/>
    <x v="0"/>
    <m/>
    <x v="0"/>
  </r>
  <r>
    <s v="CE03"/>
    <s v="Server/Networking Echannel CCC"/>
    <x v="1"/>
    <m/>
    <x v="0"/>
    <x v="0"/>
    <m/>
    <x v="0"/>
  </r>
  <r>
    <s v="CG01"/>
    <s v="Chmura Group"/>
    <x v="0"/>
    <m/>
    <x v="0"/>
    <x v="0"/>
    <m/>
    <x v="0"/>
  </r>
  <r>
    <s v="CM01"/>
    <s v="CCC Midrange Storage VNX/e"/>
    <x v="0"/>
    <m/>
    <x v="0"/>
    <x v="1"/>
    <m/>
    <x v="0"/>
  </r>
  <r>
    <s v="CST4"/>
    <s v="CST SPUS"/>
    <x v="4"/>
    <m/>
    <x v="0"/>
    <x v="0"/>
    <m/>
    <x v="0"/>
  </r>
  <r>
    <s v="CST5"/>
    <s v="CST VIC"/>
    <x v="0"/>
    <m/>
    <x v="0"/>
    <x v="0"/>
    <m/>
    <x v="0"/>
  </r>
  <r>
    <s v="CT11"/>
    <s v="CTE ANZ"/>
    <x v="1"/>
    <m/>
    <x v="0"/>
    <x v="0"/>
    <m/>
    <x v="0"/>
  </r>
  <r>
    <s v="CT12"/>
    <s v="CTE BRZ"/>
    <x v="3"/>
    <m/>
    <x v="0"/>
    <x v="0"/>
    <m/>
    <x v="0"/>
  </r>
  <r>
    <s v="CT13"/>
    <s v="CTE CCCC"/>
    <x v="0"/>
    <m/>
    <x v="0"/>
    <x v="0"/>
    <m/>
    <x v="0"/>
  </r>
  <r>
    <s v="CT14"/>
    <s v="CTE IND"/>
    <x v="1"/>
    <m/>
    <x v="0"/>
    <x v="0"/>
    <m/>
    <x v="0"/>
  </r>
  <r>
    <s v="CT15"/>
    <s v="CTE JPN"/>
    <x v="0"/>
    <m/>
    <x v="0"/>
    <x v="0"/>
    <m/>
    <x v="0"/>
  </r>
  <r>
    <s v="CT16"/>
    <s v="CTE KOR"/>
    <x v="0"/>
    <m/>
    <x v="0"/>
    <x v="0"/>
    <m/>
    <x v="0"/>
  </r>
  <r>
    <s v="CT17"/>
    <s v="CTE ROLA"/>
    <x v="0"/>
    <m/>
    <x v="0"/>
    <x v="0"/>
    <m/>
    <x v="0"/>
  </r>
  <r>
    <s v="CT18"/>
    <s v="CTE SA"/>
    <x v="1"/>
    <m/>
    <x v="0"/>
    <x v="0"/>
    <m/>
    <x v="0"/>
  </r>
  <r>
    <s v="CT19"/>
    <s v="GLOBAL CONVERGED"/>
    <x v="0"/>
    <m/>
    <x v="0"/>
    <x v="0"/>
    <m/>
    <x v="0"/>
  </r>
  <r>
    <s v="CT20"/>
    <s v="GLOBAL E2E Connectivity"/>
    <x v="0"/>
    <m/>
    <x v="0"/>
    <x v="0"/>
    <m/>
    <x v="0"/>
  </r>
  <r>
    <s v="CT23"/>
    <s v="GLOBAL HES BSAFE"/>
    <x v="5"/>
    <m/>
    <x v="0"/>
    <x v="0"/>
    <m/>
    <x v="0"/>
  </r>
  <r>
    <s v="CT24"/>
    <s v="GLOBAL HES DSE"/>
    <x v="0"/>
    <m/>
    <x v="0"/>
    <x v="0"/>
    <m/>
    <x v="0"/>
  </r>
  <r>
    <s v="CT25"/>
    <s v="Global Compute Hardware"/>
    <x v="0"/>
    <m/>
    <x v="0"/>
    <x v="0"/>
    <m/>
    <x v="0"/>
  </r>
  <r>
    <s v="CT26"/>
    <s v="Global ESG Midrange Storage"/>
    <x v="5"/>
    <s v="HES"/>
    <x v="10"/>
    <x v="1"/>
    <s v="Y"/>
    <x v="3"/>
  </r>
  <r>
    <s v="CT27"/>
    <s v="Global Compute Software"/>
    <x v="0"/>
    <m/>
    <x v="0"/>
    <x v="0"/>
    <m/>
    <x v="0"/>
  </r>
  <r>
    <s v="CT29"/>
    <s v="Global Vmware"/>
    <x v="0"/>
    <m/>
    <x v="0"/>
    <x v="0"/>
    <m/>
    <x v="0"/>
  </r>
  <r>
    <s v="CT30"/>
    <s v="Global Networking"/>
    <x v="0"/>
    <m/>
    <x v="0"/>
    <x v="0"/>
    <m/>
    <x v="0"/>
  </r>
  <r>
    <s v="CT32"/>
    <s v="Global Networking RTSE"/>
    <x v="0"/>
    <m/>
    <x v="0"/>
    <x v="0"/>
    <m/>
    <x v="0"/>
  </r>
  <r>
    <s v="CT34"/>
    <s v="Solutions SPSPE"/>
    <x v="0"/>
    <m/>
    <x v="0"/>
    <x v="0"/>
    <m/>
    <x v="0"/>
  </r>
  <r>
    <s v="CT35"/>
    <s v="Server SPSPE"/>
    <x v="0"/>
    <m/>
    <x v="0"/>
    <x v="0"/>
    <m/>
    <x v="0"/>
  </r>
  <r>
    <s v="CT37"/>
    <s v="APJ HES Call Directors"/>
    <x v="0"/>
    <m/>
    <x v="0"/>
    <x v="0"/>
    <m/>
    <x v="0"/>
  </r>
  <r>
    <s v="CT38"/>
    <s v="Global Service Routing Manager"/>
    <x v="0"/>
    <m/>
    <x v="0"/>
    <x v="0"/>
    <m/>
    <x v="0"/>
  </r>
  <r>
    <s v="CT67"/>
    <s v="Remote Proactive Services"/>
    <x v="0"/>
    <m/>
    <x v="0"/>
    <x v="0"/>
    <m/>
    <x v="0"/>
  </r>
  <r>
    <s v="CT68"/>
    <s v="Proactive Systems Maintenance"/>
    <x v="0"/>
    <m/>
    <x v="0"/>
    <x v="0"/>
    <m/>
    <x v="0"/>
  </r>
  <r>
    <s v="CT76"/>
    <s v="EMEA VxRail CTE"/>
    <x v="2"/>
    <s v="GNCS"/>
    <x v="14"/>
    <x v="0"/>
    <m/>
    <x v="0"/>
  </r>
  <r>
    <s v="CT91"/>
    <s v="EMEA ISILON CTE"/>
    <x v="6"/>
    <s v="UDS"/>
    <x v="1"/>
    <x v="1"/>
    <s v="0"/>
    <x v="4"/>
  </r>
  <r>
    <s v="CTE2"/>
    <s v="NA CTE Server"/>
    <x v="0"/>
    <m/>
    <x v="0"/>
    <x v="0"/>
    <m/>
    <x v="0"/>
  </r>
  <r>
    <s v="CTE3"/>
    <s v="EMEA SERVER CTE"/>
    <x v="1"/>
    <m/>
    <x v="0"/>
    <x v="0"/>
    <m/>
    <x v="0"/>
  </r>
  <r>
    <s v="CTE6"/>
    <s v="NA CTE Storage"/>
    <x v="5"/>
    <m/>
    <x v="0"/>
    <x v="0"/>
    <m/>
    <x v="0"/>
  </r>
  <r>
    <s v="CV01"/>
    <s v="CCC VX Rail Storage"/>
    <x v="0"/>
    <m/>
    <x v="0"/>
    <x v="1"/>
    <m/>
    <x v="0"/>
  </r>
  <r>
    <s v="CZ03"/>
    <s v="GER_CZE Enterprise (BRA)"/>
    <x v="0"/>
    <m/>
    <x v="0"/>
    <x v="0"/>
    <m/>
    <x v="0"/>
  </r>
  <r>
    <s v="DE08"/>
    <s v="GER Modular (HAL)"/>
    <x v="0"/>
    <m/>
    <x v="0"/>
    <x v="0"/>
    <s v="0"/>
    <x v="4"/>
  </r>
  <r>
    <s v="DE09"/>
    <s v="GER Networking (HAL)"/>
    <x v="0"/>
    <m/>
    <x v="0"/>
    <x v="0"/>
    <m/>
    <x v="0"/>
  </r>
  <r>
    <s v="DE12"/>
    <s v="GER Solutions (HAL)"/>
    <x v="0"/>
    <m/>
    <x v="0"/>
    <x v="0"/>
    <m/>
    <x v="0"/>
  </r>
  <r>
    <s v="DE13"/>
    <s v="GER ProSupp Enterprise (HAL)"/>
    <x v="0"/>
    <m/>
    <x v="0"/>
    <x v="0"/>
    <m/>
    <x v="0"/>
  </r>
  <r>
    <s v="DE17"/>
    <s v="German Storage"/>
    <x v="5"/>
    <m/>
    <x v="0"/>
    <x v="0"/>
    <m/>
    <x v="0"/>
  </r>
  <r>
    <s v="DP01"/>
    <s v="DSP OEM"/>
    <x v="1"/>
    <m/>
    <x v="0"/>
    <x v="0"/>
    <m/>
    <x v="0"/>
  </r>
  <r>
    <s v="EC03"/>
    <s v="EC GRE ProSupp Server (MTP)"/>
    <x v="0"/>
    <m/>
    <x v="0"/>
    <x v="0"/>
    <m/>
    <x v="0"/>
  </r>
  <r>
    <s v="EC04"/>
    <s v="ISR Client (Netanya)"/>
    <x v="0"/>
    <m/>
    <x v="0"/>
    <x v="0"/>
    <m/>
    <x v="0"/>
  </r>
  <r>
    <s v="EC06"/>
    <s v="EC Server Basic Hebrew (CGS) NET"/>
    <x v="0"/>
    <m/>
    <x v="0"/>
    <x v="0"/>
    <m/>
    <x v="0"/>
  </r>
  <r>
    <s v="EC14"/>
    <s v="EC POL Enterprise (HAL)"/>
    <x v="0"/>
    <m/>
    <x v="0"/>
    <x v="0"/>
    <m/>
    <x v="0"/>
  </r>
  <r>
    <s v="EC21"/>
    <s v="EC RUS Enterprise (HAL)"/>
    <x v="0"/>
    <m/>
    <x v="0"/>
    <x v="0"/>
    <m/>
    <x v="0"/>
  </r>
  <r>
    <s v="EC30"/>
    <s v="EC Basic Enterprise (CAS)"/>
    <x v="0"/>
    <m/>
    <x v="0"/>
    <x v="0"/>
    <m/>
    <x v="0"/>
  </r>
  <r>
    <s v="EC32"/>
    <s v="EC ProSupp Server Arabic (CAS)"/>
    <x v="0"/>
    <m/>
    <x v="0"/>
    <x v="0"/>
    <m/>
    <x v="0"/>
  </r>
  <r>
    <s v="EC34"/>
    <s v="EC ProSupp Server CEE (HAL)"/>
    <x v="0"/>
    <m/>
    <x v="0"/>
    <x v="0"/>
    <m/>
    <x v="0"/>
  </r>
  <r>
    <s v="EC39"/>
    <s v="EC ProSupp Storage"/>
    <x v="0"/>
    <m/>
    <x v="0"/>
    <x v="0"/>
    <m/>
    <x v="0"/>
  </r>
  <r>
    <s v="EG13"/>
    <s v="Global GNCS Cloud Solutions"/>
    <x v="2"/>
    <s v="GNCS"/>
    <x v="14"/>
    <x v="1"/>
    <s v="GS"/>
    <x v="3"/>
  </r>
  <r>
    <s v="EMC1"/>
    <s v="EMEA Storage CTE"/>
    <x v="0"/>
    <m/>
    <x v="0"/>
    <x v="0"/>
    <m/>
    <x v="0"/>
  </r>
  <r>
    <s v="EN01"/>
    <s v="Networking Product Escalations"/>
    <x v="0"/>
    <m/>
    <x v="0"/>
    <x v="0"/>
    <m/>
    <x v="0"/>
  </r>
  <r>
    <s v="ER02"/>
    <s v="EMEA Support Resolution Team"/>
    <x v="0"/>
    <m/>
    <x v="0"/>
    <x v="0"/>
    <m/>
    <x v="0"/>
  </r>
  <r>
    <s v="ES01"/>
    <s v="EMEA Static Central"/>
    <x v="0"/>
    <m/>
    <x v="0"/>
    <x v="0"/>
    <m/>
    <x v="0"/>
  </r>
  <r>
    <s v="ES03"/>
    <s v="EMEA SME Team"/>
    <x v="0"/>
    <m/>
    <x v="0"/>
    <x v="0"/>
    <m/>
    <x v="0"/>
  </r>
  <r>
    <s v="ES06"/>
    <s v="EMEA Technical Support Operations"/>
    <x v="0"/>
    <m/>
    <x v="0"/>
    <x v="0"/>
    <m/>
    <x v="0"/>
  </r>
  <r>
    <s v="ES07"/>
    <s v="EMEA VX Rail Storage"/>
    <x v="0"/>
    <m/>
    <x v="0"/>
    <x v="0"/>
    <m/>
    <x v="0"/>
  </r>
  <r>
    <s v="FD01"/>
    <s v="Federal Support NA"/>
    <x v="0"/>
    <m/>
    <x v="0"/>
    <x v="0"/>
    <m/>
    <x v="0"/>
  </r>
  <r>
    <s v="FED4"/>
    <s v="Federal Server US"/>
    <x v="0"/>
    <m/>
    <x v="0"/>
    <x v="0"/>
    <m/>
    <x v="0"/>
  </r>
  <r>
    <s v="FED6"/>
    <s v="US Federal Support Storage"/>
    <x v="0"/>
    <m/>
    <x v="0"/>
    <x v="0"/>
    <m/>
    <x v="0"/>
  </r>
  <r>
    <s v="FR06"/>
    <s v="FRA Modular (MTP)"/>
    <x v="0"/>
    <m/>
    <x v="0"/>
    <x v="0"/>
    <m/>
    <x v="0"/>
  </r>
  <r>
    <s v="FR07"/>
    <s v="FRA Networking (MTP)"/>
    <x v="0"/>
    <m/>
    <x v="0"/>
    <x v="0"/>
    <m/>
    <x v="0"/>
  </r>
  <r>
    <s v="FR08"/>
    <s v="FRA Solutions (MTP)"/>
    <x v="0"/>
    <m/>
    <x v="0"/>
    <x v="0"/>
    <m/>
    <x v="0"/>
  </r>
  <r>
    <s v="FR09"/>
    <s v="FRA ProSupp Server LowE (CAS)"/>
    <x v="0"/>
    <m/>
    <x v="0"/>
    <x v="0"/>
    <m/>
    <x v="0"/>
  </r>
  <r>
    <s v="FR11"/>
    <s v="FRA ProSupport Plus Server (MTP)"/>
    <x v="0"/>
    <m/>
    <x v="0"/>
    <x v="0"/>
    <m/>
    <x v="0"/>
  </r>
  <r>
    <s v="FR12"/>
    <s v="FRA ProSupp Server Alternate"/>
    <x v="0"/>
    <m/>
    <x v="0"/>
    <x v="0"/>
    <m/>
    <x v="0"/>
  </r>
  <r>
    <s v="FR13"/>
    <s v="ProSupp EQL (MTP)"/>
    <x v="0"/>
    <m/>
    <x v="0"/>
    <x v="0"/>
    <s v="0"/>
    <x v="4"/>
  </r>
  <r>
    <s v="FR23"/>
    <s v="FRA ProSupp Storage (MTP)"/>
    <x v="0"/>
    <m/>
    <x v="0"/>
    <x v="0"/>
    <m/>
    <x v="0"/>
  </r>
  <r>
    <s v="FR27"/>
    <s v="France Storage"/>
    <x v="5"/>
    <m/>
    <x v="0"/>
    <x v="0"/>
    <m/>
    <x v="0"/>
  </r>
  <r>
    <s v="GB08"/>
    <s v="UKISA Basic Enterprise (BGL)"/>
    <x v="0"/>
    <m/>
    <x v="0"/>
    <x v="0"/>
    <m/>
    <x v="0"/>
  </r>
  <r>
    <s v="GB09"/>
    <s v="ProSupp Storage Co Pilot (CWD)"/>
    <x v="0"/>
    <m/>
    <x v="0"/>
    <x v="0"/>
    <m/>
    <x v="0"/>
  </r>
  <r>
    <s v="GB10"/>
    <s v="ProSupp EQL (CWD)"/>
    <x v="0"/>
    <m/>
    <x v="0"/>
    <x v="0"/>
    <s v="0"/>
    <x v="4"/>
  </r>
  <r>
    <s v="GB11"/>
    <s v="ENG Modular (CWD)"/>
    <x v="0"/>
    <m/>
    <x v="0"/>
    <x v="0"/>
    <m/>
    <x v="0"/>
  </r>
  <r>
    <s v="GB13"/>
    <s v="UKI Networking (CWD)"/>
    <x v="0"/>
    <m/>
    <x v="0"/>
    <x v="0"/>
    <m/>
    <x v="0"/>
  </r>
  <r>
    <s v="GB14"/>
    <s v="ENG Solutions (CWD)"/>
    <x v="0"/>
    <m/>
    <x v="0"/>
    <x v="0"/>
    <m/>
    <x v="0"/>
  </r>
  <r>
    <s v="GB16"/>
    <s v="ENG ProSupp Server 247 (CWD)"/>
    <x v="0"/>
    <m/>
    <x v="0"/>
    <x v="0"/>
    <m/>
    <x v="0"/>
  </r>
  <r>
    <s v="GB18"/>
    <s v="ENG ProSupp Server"/>
    <x v="0"/>
    <m/>
    <x v="0"/>
    <x v="0"/>
    <m/>
    <x v="0"/>
  </r>
  <r>
    <s v="GB19"/>
    <s v="EMEA ProSupp SST"/>
    <x v="0"/>
    <m/>
    <x v="0"/>
    <x v="0"/>
    <m/>
    <x v="0"/>
  </r>
  <r>
    <s v="GB21"/>
    <s v="ProSupp Storage 247 (CWD)"/>
    <x v="0"/>
    <m/>
    <x v="0"/>
    <x v="0"/>
    <m/>
    <x v="0"/>
  </r>
  <r>
    <s v="GB23"/>
    <s v="Proactive Systems Maintenance EMEA"/>
    <x v="0"/>
    <m/>
    <x v="0"/>
    <x v="0"/>
    <m/>
    <x v="0"/>
  </r>
  <r>
    <s v="GB29"/>
    <s v="EMEA ProSupp Fluid"/>
    <x v="0"/>
    <m/>
    <x v="0"/>
    <x v="0"/>
    <s v="0"/>
    <x v="4"/>
  </r>
  <r>
    <s v="GB31"/>
    <s v="UKI Storage"/>
    <x v="5"/>
    <m/>
    <x v="0"/>
    <x v="0"/>
    <m/>
    <x v="0"/>
  </r>
  <r>
    <s v="GG01"/>
    <s v="GER ProSupp Storage Co Pilot"/>
    <x v="0"/>
    <m/>
    <x v="0"/>
    <x v="0"/>
    <m/>
    <x v="0"/>
  </r>
  <r>
    <s v="GH01"/>
    <s v="GLOBAL DPD AVAMAR"/>
    <x v="6"/>
    <s v="DPD"/>
    <x v="2"/>
    <x v="1"/>
    <s v="GS"/>
    <x v="3"/>
  </r>
  <r>
    <s v="GH02"/>
    <s v="GLOBAL DPD Cloudboost"/>
    <x v="6"/>
    <s v="DPD"/>
    <x v="15"/>
    <x v="1"/>
    <s v="GS"/>
    <x v="3"/>
  </r>
  <r>
    <s v="GH03"/>
    <s v="GLOBAL DPD DataDomain"/>
    <x v="6"/>
    <s v="DPD"/>
    <x v="4"/>
    <x v="1"/>
    <s v="GS"/>
    <x v="3"/>
  </r>
  <r>
    <s v="GH04"/>
    <s v="GLOBAL DPD DPA"/>
    <x v="6"/>
    <s v="DPD"/>
    <x v="16"/>
    <x v="1"/>
    <s v="GS"/>
    <x v="3"/>
  </r>
  <r>
    <s v="GH05"/>
    <s v="GLOBAL DPD DPADSRT"/>
    <x v="6"/>
    <s v="DPD"/>
    <x v="17"/>
    <x v="1"/>
    <s v="GS"/>
    <x v="3"/>
  </r>
  <r>
    <s v="GH06"/>
    <s v="GLOBAL DPD DPSolutions"/>
    <x v="6"/>
    <s v="DPD"/>
    <x v="18"/>
    <x v="1"/>
    <s v="GS"/>
    <x v="3"/>
  </r>
  <r>
    <s v="GH07"/>
    <s v="GLOBAL UDS Isilon"/>
    <x v="6"/>
    <s v="UDS"/>
    <x v="1"/>
    <x v="1"/>
    <s v="GS"/>
    <x v="3"/>
  </r>
  <r>
    <s v="GH08"/>
    <s v="GLOBAL DPD Networker"/>
    <x v="6"/>
    <s v="DPD"/>
    <x v="7"/>
    <x v="1"/>
    <s v="GS"/>
    <x v="3"/>
  </r>
  <r>
    <s v="GH09"/>
    <s v="GLOBAL UDS OBJ"/>
    <x v="6"/>
    <s v="UDS"/>
    <x v="19"/>
    <x v="1"/>
    <s v="GS"/>
    <x v="3"/>
  </r>
  <r>
    <s v="GH10"/>
    <s v="GLOBAL DPD PowerProtect"/>
    <x v="6"/>
    <s v="DPD"/>
    <x v="20"/>
    <x v="1"/>
    <s v="GS"/>
    <x v="3"/>
  </r>
  <r>
    <s v="GH11"/>
    <s v="GLOBAL DPD RecoverPoint"/>
    <x v="6"/>
    <s v="DPD"/>
    <x v="21"/>
    <x v="1"/>
    <s v="GS"/>
    <x v="3"/>
  </r>
  <r>
    <s v="GH12"/>
    <s v="GLOBAL DPD SOURCEONE"/>
    <x v="6"/>
    <s v="DPD"/>
    <x v="22"/>
    <x v="1"/>
    <s v="GS"/>
    <x v="3"/>
  </r>
  <r>
    <s v="GH13"/>
    <s v="GLOBAL GNCS Hyperconverged"/>
    <x v="2"/>
    <s v="GNCS"/>
    <x v="14"/>
    <x v="1"/>
    <s v="GS"/>
    <x v="3"/>
  </r>
  <r>
    <s v="GH14"/>
    <s v="GLOBAL GNCS POWERFLEX"/>
    <x v="2"/>
    <s v="GNCS"/>
    <x v="23"/>
    <x v="1"/>
    <s v="GS"/>
    <x v="3"/>
  </r>
  <r>
    <s v="GH15"/>
    <s v="GLOBAL GNCS Solutions"/>
    <x v="2"/>
    <s v="GNCS"/>
    <x v="24"/>
    <x v="1"/>
    <s v="GS"/>
    <x v="3"/>
  </r>
  <r>
    <s v="GH16"/>
    <s v="GLOBAL HES Connectivity"/>
    <x v="5"/>
    <s v="HES"/>
    <x v="3"/>
    <x v="1"/>
    <s v="GS"/>
    <x v="3"/>
  </r>
  <r>
    <s v="GH17"/>
    <s v="GLOBAL HES DLM"/>
    <x v="5"/>
    <s v="HES"/>
    <x v="25"/>
    <x v="1"/>
    <s v="GS"/>
    <x v="3"/>
  </r>
  <r>
    <s v="GH18"/>
    <s v="GLOBAL HES Integrated_Software"/>
    <x v="5"/>
    <s v="HES"/>
    <x v="6"/>
    <x v="1"/>
    <s v="GS"/>
    <x v="3"/>
  </r>
  <r>
    <s v="GH19"/>
    <s v="GLOBAL HES Mainframe"/>
    <x v="5"/>
    <s v="HES"/>
    <x v="26"/>
    <x v="1"/>
    <s v="GS"/>
    <x v="3"/>
  </r>
  <r>
    <s v="GH20"/>
    <s v="GLOBAL HES Symmetrix"/>
    <x v="5"/>
    <s v="HES"/>
    <x v="8"/>
    <x v="1"/>
    <s v="GS"/>
    <x v="3"/>
  </r>
  <r>
    <s v="GH21"/>
    <s v="GLOBAL HES SymmSW"/>
    <x v="5"/>
    <s v="HES"/>
    <x v="9"/>
    <x v="1"/>
    <s v="GS"/>
    <x v="3"/>
  </r>
  <r>
    <s v="GH22"/>
    <s v="GLOBAL HES MIDRANGE"/>
    <x v="5"/>
    <s v="Midrange"/>
    <x v="10"/>
    <x v="1"/>
    <s v="GS"/>
    <x v="3"/>
  </r>
  <r>
    <s v="GH23"/>
    <s v="GLOBAL HES Vplex"/>
    <x v="5"/>
    <s v="HES"/>
    <x v="11"/>
    <x v="1"/>
    <s v="GS"/>
    <x v="3"/>
  </r>
  <r>
    <s v="GH24"/>
    <s v="GLOBAL HES XtremIO"/>
    <x v="5"/>
    <s v="HES"/>
    <x v="27"/>
    <x v="1"/>
    <s v="GS"/>
    <x v="3"/>
  </r>
  <r>
    <s v="HC06"/>
    <s v="EMEA Static Revenue"/>
    <x v="1"/>
    <m/>
    <x v="0"/>
    <x v="0"/>
    <m/>
    <x v="0"/>
  </r>
  <r>
    <s v="HC07"/>
    <s v="German Trainees"/>
    <x v="0"/>
    <m/>
    <x v="0"/>
    <x v="0"/>
    <m/>
    <x v="0"/>
  </r>
  <r>
    <s v="HE01"/>
    <s v="HES Global CST Chat"/>
    <x v="4"/>
    <m/>
    <x v="0"/>
    <x v="0"/>
    <m/>
    <x v="0"/>
  </r>
  <r>
    <s v="HE02"/>
    <s v="HES Global CST eServices"/>
    <x v="4"/>
    <m/>
    <x v="0"/>
    <x v="0"/>
    <m/>
    <x v="0"/>
  </r>
  <r>
    <s v="HE03"/>
    <s v="HES Global CST Management"/>
    <x v="0"/>
    <m/>
    <x v="0"/>
    <x v="0"/>
    <m/>
    <x v="0"/>
  </r>
  <r>
    <s v="HE04"/>
    <s v="CST VIC"/>
    <x v="0"/>
    <m/>
    <x v="0"/>
    <x v="0"/>
    <m/>
    <x v="0"/>
  </r>
  <r>
    <s v="HE06"/>
    <s v="HES Global Isilon Support"/>
    <x v="6"/>
    <s v="UDS"/>
    <x v="1"/>
    <x v="1"/>
    <s v="GS"/>
    <x v="3"/>
  </r>
  <r>
    <s v="HE09"/>
    <s v="HES Global Remote Proactive"/>
    <x v="0"/>
    <m/>
    <x v="0"/>
    <x v="0"/>
    <m/>
    <x v="0"/>
  </r>
  <r>
    <s v="HE12"/>
    <s v="HES Global Integrated Software"/>
    <x v="0"/>
    <m/>
    <x v="6"/>
    <x v="1"/>
    <s v="GS"/>
    <x v="3"/>
  </r>
  <r>
    <s v="HE16"/>
    <s v="HES Global DSE"/>
    <x v="0"/>
    <m/>
    <x v="0"/>
    <x v="0"/>
    <m/>
    <x v="0"/>
  </r>
  <r>
    <s v="HE17"/>
    <s v="HES Global Operations"/>
    <x v="0"/>
    <m/>
    <x v="0"/>
    <x v="0"/>
    <m/>
    <x v="0"/>
  </r>
  <r>
    <s v="HE20"/>
    <s v="HES Global Hyperconverged"/>
    <x v="0"/>
    <m/>
    <x v="14"/>
    <x v="1"/>
    <s v="GS"/>
    <x v="3"/>
  </r>
  <r>
    <s v="HE22"/>
    <s v="HES Global Symmetrix"/>
    <x v="0"/>
    <m/>
    <x v="8"/>
    <x v="1"/>
    <s v="GS"/>
    <x v="3"/>
  </r>
  <r>
    <s v="HE23"/>
    <s v="HES Global SymmSW"/>
    <x v="5"/>
    <s v="HES"/>
    <x v="9"/>
    <x v="1"/>
    <s v="GS"/>
    <x v="3"/>
  </r>
  <r>
    <s v="HE24"/>
    <s v="HES Global Vplex"/>
    <x v="5"/>
    <s v="HES"/>
    <x v="11"/>
    <x v="1"/>
    <s v="GS"/>
    <x v="3"/>
  </r>
  <r>
    <s v="HE25"/>
    <s v="HES Global Mainframe"/>
    <x v="0"/>
    <m/>
    <x v="26"/>
    <x v="1"/>
    <s v="GS"/>
    <x v="3"/>
  </r>
  <r>
    <s v="HE26"/>
    <s v="HES Global DLM"/>
    <x v="0"/>
    <m/>
    <x v="25"/>
    <x v="1"/>
    <s v="GS"/>
    <x v="3"/>
  </r>
  <r>
    <s v="HE28"/>
    <s v="HES Global XtremIO"/>
    <x v="0"/>
    <m/>
    <x v="27"/>
    <x v="1"/>
    <s v="GS"/>
    <x v="3"/>
  </r>
  <r>
    <s v="HE29"/>
    <s v="HES Global Connectivity"/>
    <x v="5"/>
    <s v="HES"/>
    <x v="3"/>
    <x v="1"/>
    <s v="GS"/>
    <x v="3"/>
  </r>
  <r>
    <s v="HE30"/>
    <s v="HES Global Solutions"/>
    <x v="0"/>
    <m/>
    <x v="24"/>
    <x v="1"/>
    <s v="GS"/>
    <x v="3"/>
  </r>
  <r>
    <s v="HE32"/>
    <s v="HES Global SSG"/>
    <x v="0"/>
    <m/>
    <x v="28"/>
    <x v="1"/>
    <s v="GS"/>
    <x v="3"/>
  </r>
  <r>
    <s v="HE36"/>
    <s v="HES Global AVAMAR"/>
    <x v="0"/>
    <m/>
    <x v="2"/>
    <x v="1"/>
    <s v="GS"/>
    <x v="3"/>
  </r>
  <r>
    <s v="HE37"/>
    <s v="HES Global Networker"/>
    <x v="0"/>
    <m/>
    <x v="7"/>
    <x v="1"/>
    <s v="GS"/>
    <x v="3"/>
  </r>
  <r>
    <s v="HE38"/>
    <s v="HES Global DATADomain"/>
    <x v="0"/>
    <m/>
    <x v="4"/>
    <x v="1"/>
    <s v="GS"/>
    <x v="3"/>
  </r>
  <r>
    <s v="HE39"/>
    <s v="HES Global RecoverPoint"/>
    <x v="0"/>
    <m/>
    <x v="21"/>
    <x v="1"/>
    <s v="GS"/>
    <x v="3"/>
  </r>
  <r>
    <s v="HE40"/>
    <s v="HES Global DPADSRT"/>
    <x v="0"/>
    <m/>
    <x v="17"/>
    <x v="1"/>
    <s v="GS"/>
    <x v="3"/>
  </r>
  <r>
    <s v="HE41"/>
    <s v="HES Global DPSolutions"/>
    <x v="0"/>
    <m/>
    <x v="18"/>
    <x v="1"/>
    <s v="GS"/>
    <x v="3"/>
  </r>
  <r>
    <s v="HE42"/>
    <s v="HES Global DPA"/>
    <x v="0"/>
    <m/>
    <x v="16"/>
    <x v="1"/>
    <s v="GS"/>
    <x v="3"/>
  </r>
  <r>
    <s v="HE43"/>
    <s v="HES Global SOURCEONE"/>
    <x v="0"/>
    <m/>
    <x v="22"/>
    <x v="1"/>
    <s v="GS"/>
    <x v="3"/>
  </r>
  <r>
    <s v="HE44"/>
    <s v="HES Global Cloudboost"/>
    <x v="0"/>
    <m/>
    <x v="15"/>
    <x v="1"/>
    <s v="GS"/>
    <x v="3"/>
  </r>
  <r>
    <s v="HE47"/>
    <s v="HES Global Isilon"/>
    <x v="0"/>
    <m/>
    <x v="1"/>
    <x v="1"/>
    <s v="GS"/>
    <x v="3"/>
  </r>
  <r>
    <s v="HE48"/>
    <s v="HES Global OBJ"/>
    <x v="0"/>
    <m/>
    <x v="19"/>
    <x v="1"/>
    <s v="GS"/>
    <x v="3"/>
  </r>
  <r>
    <s v="HE52"/>
    <s v="HES Global RCM"/>
    <x v="5"/>
    <m/>
    <x v="0"/>
    <x v="0"/>
    <m/>
    <x v="0"/>
  </r>
  <r>
    <s v="HE53"/>
    <s v="HES Global E2E CONNECTIVITY"/>
    <x v="5"/>
    <m/>
    <x v="0"/>
    <x v="0"/>
    <m/>
    <x v="0"/>
  </r>
  <r>
    <s v="HE58"/>
    <s v="German VXRail"/>
    <x v="0"/>
    <m/>
    <x v="14"/>
    <x v="1"/>
    <s v="0"/>
    <x v="4"/>
  </r>
  <r>
    <s v="HE59"/>
    <s v="German Midrange"/>
    <x v="0"/>
    <m/>
    <x v="10"/>
    <x v="1"/>
    <s v="0"/>
    <x v="4"/>
  </r>
  <r>
    <s v="HE61"/>
    <s v="French VXRail"/>
    <x v="0"/>
    <m/>
    <x v="14"/>
    <x v="1"/>
    <s v="0"/>
    <x v="4"/>
  </r>
  <r>
    <s v="HE62"/>
    <s v="French Midrange"/>
    <x v="0"/>
    <m/>
    <x v="10"/>
    <x v="1"/>
    <s v="0"/>
    <x v="4"/>
  </r>
  <r>
    <s v="HE63"/>
    <s v="UKI VXRail"/>
    <x v="0"/>
    <m/>
    <x v="14"/>
    <x v="1"/>
    <s v="0"/>
    <x v="4"/>
  </r>
  <r>
    <s v="HE64"/>
    <s v="UKI Midrange"/>
    <x v="0"/>
    <m/>
    <x v="10"/>
    <x v="1"/>
    <s v="0"/>
    <x v="4"/>
  </r>
  <r>
    <s v="HE66"/>
    <s v="Italian Midrange"/>
    <x v="0"/>
    <m/>
    <x v="10"/>
    <x v="1"/>
    <s v="0"/>
    <x v="4"/>
  </r>
  <r>
    <s v="HE67"/>
    <s v="Spanish VxRail"/>
    <x v="0"/>
    <m/>
    <x v="14"/>
    <x v="1"/>
    <s v="0"/>
    <x v="4"/>
  </r>
  <r>
    <s v="HE68"/>
    <s v="Spanish Midrange"/>
    <x v="0"/>
    <m/>
    <x v="10"/>
    <x v="1"/>
    <s v="0"/>
    <x v="4"/>
  </r>
  <r>
    <s v="HE70"/>
    <s v="APJ English Midrange"/>
    <x v="1"/>
    <s v="Midrange"/>
    <x v="10"/>
    <x v="1"/>
    <s v="0"/>
    <x v="1"/>
  </r>
  <r>
    <s v="HE71"/>
    <s v="APJ English VxRail"/>
    <x v="1"/>
    <s v="GNCS"/>
    <x v="14"/>
    <x v="1"/>
    <s v="0"/>
    <x v="1"/>
  </r>
  <r>
    <s v="HE72"/>
    <s v="APJ GNCS Hyperconverged Korean"/>
    <x v="1"/>
    <s v="GNCS"/>
    <x v="14"/>
    <x v="1"/>
    <s v="0"/>
    <x v="1"/>
  </r>
  <r>
    <s v="HE73"/>
    <s v="APJ HES CST Korean"/>
    <x v="1"/>
    <m/>
    <x v="0"/>
    <x v="0"/>
    <m/>
    <x v="0"/>
  </r>
  <r>
    <s v="HE74"/>
    <s v="WIPRO AMER Midrange"/>
    <x v="0"/>
    <m/>
    <x v="10"/>
    <x v="1"/>
    <s v="0"/>
    <x v="5"/>
  </r>
  <r>
    <s v="HE78"/>
    <s v="NA Isilon HE Storage Voice"/>
    <x v="0"/>
    <m/>
    <x v="1"/>
    <x v="1"/>
    <s v="0"/>
    <x v="5"/>
  </r>
  <r>
    <s v="HE81"/>
    <s v="EMEA English VMAX"/>
    <x v="0"/>
    <m/>
    <x v="8"/>
    <x v="1"/>
    <s v="0"/>
    <x v="4"/>
  </r>
  <r>
    <s v="HE85"/>
    <s v="AMER English VMAX"/>
    <x v="0"/>
    <m/>
    <x v="8"/>
    <x v="1"/>
    <s v="0"/>
    <x v="5"/>
  </r>
  <r>
    <s v="HE93"/>
    <s v="EMEA English Vplex"/>
    <x v="0"/>
    <m/>
    <x v="8"/>
    <x v="1"/>
    <s v="0"/>
    <x v="4"/>
  </r>
  <r>
    <s v="HE95"/>
    <s v="AMER English Vplex"/>
    <x v="0"/>
    <m/>
    <x v="8"/>
    <x v="1"/>
    <s v="0"/>
    <x v="5"/>
  </r>
  <r>
    <s v="HEA2"/>
    <s v="EMEA English Connectivity"/>
    <x v="0"/>
    <m/>
    <x v="3"/>
    <x v="1"/>
    <s v="0"/>
    <x v="4"/>
  </r>
  <r>
    <s v="HEA5"/>
    <s v="AMER English Connectivity"/>
    <x v="0"/>
    <m/>
    <x v="3"/>
    <x v="1"/>
    <s v="0"/>
    <x v="5"/>
  </r>
  <r>
    <s v="HEA9"/>
    <s v="EMEA English XtremIO"/>
    <x v="0"/>
    <m/>
    <x v="27"/>
    <x v="1"/>
    <s v="0"/>
    <x v="4"/>
  </r>
  <r>
    <s v="HEB0"/>
    <s v="AMER English XtremIO"/>
    <x v="0"/>
    <m/>
    <x v="27"/>
    <x v="1"/>
    <s v="0"/>
    <x v="5"/>
  </r>
  <r>
    <s v="HEB4"/>
    <s v="AMER English Integrated Software"/>
    <x v="0"/>
    <m/>
    <x v="6"/>
    <x v="1"/>
    <s v="0"/>
    <x v="5"/>
  </r>
  <r>
    <s v="HEB5"/>
    <s v="AMER English Integrated Software"/>
    <x v="0"/>
    <m/>
    <x v="6"/>
    <x v="1"/>
    <s v="0"/>
    <x v="5"/>
  </r>
  <r>
    <s v="HEC5"/>
    <s v="Amer English Isilon"/>
    <x v="0"/>
    <m/>
    <x v="1"/>
    <x v="1"/>
    <s v="0"/>
    <x v="5"/>
  </r>
  <r>
    <s v="HEC6"/>
    <s v="EMEA English Isilon"/>
    <x v="0"/>
    <m/>
    <x v="1"/>
    <x v="1"/>
    <s v="0"/>
    <x v="4"/>
  </r>
  <r>
    <s v="HEC7"/>
    <s v="APJ English Isilon"/>
    <x v="1"/>
    <s v="UDS"/>
    <x v="1"/>
    <x v="1"/>
    <s v="0"/>
    <x v="1"/>
  </r>
  <r>
    <s v="HED3"/>
    <s v="AMER English Networker"/>
    <x v="0"/>
    <m/>
    <x v="7"/>
    <x v="1"/>
    <s v="0"/>
    <x v="5"/>
  </r>
  <r>
    <s v="HED7"/>
    <s v="EMEA English Networker"/>
    <x v="0"/>
    <m/>
    <x v="7"/>
    <x v="1"/>
    <s v="0"/>
    <x v="4"/>
  </r>
  <r>
    <s v="HEF2"/>
    <s v="AMER English OBJ"/>
    <x v="0"/>
    <m/>
    <x v="19"/>
    <x v="1"/>
    <s v="0"/>
    <x v="5"/>
  </r>
  <r>
    <s v="HEF5"/>
    <s v="EMEA English OBJ"/>
    <x v="0"/>
    <m/>
    <x v="19"/>
    <x v="1"/>
    <s v="0"/>
    <x v="4"/>
  </r>
  <r>
    <s v="HEG4"/>
    <s v="AMER English Avamar"/>
    <x v="0"/>
    <m/>
    <x v="2"/>
    <x v="1"/>
    <s v="0"/>
    <x v="5"/>
  </r>
  <r>
    <s v="HEG8"/>
    <s v="EMEA English Avamar"/>
    <x v="0"/>
    <m/>
    <x v="2"/>
    <x v="1"/>
    <s v="0"/>
    <x v="4"/>
  </r>
  <r>
    <s v="HEH6"/>
    <s v="AMER English DataDomain"/>
    <x v="0"/>
    <m/>
    <x v="4"/>
    <x v="1"/>
    <s v="0"/>
    <x v="5"/>
  </r>
  <r>
    <s v="HEJ1"/>
    <s v="EMEA English DataDomain"/>
    <x v="0"/>
    <m/>
    <x v="4"/>
    <x v="1"/>
    <s v="0"/>
    <x v="4"/>
  </r>
  <r>
    <s v="HW03"/>
    <s v="HES Global DPD Solutions WIPRO"/>
    <x v="6"/>
    <s v="DPD"/>
    <x v="29"/>
    <x v="1"/>
    <s v="0"/>
    <x v="3"/>
  </r>
  <r>
    <s v="HW06"/>
    <s v="HES Global RecoverPoint WIPRO"/>
    <x v="0"/>
    <m/>
    <x v="29"/>
    <x v="1"/>
    <s v="0"/>
    <x v="3"/>
  </r>
  <r>
    <s v="ID06"/>
    <s v="Enterprise Pro/Core ID"/>
    <x v="0"/>
    <m/>
    <x v="0"/>
    <x v="0"/>
    <m/>
    <x v="0"/>
  </r>
  <r>
    <s v="IM01"/>
    <s v="IND Midrange Storage VNX/e"/>
    <x v="0"/>
    <m/>
    <x v="10"/>
    <x v="1"/>
    <s v="0"/>
    <x v="6"/>
  </r>
  <r>
    <s v="IN14"/>
    <s v="Storage IND"/>
    <x v="0"/>
    <m/>
    <x v="0"/>
    <x v="0"/>
    <m/>
    <x v="0"/>
  </r>
  <r>
    <s v="IN15"/>
    <s v="Server Core IND"/>
    <x v="0"/>
    <m/>
    <x v="0"/>
    <x v="0"/>
    <m/>
    <x v="0"/>
  </r>
  <r>
    <s v="IN16"/>
    <s v="Server ProSupport IND"/>
    <x v="0"/>
    <m/>
    <x v="0"/>
    <x v="0"/>
    <m/>
    <x v="0"/>
  </r>
  <r>
    <s v="IN19"/>
    <s v="Wyse IND"/>
    <x v="1"/>
    <m/>
    <x v="0"/>
    <x v="0"/>
    <m/>
    <x v="0"/>
  </r>
  <r>
    <s v="INT1"/>
    <s v="Networking IND"/>
    <x v="0"/>
    <m/>
    <x v="0"/>
    <x v="0"/>
    <m/>
    <x v="0"/>
  </r>
  <r>
    <s v="IS01"/>
    <s v="APJ DPD Isilon"/>
    <x v="1"/>
    <s v="UDS"/>
    <x v="1"/>
    <x v="1"/>
    <s v="0"/>
    <x v="1"/>
  </r>
  <r>
    <s v="IS02"/>
    <s v="EMEA DPD Isilon"/>
    <x v="6"/>
    <s v="UDS"/>
    <x v="1"/>
    <x v="1"/>
    <s v="0"/>
    <x v="4"/>
  </r>
  <r>
    <s v="IS03"/>
    <s v="India DPD Isilon"/>
    <x v="1"/>
    <s v="UDS"/>
    <x v="1"/>
    <x v="1"/>
    <s v="0"/>
    <x v="6"/>
  </r>
  <r>
    <s v="IS04"/>
    <s v="LATAM DPD Isilon"/>
    <x v="6"/>
    <s v="UDS"/>
    <x v="1"/>
    <x v="1"/>
    <s v="0"/>
    <x v="2"/>
  </r>
  <r>
    <s v="IS05"/>
    <s v="NAMER DPD Isilon"/>
    <x v="6"/>
    <s v="UDS"/>
    <x v="1"/>
    <x v="1"/>
    <s v="0"/>
    <x v="5"/>
  </r>
  <r>
    <s v="IS11"/>
    <s v="APJ DPD AVAMAR"/>
    <x v="1"/>
    <s v="DPD"/>
    <x v="2"/>
    <x v="1"/>
    <s v="0"/>
    <x v="1"/>
  </r>
  <r>
    <s v="IS14"/>
    <s v="APJ HES Connectivity"/>
    <x v="1"/>
    <s v="HES"/>
    <x v="3"/>
    <x v="1"/>
    <s v="0"/>
    <x v="1"/>
  </r>
  <r>
    <s v="IS15"/>
    <s v="APJ DPD DataDomain"/>
    <x v="1"/>
    <s v="DPD"/>
    <x v="4"/>
    <x v="1"/>
    <s v="0"/>
    <x v="1"/>
  </r>
  <r>
    <s v="IS19"/>
    <s v="APJ DPD DPSolutions"/>
    <x v="1"/>
    <s v="DPD"/>
    <x v="18"/>
    <x v="1"/>
    <s v="0"/>
    <x v="6"/>
  </r>
  <r>
    <s v="IS20"/>
    <s v="APJ GNCS Hyperconverged"/>
    <x v="1"/>
    <s v="GNCS"/>
    <x v="14"/>
    <x v="1"/>
    <s v="0"/>
    <x v="1"/>
  </r>
  <r>
    <s v="IS21"/>
    <s v="APJ HES Integrated_Software"/>
    <x v="1"/>
    <s v="HES"/>
    <x v="6"/>
    <x v="1"/>
    <s v="0"/>
    <x v="1"/>
  </r>
  <r>
    <s v="IS23"/>
    <s v="APJ DPD Networker"/>
    <x v="1"/>
    <s v="DPD"/>
    <x v="7"/>
    <x v="1"/>
    <s v="0"/>
    <x v="1"/>
  </r>
  <r>
    <s v="IS24"/>
    <s v="NAMER DPD OBJ"/>
    <x v="6"/>
    <s v="DPD"/>
    <x v="19"/>
    <x v="1"/>
    <s v="0"/>
    <x v="5"/>
  </r>
  <r>
    <s v="IS31"/>
    <s v="APJ HES Symmetrix"/>
    <x v="1"/>
    <s v="HES"/>
    <x v="8"/>
    <x v="1"/>
    <s v="0"/>
    <x v="1"/>
  </r>
  <r>
    <s v="IS32"/>
    <s v="APJ HES SymmSW"/>
    <x v="1"/>
    <s v="HES"/>
    <x v="9"/>
    <x v="1"/>
    <s v="0"/>
    <x v="1"/>
  </r>
  <r>
    <s v="IS34"/>
    <s v="APJ HES MIDRANGE"/>
    <x v="1"/>
    <s v="Midrange"/>
    <x v="10"/>
    <x v="1"/>
    <s v="0"/>
    <x v="1"/>
  </r>
  <r>
    <s v="IS36"/>
    <s v="APJ HES Vplex"/>
    <x v="1"/>
    <s v="HES"/>
    <x v="11"/>
    <x v="1"/>
    <s v="0"/>
    <x v="1"/>
  </r>
  <r>
    <s v="IS37"/>
    <s v="APJ HES XtremIO"/>
    <x v="1"/>
    <s v="HES"/>
    <x v="27"/>
    <x v="1"/>
    <s v="0"/>
    <x v="1"/>
  </r>
  <r>
    <s v="IS38"/>
    <s v="EMEA DPD AVAMAR"/>
    <x v="6"/>
    <s v="DPD"/>
    <x v="2"/>
    <x v="1"/>
    <s v="0"/>
    <x v="4"/>
  </r>
  <r>
    <s v="IS41"/>
    <s v="EMEA HES Connectivity"/>
    <x v="5"/>
    <s v="HES"/>
    <x v="3"/>
    <x v="1"/>
    <s v="0"/>
    <x v="4"/>
  </r>
  <r>
    <s v="IS42"/>
    <s v="EMEA DPD DataDomain"/>
    <x v="6"/>
    <s v="DPD"/>
    <x v="4"/>
    <x v="1"/>
    <s v="0"/>
    <x v="4"/>
  </r>
  <r>
    <s v="IS47"/>
    <s v="EMEA GNCS Hyperconverged"/>
    <x v="2"/>
    <s v="GNCS"/>
    <x v="14"/>
    <x v="1"/>
    <s v="0"/>
    <x v="4"/>
  </r>
  <r>
    <s v="IS48"/>
    <s v="EMEA HES Integrated_Software"/>
    <x v="5"/>
    <s v="HES"/>
    <x v="6"/>
    <x v="1"/>
    <s v="0"/>
    <x v="4"/>
  </r>
  <r>
    <s v="IS50"/>
    <s v="EMEA DPD Networker"/>
    <x v="6"/>
    <s v="DPD"/>
    <x v="7"/>
    <x v="1"/>
    <s v="0"/>
    <x v="4"/>
  </r>
  <r>
    <s v="IS51"/>
    <s v="LATAM UDS OBJ"/>
    <x v="3"/>
    <m/>
    <x v="0"/>
    <x v="0"/>
    <m/>
    <x v="0"/>
  </r>
  <r>
    <s v="IS58"/>
    <s v="EMEA HES Symmetrix"/>
    <x v="5"/>
    <s v="HES"/>
    <x v="8"/>
    <x v="1"/>
    <s v="0"/>
    <x v="4"/>
  </r>
  <r>
    <s v="IS59"/>
    <s v="EMEA HES SymmSW"/>
    <x v="5"/>
    <s v="HES"/>
    <x v="9"/>
    <x v="1"/>
    <s v="0"/>
    <x v="4"/>
  </r>
  <r>
    <s v="IS61"/>
    <s v="EMEA HES MIDRANGE"/>
    <x v="5"/>
    <s v="Midrange"/>
    <x v="10"/>
    <x v="1"/>
    <s v="0"/>
    <x v="4"/>
  </r>
  <r>
    <s v="IS63"/>
    <s v="EMEA HES Vplex"/>
    <x v="5"/>
    <s v="HES"/>
    <x v="11"/>
    <x v="1"/>
    <s v="0"/>
    <x v="4"/>
  </r>
  <r>
    <s v="IS64"/>
    <s v="EMEA HES XtremIO"/>
    <x v="5"/>
    <s v="HES"/>
    <x v="27"/>
    <x v="1"/>
    <s v="0"/>
    <x v="4"/>
  </r>
  <r>
    <s v="IS65"/>
    <s v="India DPD AVAMAR"/>
    <x v="1"/>
    <s v="DPD"/>
    <x v="2"/>
    <x v="1"/>
    <s v="0"/>
    <x v="6"/>
  </r>
  <r>
    <s v="IS68"/>
    <s v="India HES Connectivity"/>
    <x v="1"/>
    <s v="HES"/>
    <x v="3"/>
    <x v="1"/>
    <s v="0"/>
    <x v="6"/>
  </r>
  <r>
    <s v="IS69"/>
    <s v="India DPD DataDomain"/>
    <x v="1"/>
    <s v="DPD"/>
    <x v="4"/>
    <x v="1"/>
    <s v="0"/>
    <x v="6"/>
  </r>
  <r>
    <s v="IS74"/>
    <s v="India GNCS Hyperconverged"/>
    <x v="1"/>
    <s v="GNCS"/>
    <x v="14"/>
    <x v="1"/>
    <s v="0"/>
    <x v="6"/>
  </r>
  <r>
    <s v="IS75"/>
    <s v="India HES Integrated_Software"/>
    <x v="1"/>
    <s v="HES"/>
    <x v="6"/>
    <x v="1"/>
    <s v="0"/>
    <x v="6"/>
  </r>
  <r>
    <s v="IS77"/>
    <s v="India DPD Networker"/>
    <x v="1"/>
    <s v="DPD"/>
    <x v="7"/>
    <x v="1"/>
    <s v="0"/>
    <x v="6"/>
  </r>
  <r>
    <s v="IS78"/>
    <s v="India DPD OBJ"/>
    <x v="1"/>
    <s v="DPD"/>
    <x v="19"/>
    <x v="1"/>
    <s v="0"/>
    <x v="6"/>
  </r>
  <r>
    <s v="IS85"/>
    <s v="India HES Symmetrix"/>
    <x v="1"/>
    <s v="HES"/>
    <x v="8"/>
    <x v="1"/>
    <s v="0"/>
    <x v="6"/>
  </r>
  <r>
    <s v="IS86"/>
    <s v="India HES SymmSW"/>
    <x v="1"/>
    <s v="HES"/>
    <x v="9"/>
    <x v="1"/>
    <s v="0"/>
    <x v="6"/>
  </r>
  <r>
    <s v="IS88"/>
    <s v="INDIA HES MIDRANGE"/>
    <x v="1"/>
    <s v="Midrange"/>
    <x v="10"/>
    <x v="1"/>
    <s v="0"/>
    <x v="6"/>
  </r>
  <r>
    <s v="IS90"/>
    <s v="India HES Vplex"/>
    <x v="1"/>
    <s v="HES"/>
    <x v="11"/>
    <x v="1"/>
    <s v="0"/>
    <x v="6"/>
  </r>
  <r>
    <s v="IS91"/>
    <s v="India HES XtremIO"/>
    <x v="1"/>
    <s v="HES"/>
    <x v="27"/>
    <x v="1"/>
    <s v="0"/>
    <x v="6"/>
  </r>
  <r>
    <s v="IS92"/>
    <s v="LATAM DPD AVAMAR"/>
    <x v="6"/>
    <s v="DPD"/>
    <x v="2"/>
    <x v="1"/>
    <s v="0"/>
    <x v="2"/>
  </r>
  <r>
    <s v="IS96"/>
    <s v="LATAM DPD DataDomain"/>
    <x v="6"/>
    <s v="DPD"/>
    <x v="4"/>
    <x v="1"/>
    <s v="0"/>
    <x v="2"/>
  </r>
  <r>
    <s v="IT08"/>
    <s v="ITA ProSupp Server (MTP)"/>
    <x v="7"/>
    <m/>
    <x v="0"/>
    <x v="0"/>
    <m/>
    <x v="0"/>
  </r>
  <r>
    <s v="IU02"/>
    <s v="LATAM GNCS Hyperconverged"/>
    <x v="2"/>
    <s v="GNCS"/>
    <x v="14"/>
    <x v="1"/>
    <s v="0"/>
    <x v="2"/>
  </r>
  <r>
    <s v="IU05"/>
    <s v="LATAM DPD Networker"/>
    <x v="6"/>
    <s v="DPD"/>
    <x v="7"/>
    <x v="1"/>
    <s v="0"/>
    <x v="2"/>
  </r>
  <r>
    <s v="IU06"/>
    <s v="EMEA DPD OBJ"/>
    <x v="6"/>
    <s v="DPD"/>
    <x v="19"/>
    <x v="1"/>
    <s v="0"/>
    <x v="4"/>
  </r>
  <r>
    <s v="IU13"/>
    <s v="LATAM HES Symmetrix"/>
    <x v="5"/>
    <s v="HES"/>
    <x v="8"/>
    <x v="1"/>
    <s v="0"/>
    <x v="2"/>
  </r>
  <r>
    <s v="IU14"/>
    <s v="LATAM HES SymmSW"/>
    <x v="5"/>
    <s v="HES"/>
    <x v="9"/>
    <x v="1"/>
    <s v="0"/>
    <x v="2"/>
  </r>
  <r>
    <s v="IU16"/>
    <s v="LATAM HES MIDRANGE"/>
    <x v="5"/>
    <s v="Midrange"/>
    <x v="10"/>
    <x v="1"/>
    <s v="0"/>
    <x v="2"/>
  </r>
  <r>
    <s v="IU20"/>
    <s v="NAMER DPD AVAMAR"/>
    <x v="6"/>
    <s v="DPD"/>
    <x v="2"/>
    <x v="1"/>
    <s v="0"/>
    <x v="5"/>
  </r>
  <r>
    <s v="IU23"/>
    <s v="NAMER HES Connectivity"/>
    <x v="5"/>
    <s v="HES"/>
    <x v="3"/>
    <x v="1"/>
    <s v="0"/>
    <x v="5"/>
  </r>
  <r>
    <s v="IU24"/>
    <s v="NAMER DPD DataDomain"/>
    <x v="6"/>
    <s v="DPD"/>
    <x v="4"/>
    <x v="1"/>
    <s v="0"/>
    <x v="5"/>
  </r>
  <r>
    <s v="IU29"/>
    <s v="NAMER GNCS Hyperconverged"/>
    <x v="2"/>
    <s v="GNCS"/>
    <x v="14"/>
    <x v="1"/>
    <s v="0"/>
    <x v="5"/>
  </r>
  <r>
    <s v="IU30"/>
    <s v="NAMER HES Integrated_Software"/>
    <x v="5"/>
    <s v="HES"/>
    <x v="6"/>
    <x v="1"/>
    <s v="0"/>
    <x v="5"/>
  </r>
  <r>
    <s v="IU32"/>
    <s v="NAMER DPD Networker"/>
    <x v="6"/>
    <s v="DPD"/>
    <x v="7"/>
    <x v="1"/>
    <s v="0"/>
    <x v="5"/>
  </r>
  <r>
    <s v="IU33"/>
    <s v="APJ DPD OBJ"/>
    <x v="1"/>
    <s v="DPD"/>
    <x v="19"/>
    <x v="1"/>
    <s v="0"/>
    <x v="1"/>
  </r>
  <r>
    <s v="IU40"/>
    <s v="NAMER HES Symmetrix"/>
    <x v="5"/>
    <s v="HES"/>
    <x v="8"/>
    <x v="1"/>
    <s v="0"/>
    <x v="5"/>
  </r>
  <r>
    <s v="IU41"/>
    <s v="NAMER HES SymmSW"/>
    <x v="5"/>
    <s v="HES"/>
    <x v="9"/>
    <x v="1"/>
    <s v="0"/>
    <x v="5"/>
  </r>
  <r>
    <s v="IU43"/>
    <s v="NAMER HES MIDRANGE"/>
    <x v="5"/>
    <s v="Midrange"/>
    <x v="10"/>
    <x v="1"/>
    <s v="0"/>
    <x v="5"/>
  </r>
  <r>
    <s v="IU45"/>
    <s v="NAMER HES Vplex"/>
    <x v="5"/>
    <s v="HES"/>
    <x v="11"/>
    <x v="1"/>
    <s v="0"/>
    <x v="5"/>
  </r>
  <r>
    <s v="IU46"/>
    <s v="NAMER HES XtremIO"/>
    <x v="5"/>
    <s v="HES"/>
    <x v="27"/>
    <x v="1"/>
    <s v="0"/>
    <x v="5"/>
  </r>
  <r>
    <s v="IV01"/>
    <s v="IND VX Rail Storage"/>
    <x v="0"/>
    <m/>
    <x v="30"/>
    <x v="1"/>
    <s v="0"/>
    <x v="6"/>
  </r>
  <r>
    <s v="JM01"/>
    <s v="JP Midrange Storage VNX/e"/>
    <x v="0"/>
    <m/>
    <x v="0"/>
    <x v="0"/>
    <m/>
    <x v="0"/>
  </r>
  <r>
    <s v="JP11"/>
    <s v="Enterprise Core/ProSupport MIY"/>
    <x v="7"/>
    <m/>
    <x v="0"/>
    <x v="0"/>
    <m/>
    <x v="0"/>
  </r>
  <r>
    <s v="JP13"/>
    <s v="Japan Storage ProSupport KAW"/>
    <x v="0"/>
    <m/>
    <x v="0"/>
    <x v="0"/>
    <m/>
    <x v="0"/>
  </r>
  <r>
    <s v="JP19"/>
    <s v="Japan Enterprise SW-NWK"/>
    <x v="7"/>
    <m/>
    <x v="0"/>
    <x v="0"/>
    <m/>
    <x v="0"/>
  </r>
  <r>
    <s v="JP22"/>
    <s v="Enterprise Echannel Core/Pro MIY"/>
    <x v="7"/>
    <m/>
    <x v="0"/>
    <x v="0"/>
    <m/>
    <x v="0"/>
  </r>
  <r>
    <s v="JP24"/>
    <s v="Server Pro/Core Japan"/>
    <x v="1"/>
    <m/>
    <x v="0"/>
    <x v="0"/>
    <m/>
    <x v="0"/>
  </r>
  <r>
    <s v="JP25"/>
    <s v="Storage Pro/Core Japan"/>
    <x v="2"/>
    <s v="GNCS"/>
    <x v="0"/>
    <x v="0"/>
    <m/>
    <x v="0"/>
  </r>
  <r>
    <s v="JP26"/>
    <s v="Server ProSupport Plus Japan"/>
    <x v="2"/>
    <s v="GNCS"/>
    <x v="0"/>
    <x v="0"/>
    <m/>
    <x v="0"/>
  </r>
  <r>
    <s v="JP29"/>
    <s v="Networking Pro/Core Japan"/>
    <x v="1"/>
    <m/>
    <x v="0"/>
    <x v="0"/>
    <m/>
    <x v="0"/>
  </r>
  <r>
    <s v="JV01"/>
    <s v="JP VX Rail Storage"/>
    <x v="0"/>
    <m/>
    <x v="0"/>
    <x v="0"/>
    <m/>
    <x v="0"/>
  </r>
  <r>
    <s v="KR05"/>
    <s v="Enterprise Core KOR"/>
    <x v="0"/>
    <m/>
    <x v="0"/>
    <x v="0"/>
    <m/>
    <x v="0"/>
  </r>
  <r>
    <s v="KR06"/>
    <s v="Enterprise ProSupport KOR"/>
    <x v="0"/>
    <m/>
    <x v="0"/>
    <x v="0"/>
    <m/>
    <x v="0"/>
  </r>
  <r>
    <s v="KR11"/>
    <s v="KOR Storage Pro"/>
    <x v="0"/>
    <m/>
    <x v="0"/>
    <x v="0"/>
    <m/>
    <x v="0"/>
  </r>
  <r>
    <s v="KR12"/>
    <s v="KOR Server Pro"/>
    <x v="0"/>
    <m/>
    <x v="0"/>
    <x v="0"/>
    <m/>
    <x v="0"/>
  </r>
  <r>
    <s v="LFT1"/>
    <s v="SSO Quality Lets Fix It"/>
    <x v="4"/>
    <m/>
    <x v="0"/>
    <x v="0"/>
    <m/>
    <x v="0"/>
  </r>
  <r>
    <s v="LOS0"/>
    <s v="EMEA Solutions MS (ENG)"/>
    <x v="2"/>
    <s v="GNCS"/>
    <x v="24"/>
    <x v="0"/>
    <m/>
    <x v="4"/>
  </r>
  <r>
    <s v="LOS1"/>
    <s v="EMEA Solutions HCI (ENG)"/>
    <x v="2"/>
    <s v="GNCS"/>
    <x v="24"/>
    <x v="0"/>
    <m/>
    <x v="4"/>
  </r>
  <r>
    <s v="LOS2"/>
    <s v="EMEA Solutions MS (FRA)"/>
    <x v="2"/>
    <s v="GNCS"/>
    <x v="24"/>
    <x v="0"/>
    <m/>
    <x v="4"/>
  </r>
  <r>
    <s v="LOS3"/>
    <s v="EMEA Solutions HCI (FRA)"/>
    <x v="2"/>
    <s v="GNCS"/>
    <x v="24"/>
    <x v="0"/>
    <m/>
    <x v="4"/>
  </r>
  <r>
    <s v="LOS4"/>
    <s v="EMEA Solutions MS (GER)"/>
    <x v="2"/>
    <s v="GNCS"/>
    <x v="24"/>
    <x v="0"/>
    <m/>
    <x v="4"/>
  </r>
  <r>
    <s v="LOS4"/>
    <s v="EMEA Solutions MS (GER)"/>
    <x v="2"/>
    <s v="GNCS"/>
    <x v="24"/>
    <x v="0"/>
    <m/>
    <x v="4"/>
  </r>
  <r>
    <s v="LOS5"/>
    <s v="EMEA Solutions HCI (GER)"/>
    <x v="2"/>
    <s v="GNCS"/>
    <x v="0"/>
    <x v="0"/>
    <m/>
    <x v="4"/>
  </r>
  <r>
    <s v="LS01"/>
    <s v="SSO Licensing Support"/>
    <x v="0"/>
    <m/>
    <x v="0"/>
    <x v="0"/>
    <m/>
    <x v="0"/>
  </r>
  <r>
    <s v="MR01"/>
    <s v="MMCLA Midrange Storage VNX/e Spanish"/>
    <x v="0"/>
    <m/>
    <x v="31"/>
    <x v="1"/>
    <s v="0"/>
    <x v="2"/>
  </r>
  <r>
    <s v="MR02"/>
    <s v="MMCLA VXRail"/>
    <x v="0"/>
    <m/>
    <x v="5"/>
    <x v="1"/>
    <s v="0"/>
    <x v="2"/>
  </r>
  <r>
    <s v="MY11"/>
    <s v="Networking Pro Core SA"/>
    <x v="0"/>
    <m/>
    <x v="0"/>
    <x v="0"/>
    <m/>
    <x v="0"/>
  </r>
  <r>
    <s v="MY14"/>
    <s v="Storage ProSupport SA"/>
    <x v="0"/>
    <m/>
    <x v="0"/>
    <x v="0"/>
    <m/>
    <x v="0"/>
  </r>
  <r>
    <s v="MY15"/>
    <s v="Proactive Systems Maintenance SA"/>
    <x v="0"/>
    <m/>
    <x v="0"/>
    <x v="0"/>
    <m/>
    <x v="0"/>
  </r>
  <r>
    <s v="ND02"/>
    <s v="ENG ProSupp Nordics Server (CWD)"/>
    <x v="0"/>
    <m/>
    <x v="0"/>
    <x v="0"/>
    <m/>
    <x v="0"/>
  </r>
  <r>
    <s v="ND03"/>
    <s v="Nordics Enterprise (TUR)"/>
    <x v="0"/>
    <m/>
    <x v="0"/>
    <x v="0"/>
    <m/>
    <x v="0"/>
  </r>
  <r>
    <s v="NE02"/>
    <s v="Backup Solution HC US"/>
    <x v="0"/>
    <m/>
    <x v="0"/>
    <x v="0"/>
    <m/>
    <x v="0"/>
  </r>
  <r>
    <s v="NE04"/>
    <s v="Enterprise Triage Queue US"/>
    <x v="0"/>
    <m/>
    <x v="0"/>
    <x v="0"/>
    <m/>
    <x v="0"/>
  </r>
  <r>
    <s v="NE05"/>
    <s v="Storage PS MD US"/>
    <x v="0"/>
    <m/>
    <x v="0"/>
    <x v="0"/>
    <m/>
    <x v="0"/>
  </r>
  <r>
    <s v="NE06"/>
    <s v="PowerEdge After Hours US"/>
    <x v="0"/>
    <m/>
    <x v="0"/>
    <x v="0"/>
    <m/>
    <x v="0"/>
  </r>
  <r>
    <s v="NE07"/>
    <s v="Networking Basic US"/>
    <x v="0"/>
    <m/>
    <x v="0"/>
    <x v="0"/>
    <m/>
    <x v="0"/>
  </r>
  <r>
    <s v="NE08"/>
    <s v="NA Server Basic Chat (BNG)"/>
    <x v="0"/>
    <m/>
    <x v="0"/>
    <x v="0"/>
    <m/>
    <x v="0"/>
  </r>
  <r>
    <s v="NE09"/>
    <s v="NA Server Basic (BNG)"/>
    <x v="0"/>
    <m/>
    <x v="0"/>
    <x v="0"/>
    <m/>
    <x v="0"/>
  </r>
  <r>
    <s v="NE13"/>
    <s v="PowerEdge Alternate Channel US"/>
    <x v="0"/>
    <m/>
    <x v="0"/>
    <x v="0"/>
    <m/>
    <x v="0"/>
  </r>
  <r>
    <s v="NE14"/>
    <s v="Compellent Copilot US"/>
    <x v="0"/>
    <m/>
    <x v="0"/>
    <x v="0"/>
    <m/>
    <x v="0"/>
  </r>
  <r>
    <s v="NE20"/>
    <s v="Networking ProSupport US"/>
    <x v="0"/>
    <m/>
    <x v="0"/>
    <x v="0"/>
    <m/>
    <x v="0"/>
  </r>
  <r>
    <s v="NE21"/>
    <s v="Server eSupport Case Director US"/>
    <x v="0"/>
    <m/>
    <x v="0"/>
    <x v="0"/>
    <m/>
    <x v="0"/>
  </r>
  <r>
    <s v="NE25"/>
    <s v="Server ProSupport Chat US"/>
    <x v="0"/>
    <m/>
    <x v="0"/>
    <x v="0"/>
    <m/>
    <x v="0"/>
  </r>
  <r>
    <s v="NE27"/>
    <s v="NA ProSupp Storage eSupport"/>
    <x v="0"/>
    <m/>
    <x v="0"/>
    <x v="0"/>
    <m/>
    <x v="0"/>
  </r>
  <r>
    <s v="NE29"/>
    <s v="Proactive Systems Maintenance NA"/>
    <x v="0"/>
    <m/>
    <x v="0"/>
    <x v="0"/>
    <m/>
    <x v="0"/>
  </r>
  <r>
    <s v="NE31"/>
    <s v="Flex US"/>
    <x v="0"/>
    <m/>
    <x v="0"/>
    <x v="0"/>
    <m/>
    <x v="0"/>
  </r>
  <r>
    <s v="NE33"/>
    <s v="Modular US"/>
    <x v="0"/>
    <m/>
    <x v="0"/>
    <x v="0"/>
    <m/>
    <x v="0"/>
  </r>
  <r>
    <s v="NE35"/>
    <s v="RT Linux / Virtualization US"/>
    <x v="0"/>
    <m/>
    <x v="0"/>
    <x v="0"/>
    <m/>
    <x v="0"/>
  </r>
  <r>
    <s v="NE36"/>
    <s v="RT Microsoft US"/>
    <x v="0"/>
    <m/>
    <x v="0"/>
    <x v="0"/>
    <m/>
    <x v="0"/>
  </r>
  <r>
    <s v="NF01"/>
    <s v="APJ Manager"/>
    <x v="0"/>
    <m/>
    <x v="0"/>
    <x v="0"/>
    <m/>
    <x v="0"/>
  </r>
  <r>
    <s v="NF02"/>
    <s v="APJ Non-Frontline"/>
    <x v="1"/>
    <m/>
    <x v="0"/>
    <x v="0"/>
    <m/>
    <x v="0"/>
  </r>
  <r>
    <s v="NF03"/>
    <s v="APJ NR-FLS"/>
    <x v="1"/>
    <m/>
    <x v="0"/>
    <x v="0"/>
    <m/>
    <x v="0"/>
  </r>
  <r>
    <s v="NF04"/>
    <s v="APJ Quality Coach"/>
    <x v="0"/>
    <m/>
    <x v="0"/>
    <x v="0"/>
    <m/>
    <x v="0"/>
  </r>
  <r>
    <s v="NF09"/>
    <s v="DPD/UDS Manager"/>
    <x v="6"/>
    <s v="DPD"/>
    <x v="0"/>
    <x v="0"/>
    <m/>
    <x v="0"/>
  </r>
  <r>
    <s v="NF10"/>
    <s v="DPD/UDS Non-Frontline"/>
    <x v="6"/>
    <s v="DPD"/>
    <x v="0"/>
    <x v="0"/>
    <m/>
    <x v="0"/>
  </r>
  <r>
    <s v="NF11"/>
    <s v="DPD/UDS NR-FLS"/>
    <x v="6"/>
    <s v="DPD"/>
    <x v="0"/>
    <x v="0"/>
    <m/>
    <x v="0"/>
  </r>
  <r>
    <s v="NF12"/>
    <s v="DPD/UDS Quality Coach"/>
    <x v="6"/>
    <s v="DPD"/>
    <x v="0"/>
    <x v="0"/>
    <m/>
    <x v="0"/>
  </r>
  <r>
    <s v="NF13"/>
    <s v="DPD/UDS Technical Lead"/>
    <x v="6"/>
    <s v="DPD"/>
    <x v="0"/>
    <x v="0"/>
    <m/>
    <x v="0"/>
  </r>
  <r>
    <s v="NF14"/>
    <s v="EMEA Manager"/>
    <x v="0"/>
    <m/>
    <x v="0"/>
    <x v="0"/>
    <m/>
    <x v="0"/>
  </r>
  <r>
    <s v="NF16"/>
    <s v="EMEA NR-FLS"/>
    <x v="0"/>
    <m/>
    <x v="0"/>
    <x v="0"/>
    <m/>
    <x v="0"/>
  </r>
  <r>
    <s v="NF17"/>
    <s v="EMEA Quality Coach"/>
    <x v="0"/>
    <m/>
    <x v="0"/>
    <x v="0"/>
    <m/>
    <x v="0"/>
  </r>
  <r>
    <s v="NF18"/>
    <s v="GNCS Manager"/>
    <x v="0"/>
    <m/>
    <x v="0"/>
    <x v="0"/>
    <m/>
    <x v="0"/>
  </r>
  <r>
    <s v="NF19"/>
    <s v="GNCS Non-Frontline"/>
    <x v="0"/>
    <m/>
    <x v="0"/>
    <x v="0"/>
    <m/>
    <x v="0"/>
  </r>
  <r>
    <s v="NF20"/>
    <s v="HCS NR-FLS"/>
    <x v="2"/>
    <s v="GNCS"/>
    <x v="0"/>
    <x v="0"/>
    <m/>
    <x v="0"/>
  </r>
  <r>
    <s v="NF20"/>
    <s v="HCS NR-FLS"/>
    <x v="2"/>
    <s v="GNCS"/>
    <x v="0"/>
    <x v="0"/>
    <m/>
    <x v="0"/>
  </r>
  <r>
    <s v="NF21"/>
    <s v="GNCS Technical Lead"/>
    <x v="0"/>
    <m/>
    <x v="0"/>
    <x v="0"/>
    <m/>
    <x v="0"/>
  </r>
  <r>
    <s v="NF22"/>
    <s v="HES Manager"/>
    <x v="0"/>
    <m/>
    <x v="0"/>
    <x v="0"/>
    <m/>
    <x v="0"/>
  </r>
  <r>
    <s v="NF23"/>
    <s v="HES Non-Frontline"/>
    <x v="2"/>
    <s v="GNCS"/>
    <x v="0"/>
    <x v="0"/>
    <m/>
    <x v="0"/>
  </r>
  <r>
    <s v="NF24"/>
    <s v="HES NR-FLS"/>
    <x v="0"/>
    <m/>
    <x v="0"/>
    <x v="0"/>
    <m/>
    <x v="0"/>
  </r>
  <r>
    <s v="NF25"/>
    <s v="HES Quality Coach"/>
    <x v="0"/>
    <m/>
    <x v="0"/>
    <x v="0"/>
    <m/>
    <x v="0"/>
  </r>
  <r>
    <s v="NF26"/>
    <s v="HES Technical Lead"/>
    <x v="0"/>
    <m/>
    <x v="0"/>
    <x v="0"/>
    <m/>
    <x v="0"/>
  </r>
  <r>
    <s v="NF27"/>
    <s v="LATAM Manager"/>
    <x v="0"/>
    <m/>
    <x v="0"/>
    <x v="0"/>
    <m/>
    <x v="0"/>
  </r>
  <r>
    <s v="NF28"/>
    <s v="LATAM Non-Frontline"/>
    <x v="3"/>
    <m/>
    <x v="0"/>
    <x v="0"/>
    <m/>
    <x v="0"/>
  </r>
  <r>
    <s v="NF29"/>
    <s v="LATAM NR-FLS"/>
    <x v="3"/>
    <m/>
    <x v="0"/>
    <x v="0"/>
    <m/>
    <x v="0"/>
  </r>
  <r>
    <s v="NF30"/>
    <s v="LATAM Quality Coach"/>
    <x v="0"/>
    <m/>
    <x v="0"/>
    <x v="0"/>
    <m/>
    <x v="0"/>
  </r>
  <r>
    <s v="NF31"/>
    <s v="NAMER Manager"/>
    <x v="0"/>
    <m/>
    <x v="0"/>
    <x v="0"/>
    <m/>
    <x v="0"/>
  </r>
  <r>
    <s v="NF32"/>
    <s v="NAMER Non-Frontline"/>
    <x v="0"/>
    <m/>
    <x v="0"/>
    <x v="0"/>
    <m/>
    <x v="0"/>
  </r>
  <r>
    <s v="NF33"/>
    <s v="NAMER NR-FLS"/>
    <x v="0"/>
    <m/>
    <x v="0"/>
    <x v="0"/>
    <m/>
    <x v="0"/>
  </r>
  <r>
    <s v="NF34"/>
    <s v="NAMER Quality Coach"/>
    <x v="0"/>
    <m/>
    <x v="0"/>
    <x v="0"/>
    <m/>
    <x v="0"/>
  </r>
  <r>
    <s v="NF35"/>
    <s v="NAMER Technical Lead"/>
    <x v="0"/>
    <m/>
    <x v="0"/>
    <x v="0"/>
    <m/>
    <x v="0"/>
  </r>
  <r>
    <s v="NF36"/>
    <s v="Service Engineering Manager"/>
    <x v="0"/>
    <m/>
    <x v="0"/>
    <x v="0"/>
    <m/>
    <x v="0"/>
  </r>
  <r>
    <s v="NF37"/>
    <s v="Service Engineering Non-Frontline"/>
    <x v="0"/>
    <m/>
    <x v="0"/>
    <x v="0"/>
    <m/>
    <x v="0"/>
  </r>
  <r>
    <s v="NF40"/>
    <s v="Service Engineering Technical Lead"/>
    <x v="0"/>
    <m/>
    <x v="0"/>
    <x v="0"/>
    <m/>
    <x v="0"/>
  </r>
  <r>
    <s v="NF41"/>
    <s v="SSO Manager"/>
    <x v="0"/>
    <m/>
    <x v="0"/>
    <x v="0"/>
    <m/>
    <x v="0"/>
  </r>
  <r>
    <s v="NF42"/>
    <s v="SSO Non-Frontline"/>
    <x v="0"/>
    <m/>
    <x v="0"/>
    <x v="0"/>
    <m/>
    <x v="0"/>
  </r>
  <r>
    <s v="NF43"/>
    <s v="SSO NR-FLS"/>
    <x v="0"/>
    <m/>
    <x v="0"/>
    <x v="0"/>
    <m/>
    <x v="0"/>
  </r>
  <r>
    <s v="NF44"/>
    <s v="SSO Quality Coach"/>
    <x v="0"/>
    <m/>
    <x v="0"/>
    <x v="0"/>
    <m/>
    <x v="0"/>
  </r>
  <r>
    <s v="NF46"/>
    <s v="WHITLOW ELT"/>
    <x v="0"/>
    <m/>
    <x v="0"/>
    <x v="0"/>
    <m/>
    <x v="0"/>
  </r>
  <r>
    <s v="NF47"/>
    <s v="SSO WFM"/>
    <x v="0"/>
    <m/>
    <x v="0"/>
    <x v="0"/>
    <m/>
    <x v="0"/>
  </r>
  <r>
    <s v="NF49"/>
    <s v="RM NR-FLS"/>
    <x v="1"/>
    <m/>
    <x v="0"/>
    <x v="0"/>
    <m/>
    <x v="0"/>
  </r>
  <r>
    <s v="NF50"/>
    <s v="Service Engineering WFM"/>
    <x v="0"/>
    <m/>
    <x v="0"/>
    <x v="0"/>
    <m/>
    <x v="0"/>
  </r>
  <r>
    <s v="Not Assigned"/>
    <s v="Not Assigned"/>
    <x v="1"/>
    <m/>
    <x v="0"/>
    <x v="0"/>
    <m/>
    <x v="0"/>
  </r>
  <r>
    <s v="PF01"/>
    <s v="PS One Field Consultant"/>
    <x v="0"/>
    <m/>
    <x v="0"/>
    <x v="0"/>
    <m/>
    <x v="0"/>
  </r>
  <r>
    <s v="PG01"/>
    <s v="POR ProSupp Server (MTP)"/>
    <x v="0"/>
    <m/>
    <x v="0"/>
    <x v="0"/>
    <m/>
    <x v="0"/>
  </r>
  <r>
    <s v="PH08"/>
    <s v="Enterprise Pro/Core PH"/>
    <x v="0"/>
    <m/>
    <x v="0"/>
    <x v="0"/>
    <m/>
    <x v="0"/>
  </r>
  <r>
    <s v="PS10"/>
    <s v="Powerstore US"/>
    <x v="5"/>
    <m/>
    <x v="0"/>
    <x v="0"/>
    <m/>
    <x v="0"/>
  </r>
  <r>
    <s v="RAH1"/>
    <s v="ROLA Enterprise AH"/>
    <x v="3"/>
    <m/>
    <x v="0"/>
    <x v="0"/>
    <m/>
    <x v="0"/>
  </r>
  <r>
    <s v="RE03"/>
    <s v="APJ Support Resolution Team"/>
    <x v="0"/>
    <m/>
    <x v="0"/>
    <x v="0"/>
    <m/>
    <x v="0"/>
  </r>
  <r>
    <s v="RL05"/>
    <s v="Storage ROLA"/>
    <x v="0"/>
    <m/>
    <x v="0"/>
    <x v="0"/>
    <m/>
    <x v="0"/>
  </r>
  <r>
    <s v="RL09"/>
    <s v="Server ProSupport ROLA"/>
    <x v="0"/>
    <m/>
    <x v="0"/>
    <x v="0"/>
    <m/>
    <x v="0"/>
  </r>
  <r>
    <s v="RL10"/>
    <s v="Triage Enterprise Support Panama"/>
    <x v="0"/>
    <m/>
    <x v="0"/>
    <x v="0"/>
    <m/>
    <x v="0"/>
  </r>
  <r>
    <s v="RL12"/>
    <s v="RM ROLA"/>
    <x v="0"/>
    <m/>
    <x v="0"/>
    <x v="0"/>
    <m/>
    <x v="0"/>
  </r>
  <r>
    <s v="RL14"/>
    <s v="MMCLA Midrange Storage VNX/e"/>
    <x v="0"/>
    <m/>
    <x v="0"/>
    <x v="0"/>
    <m/>
    <x v="0"/>
  </r>
  <r>
    <s v="RL16"/>
    <s v="Networking ProSupport ROLA"/>
    <x v="0"/>
    <m/>
    <x v="0"/>
    <x v="0"/>
    <m/>
    <x v="0"/>
  </r>
  <r>
    <s v="RL18"/>
    <s v="MMCLA LC Server Voice (PAN)"/>
    <x v="0"/>
    <m/>
    <x v="0"/>
    <x v="0"/>
    <m/>
    <x v="0"/>
  </r>
  <r>
    <s v="RL19"/>
    <s v="MMCLA HC Server Voice (PAN)"/>
    <x v="0"/>
    <m/>
    <x v="0"/>
    <x v="0"/>
    <m/>
    <x v="0"/>
  </r>
  <r>
    <s v="RM02"/>
    <s v="RM NA Enterprise"/>
    <x v="0"/>
    <m/>
    <x v="0"/>
    <x v="0"/>
    <m/>
    <x v="0"/>
  </r>
  <r>
    <s v="ROEN"/>
    <s v="ROE Networking (MULTI)"/>
    <x v="0"/>
    <m/>
    <x v="0"/>
    <x v="0"/>
    <m/>
    <x v="0"/>
  </r>
  <r>
    <s v="RP01"/>
    <s v="RPS Manager"/>
    <x v="2"/>
    <s v="GNCS"/>
    <x v="0"/>
    <x v="0"/>
    <m/>
    <x v="0"/>
  </r>
  <r>
    <s v="RP01"/>
    <s v="RPS Manager"/>
    <x v="2"/>
    <s v="GNCS"/>
    <x v="0"/>
    <x v="0"/>
    <m/>
    <x v="0"/>
  </r>
  <r>
    <s v="RP02"/>
    <s v="RPS WFM"/>
    <x v="2"/>
    <s v="GNCS"/>
    <x v="0"/>
    <x v="0"/>
    <m/>
    <x v="0"/>
  </r>
  <r>
    <s v="RP03"/>
    <s v="RPS Non-Frontline"/>
    <x v="2"/>
    <s v="GNCS"/>
    <x v="0"/>
    <x v="0"/>
    <m/>
    <x v="0"/>
  </r>
  <r>
    <s v="RPS1"/>
    <s v="MMCLA Powerstore"/>
    <x v="3"/>
    <m/>
    <x v="0"/>
    <x v="0"/>
    <m/>
    <x v="0"/>
  </r>
  <r>
    <s v="RR02"/>
    <s v="ROLA Senior and Master Engineer"/>
    <x v="0"/>
    <m/>
    <x v="0"/>
    <x v="0"/>
    <m/>
    <x v="0"/>
  </r>
  <r>
    <s v="RR03"/>
    <s v="Support Ops ROLA"/>
    <x v="3"/>
    <m/>
    <x v="0"/>
    <x v="0"/>
    <m/>
    <x v="0"/>
  </r>
  <r>
    <s v="RTC1"/>
    <s v="ROLA Enterprise Top Customers"/>
    <x v="3"/>
    <m/>
    <x v="0"/>
    <x v="0"/>
    <m/>
    <x v="0"/>
  </r>
  <r>
    <s v="SA10"/>
    <s v="Enterprise SA"/>
    <x v="0"/>
    <m/>
    <x v="0"/>
    <x v="0"/>
    <m/>
    <x v="0"/>
  </r>
  <r>
    <s v="SE02"/>
    <s v="Enterprise SA Email"/>
    <x v="0"/>
    <m/>
    <x v="0"/>
    <x v="0"/>
    <m/>
    <x v="0"/>
  </r>
  <r>
    <s v="SMP1"/>
    <s v="SMPE English Storage SC"/>
    <x v="0"/>
    <m/>
    <x v="0"/>
    <x v="0"/>
    <m/>
    <x v="0"/>
  </r>
  <r>
    <s v="SMP2"/>
    <s v="SMPE English Storage MD"/>
    <x v="0"/>
    <m/>
    <x v="0"/>
    <x v="0"/>
    <m/>
    <x v="0"/>
  </r>
  <r>
    <s v="SMP3"/>
    <s v="SMPE English Networking"/>
    <x v="0"/>
    <m/>
    <x v="0"/>
    <x v="0"/>
    <m/>
    <x v="0"/>
  </r>
  <r>
    <s v="SMP4"/>
    <s v="SMPE English Server"/>
    <x v="0"/>
    <m/>
    <x v="0"/>
    <x v="0"/>
    <m/>
    <x v="0"/>
  </r>
  <r>
    <s v="SMP5"/>
    <s v="SMPE English Storage PS"/>
    <x v="0"/>
    <m/>
    <x v="0"/>
    <x v="0"/>
    <m/>
    <x v="0"/>
  </r>
  <r>
    <s v="SMP6"/>
    <s v="SMPE English LVTS"/>
    <x v="0"/>
    <m/>
    <x v="0"/>
    <x v="0"/>
    <m/>
    <x v="0"/>
  </r>
  <r>
    <s v="SMP7"/>
    <s v="SMPE English Nutanix"/>
    <x v="0"/>
    <m/>
    <x v="0"/>
    <x v="0"/>
    <m/>
    <x v="0"/>
  </r>
  <r>
    <s v="SMP8"/>
    <s v="SMPE English Microsoft"/>
    <x v="0"/>
    <m/>
    <x v="0"/>
    <x v="0"/>
    <m/>
    <x v="0"/>
  </r>
  <r>
    <s v="SP04"/>
    <s v="SPA Basic Enterprise (CAS)"/>
    <x v="0"/>
    <m/>
    <x v="0"/>
    <x v="0"/>
    <m/>
    <x v="0"/>
  </r>
  <r>
    <s v="SP09"/>
    <s v="SPA ProSupp Server (MTP)"/>
    <x v="0"/>
    <m/>
    <x v="0"/>
    <x v="0"/>
    <m/>
    <x v="0"/>
  </r>
  <r>
    <s v="SY01"/>
    <s v="Skytech Enterprise SA"/>
    <x v="1"/>
    <m/>
    <x v="0"/>
    <x v="0"/>
    <m/>
    <x v="0"/>
  </r>
  <r>
    <s v="TH04"/>
    <s v="Client Prosupport TH (CTX)"/>
    <x v="4"/>
    <m/>
    <x v="0"/>
    <x v="0"/>
    <m/>
    <x v="0"/>
  </r>
  <r>
    <s v="TH07"/>
    <s v="Enterprise Pro/Core TH"/>
    <x v="0"/>
    <m/>
    <x v="0"/>
    <x v="0"/>
    <m/>
    <x v="0"/>
  </r>
  <r>
    <s v="UK03"/>
    <s v="BLR Ent Basic (Alternate)"/>
    <x v="0"/>
    <m/>
    <x v="0"/>
    <x v="0"/>
    <m/>
    <x v="0"/>
  </r>
  <r>
    <s v="UPP1"/>
    <s v="ENG ProSupport Plus Server"/>
    <x v="1"/>
    <m/>
    <x v="0"/>
    <x v="0"/>
    <m/>
    <x v="0"/>
  </r>
  <r>
    <s v="VN02"/>
    <s v="Client Prosupport VN (CTX)"/>
    <x v="4"/>
    <m/>
    <x v="0"/>
    <x v="0"/>
    <m/>
    <x v="0"/>
  </r>
  <r>
    <s v="VN03"/>
    <s v="Enterprise Pro/Core VN"/>
    <x v="0"/>
    <m/>
    <x v="0"/>
    <x v="0"/>
    <m/>
    <x v="0"/>
  </r>
  <r>
    <s v="VX01"/>
    <s v="NA Midrange Storage VNX/e"/>
    <x v="0"/>
    <m/>
    <x v="32"/>
    <x v="1"/>
    <s v="0"/>
    <x v="5"/>
  </r>
  <r>
    <s v="VX02"/>
    <s v="NA VX Rail Storage"/>
    <x v="0"/>
    <m/>
    <x v="30"/>
    <x v="1"/>
    <s v="0"/>
    <x v="5"/>
  </r>
  <r>
    <s v="VX03"/>
    <s v="VXRail"/>
    <x v="0"/>
    <m/>
    <x v="5"/>
    <x v="1"/>
    <s v="0"/>
    <x v="5"/>
  </r>
  <r>
    <s v="VX04"/>
    <s v="Midrange Storage VNX/e"/>
    <x v="0"/>
    <m/>
    <x v="32"/>
    <x v="1"/>
    <s v="0"/>
    <x v="5"/>
  </r>
  <r>
    <s v="WM01"/>
    <s v="Workflow Management"/>
    <x v="0"/>
    <m/>
    <x v="0"/>
    <x v="0"/>
    <m/>
    <x v="0"/>
  </r>
  <r>
    <s v="WM02"/>
    <s v="NAMER WFM"/>
    <x v="0"/>
    <m/>
    <x v="0"/>
    <x v="0"/>
    <m/>
    <x v="5"/>
  </r>
  <r>
    <s v="WM03"/>
    <s v="EMEA WFM"/>
    <x v="0"/>
    <m/>
    <x v="0"/>
    <x v="0"/>
    <m/>
    <x v="4"/>
  </r>
  <r>
    <s v="WM04"/>
    <s v="LATAM WFM"/>
    <x v="0"/>
    <m/>
    <x v="0"/>
    <x v="0"/>
    <m/>
    <x v="0"/>
  </r>
  <r>
    <s v="WM05"/>
    <s v="APJ WFM"/>
    <x v="0"/>
    <m/>
    <x v="0"/>
    <x v="0"/>
    <m/>
    <x v="0"/>
  </r>
  <r>
    <s v="WP01"/>
    <s v="GLOBAL HES Wipro"/>
    <x v="0"/>
    <m/>
    <x v="29"/>
    <x v="1"/>
    <s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">
  <r>
    <x v="0"/>
    <x v="0"/>
    <s v="No Assigned L6"/>
    <x v="0"/>
    <x v="0"/>
    <x v="0"/>
    <n v="0"/>
    <s v="NAMER"/>
    <s v="United States"/>
    <n v="0.64800000000000002"/>
    <n v="1.621972640860141E-2"/>
    <m/>
    <s v="12/7"/>
    <m/>
    <s v="AM02-Enterprise Support Services US"/>
    <s v=""/>
    <s v=""/>
    <n v="14"/>
    <m/>
    <s v="ESG"/>
    <m/>
    <n v="0"/>
    <m/>
    <m/>
  </r>
  <r>
    <x v="1"/>
    <x v="1"/>
    <s v="No Assigned L6"/>
    <x v="1"/>
    <x v="1"/>
    <x v="0"/>
    <n v="0"/>
    <s v="NAMER"/>
    <s v="United States"/>
    <n v="0.64800000000000002"/>
    <n v="1.621972640860141E-2"/>
    <m/>
    <s v="12/7"/>
    <m/>
    <s v="AM04-Networking ProSupport Analysts US"/>
    <s v=""/>
    <s v=""/>
    <n v="14"/>
    <m/>
    <s v="ESG"/>
    <m/>
    <n v="0"/>
    <m/>
    <m/>
  </r>
  <r>
    <x v="2"/>
    <x v="2"/>
    <s v="No Assigned L6"/>
    <x v="1"/>
    <x v="1"/>
    <x v="0"/>
    <n v="0"/>
    <s v="NAMER"/>
    <s v="United States"/>
    <n v="0.64800000000000002"/>
    <n v="1.621972640860141E-2"/>
    <m/>
    <s v="12/7"/>
    <m/>
    <s v="AM05-Networking ProSupport RTSE US"/>
    <s v=""/>
    <s v=""/>
    <n v="14"/>
    <m/>
    <s v="ESG"/>
    <m/>
    <n v="0"/>
    <m/>
    <m/>
  </r>
  <r>
    <x v="3"/>
    <x v="3"/>
    <s v="No Assigned L6"/>
    <x v="0"/>
    <x v="0"/>
    <x v="1"/>
    <n v="0"/>
    <s v="Americas"/>
    <s v="United States"/>
    <m/>
    <m/>
    <m/>
    <s v="12/7"/>
    <s v="Quality Coach"/>
    <s v="AM08-Quality Lead US"/>
    <s v=""/>
    <s v=""/>
    <n v="14"/>
    <m/>
    <m/>
    <m/>
    <n v="0"/>
    <m/>
    <m/>
  </r>
  <r>
    <x v="4"/>
    <x v="4"/>
    <s v="No Assigned L6"/>
    <x v="0"/>
    <x v="2"/>
    <x v="0"/>
    <n v="0"/>
    <s v="APJ"/>
    <s v="Australia"/>
    <n v="0.629"/>
    <n v="1.2017588546390416E-2"/>
    <m/>
    <s v="12/7"/>
    <m/>
    <s v="AN02-ANZ Midrange Storage VNX/e"/>
    <s v=""/>
    <s v=""/>
    <n v="14"/>
    <m/>
    <s v="HES"/>
    <n v="13"/>
    <n v="0"/>
    <m/>
    <m/>
  </r>
  <r>
    <x v="5"/>
    <x v="5"/>
    <s v="No Assigned L6"/>
    <x v="0"/>
    <x v="3"/>
    <x v="0"/>
    <n v="0"/>
    <s v="APJ"/>
    <s v="Australia"/>
    <m/>
    <n v="1.2017588546390416E-2"/>
    <m/>
    <s v="12/7"/>
    <m/>
    <s v="AN03-ANZ VX Rail Storage"/>
    <s v=""/>
    <s v=""/>
    <n v="14"/>
    <m/>
    <m/>
    <m/>
    <n v="0"/>
    <m/>
    <m/>
  </r>
  <r>
    <x v="6"/>
    <x v="6"/>
    <s v="No Assigned L6"/>
    <x v="2"/>
    <x v="4"/>
    <x v="0"/>
    <n v="0"/>
    <s v="APJ"/>
    <s v="India"/>
    <n v="0.629"/>
    <n v="1.2017588546390416E-2"/>
    <m/>
    <s v="12/7"/>
    <m/>
    <s v="AO06-APJ Upsell-Operations Multi"/>
    <s v=""/>
    <s v=""/>
    <n v="14"/>
    <m/>
    <s v="ESG"/>
    <m/>
    <n v="0"/>
    <m/>
    <m/>
  </r>
  <r>
    <x v="7"/>
    <x v="7"/>
    <s v="No Assigned L6"/>
    <x v="2"/>
    <x v="4"/>
    <x v="1"/>
    <n v="0"/>
    <s v="APJ"/>
    <s v="China"/>
    <m/>
    <m/>
    <m/>
    <s v="12/7"/>
    <m/>
    <s v="AO11-APJ Biz Ops"/>
    <s v=""/>
    <s v=""/>
    <n v="14"/>
    <m/>
    <m/>
    <m/>
    <n v="0"/>
    <m/>
    <m/>
  </r>
  <r>
    <x v="8"/>
    <x v="8"/>
    <s v="No Assigned L6"/>
    <x v="2"/>
    <x v="4"/>
    <x v="1"/>
    <n v="0"/>
    <s v="EMEA"/>
    <s v="United Kingdom"/>
    <m/>
    <m/>
    <m/>
    <s v="12/7"/>
    <m/>
    <s v="AO14-EMEA Biz Ops"/>
    <s v=""/>
    <s v=""/>
    <n v="14"/>
    <m/>
    <m/>
    <m/>
    <n v="0"/>
    <m/>
    <m/>
  </r>
  <r>
    <x v="9"/>
    <x v="9"/>
    <s v="Yap, Diane"/>
    <x v="3"/>
    <x v="5"/>
    <x v="0"/>
    <n v="0"/>
    <s v="APJ"/>
    <s v="China"/>
    <n v="0.629"/>
    <n v="1.2017588546390416E-2"/>
    <m/>
    <s v="9/7"/>
    <s v="L1"/>
    <s v="AP10-APJ UDS Isilon Chinese"/>
    <s v="Komal Chhabra"/>
    <s v="Chen Zhou"/>
    <n v="9"/>
    <n v="0.10573716024646343"/>
    <s v="HES"/>
    <n v="13"/>
    <n v="25"/>
    <m/>
    <m/>
  </r>
  <r>
    <x v="10"/>
    <x v="10"/>
    <s v="Yap, Diane"/>
    <x v="3"/>
    <x v="5"/>
    <x v="0"/>
    <n v="0"/>
    <s v="APJ"/>
    <s v="Japan"/>
    <n v="0.629"/>
    <n v="1.2017588546390416E-2"/>
    <m/>
    <s v="15/7, Oncall"/>
    <s v="L1"/>
    <s v="AP11-APJ UDS Isilon Japanese"/>
    <s v="Komal Chhabra"/>
    <s v="Chen Zhou"/>
    <n v="16"/>
    <n v="0.11535777538321647"/>
    <s v="HES"/>
    <n v="13"/>
    <n v="15"/>
    <m/>
    <m/>
  </r>
  <r>
    <x v="11"/>
    <x v="11"/>
    <s v="Yap, Diane"/>
    <x v="4"/>
    <x v="6"/>
    <x v="0"/>
    <n v="0"/>
    <s v="APJ"/>
    <s v="China"/>
    <n v="0.629"/>
    <n v="1.2017588546390416E-2"/>
    <m/>
    <s v="11/5, 8/2"/>
    <s v="L1"/>
    <s v="AP12-APJ DPD AVAMAR Chinese"/>
    <s v="Komal Chhabra"/>
    <s v="Chen Zhou"/>
    <n v="12"/>
    <n v="-1.1625495377365276E-2"/>
    <s v="HES"/>
    <n v="13"/>
    <n v="19"/>
    <m/>
    <m/>
  </r>
  <r>
    <x v="12"/>
    <x v="12"/>
    <s v="Yap, Diane"/>
    <x v="5"/>
    <x v="7"/>
    <x v="0"/>
    <n v="0"/>
    <s v="APJ"/>
    <s v="China"/>
    <n v="0.629"/>
    <n v="1.2017588546390416E-2"/>
    <m/>
    <s v="11/5, 8/1"/>
    <s v="L1"/>
    <s v="AP13-APJ HES Connectivity Chinese"/>
    <s v="Komal Chhabra"/>
    <s v="Chen Zhou"/>
    <n v="10"/>
    <n v="-3.7682694926878188E-2"/>
    <s v="HES"/>
    <n v="13"/>
    <n v="9"/>
    <m/>
    <m/>
  </r>
  <r>
    <x v="13"/>
    <x v="13"/>
    <s v="Yap, Diane"/>
    <x v="4"/>
    <x v="8"/>
    <x v="0"/>
    <n v="0"/>
    <s v="APJ"/>
    <s v="China"/>
    <n v="0.629"/>
    <n v="1.2017588546390416E-2"/>
    <m/>
    <s v="9/5, 6/2"/>
    <s v="L1"/>
    <s v="AP14-APJ DPD DataDomain Chinese"/>
    <s v="Komal Chhabra"/>
    <s v="Chen Zhou"/>
    <n v="7"/>
    <n v="6.6130857440120816E-2"/>
    <s v="HES"/>
    <n v="13"/>
    <n v="15"/>
    <m/>
    <m/>
  </r>
  <r>
    <x v="14"/>
    <x v="14"/>
    <s v="Yap, Diane"/>
    <x v="6"/>
    <x v="9"/>
    <x v="0"/>
    <n v="0"/>
    <s v="APJ"/>
    <s v="China"/>
    <n v="0.629"/>
    <n v="1.2017588546390416E-2"/>
    <m/>
    <s v="24/7"/>
    <s v="L1"/>
    <s v="AP15-HCS APJ VxRail Chinese"/>
    <s v="Komal Chhabra"/>
    <s v="Chen Zhou"/>
    <n v="24"/>
    <n v="0.57461075940129225"/>
    <s v="HES"/>
    <n v="13"/>
    <n v="41"/>
    <m/>
    <m/>
  </r>
  <r>
    <x v="15"/>
    <x v="15"/>
    <s v="Yap, Diane"/>
    <x v="6"/>
    <x v="9"/>
    <x v="0"/>
    <n v="0"/>
    <s v="APJ"/>
    <s v="Japan"/>
    <n v="0.629"/>
    <n v="1.2017588546390416E-2"/>
    <m/>
    <s v="24/7"/>
    <s v="L1"/>
    <s v="AP16-HCS APJ VxRail Japanese"/>
    <s v="Komal Chhabra"/>
    <s v="Chen Zhou"/>
    <n v="24"/>
    <n v="-0.11531455035798312"/>
    <s v="HES"/>
    <n v="13"/>
    <n v="21"/>
    <m/>
    <m/>
  </r>
  <r>
    <x v="16"/>
    <x v="16"/>
    <s v="Yap, Diane"/>
    <x v="5"/>
    <x v="10"/>
    <x v="0"/>
    <n v="0"/>
    <s v="APJ"/>
    <s v="China"/>
    <n v="0.629"/>
    <n v="1.2017588546390416E-2"/>
    <m/>
    <s v="12/5, 8/2"/>
    <s v="L1"/>
    <s v="AP17-APJ HES Integrated_Software Chinese"/>
    <s v="Komal Chhabra"/>
    <s v="Chen Zhou"/>
    <n v="9"/>
    <n v="0.12962256403207784"/>
    <s v="HES"/>
    <n v="13"/>
    <n v="5"/>
    <m/>
    <m/>
  </r>
  <r>
    <x v="17"/>
    <x v="17"/>
    <s v="Yap, Diane"/>
    <x v="4"/>
    <x v="11"/>
    <x v="0"/>
    <n v="0"/>
    <s v="APJ"/>
    <s v="China"/>
    <n v="0.629"/>
    <n v="1.2017588546390416E-2"/>
    <m/>
    <s v="9/5, 6/2"/>
    <s v="L1"/>
    <s v="AP18-APJ DPD Networker Chinese"/>
    <s v="Komal Chhabra"/>
    <s v="Chen Zhou"/>
    <n v="7"/>
    <n v="-6.0710048114564055E-2"/>
    <s v="HES"/>
    <n v="13"/>
    <n v="15"/>
    <m/>
    <m/>
  </r>
  <r>
    <x v="18"/>
    <x v="18"/>
    <s v="Yap, Diane"/>
    <x v="5"/>
    <x v="12"/>
    <x v="0"/>
    <n v="0"/>
    <s v="APJ"/>
    <s v="China"/>
    <n v="0.629"/>
    <n v="1.2017588546390416E-2"/>
    <m/>
    <s v="11/7"/>
    <s v="L1"/>
    <s v="AP19-APJ HES Symmetrix Chinese"/>
    <s v="Komal Chhabra"/>
    <s v="Chen Zhou"/>
    <n v="12"/>
    <n v="1.5705469151656191E-2"/>
    <s v="HES"/>
    <n v="13"/>
    <n v="15"/>
    <m/>
    <m/>
  </r>
  <r>
    <x v="19"/>
    <x v="19"/>
    <s v="Yap, Diane"/>
    <x v="5"/>
    <x v="12"/>
    <x v="0"/>
    <n v="0"/>
    <s v="APJ"/>
    <s v="Japan"/>
    <n v="0.629"/>
    <n v="1.2017588546390416E-2"/>
    <m/>
    <s v="8/7"/>
    <s v="L1"/>
    <s v="AP20-APJ HES Symmetrix Japanese"/>
    <s v="Komal Chhabra"/>
    <s v="Chen Zhou"/>
    <n v="9"/>
    <n v="-1.1333414205080833E-2"/>
    <s v="HES"/>
    <n v="13"/>
    <n v="9"/>
    <m/>
    <m/>
  </r>
  <r>
    <x v="20"/>
    <x v="20"/>
    <s v="Yap, Diane"/>
    <x v="5"/>
    <x v="13"/>
    <x v="0"/>
    <n v="0"/>
    <s v="APJ"/>
    <s v="China"/>
    <n v="0.629"/>
    <n v="1.2017588546390416E-2"/>
    <m/>
    <s v="8/7"/>
    <s v="L1"/>
    <s v="AP21-APJ HES SymmSW Chinese"/>
    <s v="Komal Chhabra"/>
    <s v="Chen Zhou"/>
    <n v="7"/>
    <n v="-6.9868576186458337E-2"/>
    <s v="HES"/>
    <n v="13"/>
    <n v="5"/>
    <m/>
    <m/>
  </r>
  <r>
    <x v="21"/>
    <x v="21"/>
    <s v="Yap, Diane"/>
    <x v="7"/>
    <x v="2"/>
    <x v="0"/>
    <n v="0"/>
    <s v="APJ"/>
    <s v="China"/>
    <n v="0.629"/>
    <n v="1.2017588546390416E-2"/>
    <m/>
    <s v="24/7"/>
    <s v="L1"/>
    <s v="AP22-APJ HES MIDRANGE Chinese"/>
    <s v="Komal Chhabra"/>
    <s v="Chen Zhou"/>
    <n v="24"/>
    <n v="3.4360450073775098E-2"/>
    <s v="HES"/>
    <n v="13"/>
    <n v="38"/>
    <m/>
    <m/>
  </r>
  <r>
    <x v="22"/>
    <x v="22"/>
    <s v="Yap, Diane"/>
    <x v="7"/>
    <x v="2"/>
    <x v="0"/>
    <n v="0"/>
    <s v="APJ"/>
    <s v="Japan"/>
    <n v="0.629"/>
    <n v="1.2017588546390416E-2"/>
    <m/>
    <s v="24/7"/>
    <s v="L1"/>
    <s v="AP23-APJ HES MIDRANGE Japanese"/>
    <s v="Komal Chhabra"/>
    <s v="Chen Zhou"/>
    <n v="18"/>
    <n v="-6.4022179943573976E-3"/>
    <s v="HES"/>
    <n v="13"/>
    <n v="18"/>
    <m/>
    <m/>
  </r>
  <r>
    <x v="23"/>
    <x v="23"/>
    <s v="Yap, Diane"/>
    <x v="5"/>
    <x v="14"/>
    <x v="0"/>
    <n v="0"/>
    <s v="APJ"/>
    <s v="China"/>
    <n v="0.629"/>
    <n v="1.2017588546390416E-2"/>
    <m/>
    <s v="11/5, 8/2"/>
    <s v="L1"/>
    <s v="AP24-APJ HES Vplex Chinese"/>
    <s v="Komal Chhabra"/>
    <s v="Chen Zhou"/>
    <n v="12"/>
    <n v="-1.4690060941555893E-3"/>
    <s v="HES"/>
    <n v="13"/>
    <n v="8"/>
    <m/>
    <m/>
  </r>
  <r>
    <x v="24"/>
    <x v="24"/>
    <s v="No Assigned L6"/>
    <x v="4"/>
    <x v="15"/>
    <x v="1"/>
    <n v="0"/>
    <s v="APJ"/>
    <e v="#N/A"/>
    <m/>
    <m/>
    <m/>
    <s v="11/5, 8/2"/>
    <s v="L1"/>
    <s v="AP25-APJ DPD DP Solutions"/>
    <s v="Komal Chhabra"/>
    <s v="Chen Zhou"/>
    <n v="12"/>
    <m/>
    <m/>
    <m/>
    <n v="0"/>
    <m/>
    <m/>
  </r>
  <r>
    <x v="25"/>
    <x v="25"/>
    <s v="Yap, Diane"/>
    <x v="4"/>
    <x v="15"/>
    <x v="0"/>
    <n v="0"/>
    <s v="APJ"/>
    <s v="China"/>
    <n v="0.629"/>
    <n v="1.2017588546390416E-2"/>
    <m/>
    <s v="11/5, 8/2"/>
    <s v="L1"/>
    <s v="AP26-APJ DPD DPSolutions Chinese"/>
    <s v="Komal Chhabra"/>
    <s v="Chen Zhou"/>
    <n v="12"/>
    <n v="0.12586198433221038"/>
    <s v="HES"/>
    <n v="13"/>
    <n v="0"/>
    <m/>
    <m/>
  </r>
  <r>
    <x v="26"/>
    <x v="26"/>
    <s v="D'Arcy, Mark"/>
    <x v="6"/>
    <x v="16"/>
    <x v="0"/>
    <n v="0"/>
    <s v="Global"/>
    <s v="Global"/>
    <n v="0.63300000000000001"/>
    <n v="1.1420812115295354E-2"/>
    <m/>
    <s v="12/7"/>
    <s v="L1"/>
    <s v="AX01-HCS Global APEX"/>
    <s v="Komal Chhabra"/>
    <s v="Douglas Lumb"/>
    <n v="14"/>
    <n v="1.4596010438153988"/>
    <s v="HES"/>
    <n v="13"/>
    <n v="24"/>
    <m/>
    <m/>
  </r>
  <r>
    <x v="27"/>
    <x v="27"/>
    <s v="Yap, Diane"/>
    <x v="1"/>
    <x v="1"/>
    <x v="0"/>
    <n v="0"/>
    <s v="APJ"/>
    <s v="Australia"/>
    <n v="0.629"/>
    <n v="1.2017588546390416E-2"/>
    <m/>
    <s v="12/5"/>
    <s v="L1"/>
    <s v="AZ09-Networking ProSupport ANZ"/>
    <s v="Tiani Liang (Joey) "/>
    <s v="Chen Zhou"/>
    <n v="8"/>
    <m/>
    <s v="ESG"/>
    <m/>
    <n v="4"/>
    <m/>
    <n v="8"/>
  </r>
  <r>
    <x v="28"/>
    <x v="28"/>
    <s v="Yap, Diane"/>
    <x v="8"/>
    <x v="17"/>
    <x v="0"/>
    <n v="0"/>
    <s v="APJ"/>
    <s v="Australia"/>
    <n v="0.629"/>
    <n v="1.2017588546390416E-2"/>
    <m/>
    <s v="12/5"/>
    <s v="L1"/>
    <s v="AZ10-Server ProSupport ANZ"/>
    <s v="Tiani Liang (Joey) "/>
    <s v="Chen Zhou"/>
    <n v="8"/>
    <m/>
    <s v="ESG"/>
    <m/>
    <n v="11"/>
    <m/>
    <n v="8"/>
  </r>
  <r>
    <x v="29"/>
    <x v="29"/>
    <s v="Yap, Diane"/>
    <x v="9"/>
    <x v="18"/>
    <x v="0"/>
    <n v="0"/>
    <s v="APJ"/>
    <s v="Australia"/>
    <n v="0.629"/>
    <n v="1.2017588546390416E-2"/>
    <m/>
    <s v="12/5"/>
    <s v="L1"/>
    <s v="AZ11-Storage ProSupport ANZ"/>
    <s v="Tiani Liang (Joey) "/>
    <s v="Chen Zhou"/>
    <n v="8"/>
    <m/>
    <s v="ESG"/>
    <m/>
    <n v="7"/>
    <m/>
    <n v="8"/>
  </r>
  <r>
    <x v="30"/>
    <x v="30"/>
    <s v="No Assigned L6"/>
    <x v="0"/>
    <x v="19"/>
    <x v="1"/>
    <n v="0"/>
    <s v="APJ"/>
    <s v="Australia"/>
    <m/>
    <m/>
    <m/>
    <s v="12/7"/>
    <m/>
    <s v="AZ13-Client ProSupport ANZ"/>
    <s v=""/>
    <s v=""/>
    <n v="14"/>
    <m/>
    <m/>
    <m/>
    <n v="0"/>
    <m/>
    <m/>
  </r>
  <r>
    <x v="31"/>
    <x v="31"/>
    <s v="Yap, Diane"/>
    <x v="8"/>
    <x v="17"/>
    <x v="0"/>
    <n v="0"/>
    <s v="APJ"/>
    <s v="India"/>
    <n v="0.629"/>
    <n v="1.2017588546390416E-2"/>
    <m/>
    <s v="12/5"/>
    <s v="L1"/>
    <s v="AZ16-Enterprise ANZ AOH"/>
    <s v="Tiani Liang (Joey) "/>
    <s v="Chen Zhou"/>
    <n v="8"/>
    <m/>
    <s v="ESG"/>
    <m/>
    <n v="19"/>
    <m/>
    <n v="8"/>
  </r>
  <r>
    <x v="32"/>
    <x v="32"/>
    <s v="Paris, Claudia"/>
    <x v="8"/>
    <x v="17"/>
    <x v="0"/>
    <n v="0"/>
    <s v="LATAM"/>
    <s v="Brazil"/>
    <n v="0.57099999999999995"/>
    <n v="1.0983368455756886E-2"/>
    <m/>
    <s v="12/5"/>
    <s v="L1"/>
    <s v="BAH1-Brazil Enterprise AH"/>
    <s v="Prachi Gupta"/>
    <s v="Darrick Nelsen"/>
    <n v="8"/>
    <m/>
    <s v="ESG"/>
    <m/>
    <n v="8"/>
    <m/>
    <n v="8"/>
  </r>
  <r>
    <x v="33"/>
    <x v="33"/>
    <s v="Paris, Claudia"/>
    <x v="9"/>
    <x v="18"/>
    <x v="0"/>
    <n v="0"/>
    <s v="LATAM"/>
    <s v="Brazil"/>
    <n v="0.57099999999999995"/>
    <n v="1.0983368455756886E-2"/>
    <m/>
    <s v="12/5"/>
    <s v="L1"/>
    <s v="BPS1-Brazil Powerstore"/>
    <s v="Prachi Gupta"/>
    <s v="Darrick Nelsen"/>
    <n v="8"/>
    <m/>
    <s v="ESG"/>
    <m/>
    <n v="7"/>
    <m/>
    <n v="8"/>
  </r>
  <r>
    <x v="34"/>
    <x v="34"/>
    <s v="No Assigned L6"/>
    <x v="8"/>
    <x v="0"/>
    <x v="0"/>
    <n v="0"/>
    <s v="LATAM"/>
    <s v="Brazil"/>
    <n v="0.57099999999999995"/>
    <n v="1.0983368455756886E-2"/>
    <m/>
    <s v="12/7"/>
    <m/>
    <s v="BR02-Brazil Senior and Master Engineer"/>
    <s v=""/>
    <s v=""/>
    <n v="14"/>
    <m/>
    <s v="ESG"/>
    <m/>
    <n v="0"/>
    <m/>
    <m/>
  </r>
  <r>
    <x v="35"/>
    <x v="35"/>
    <s v="Paris, Claudia"/>
    <x v="8"/>
    <x v="17"/>
    <x v="0"/>
    <n v="0"/>
    <s v="LATAM"/>
    <s v="Brazil"/>
    <n v="0.57099999999999995"/>
    <n v="1.0983368455756886E-2"/>
    <m/>
    <s v="12/5"/>
    <s v="L1"/>
    <s v="BT01-BRZ Enterprise Top Customers"/>
    <s v="Prachi Gupta"/>
    <s v="Darrick Nelsen"/>
    <n v="8"/>
    <m/>
    <s v="ESG"/>
    <m/>
    <n v="7"/>
    <m/>
    <n v="8"/>
  </r>
  <r>
    <x v="36"/>
    <x v="36"/>
    <s v="Yap, Diane"/>
    <x v="8"/>
    <x v="17"/>
    <x v="0"/>
    <n v="0"/>
    <s v="APJ"/>
    <s v="China"/>
    <n v="0.629"/>
    <n v="1.2017588546390416E-2"/>
    <m/>
    <s v="12/7"/>
    <m/>
    <s v="BW01-Enterprise Prosupport CCC BW"/>
    <m/>
    <s v="Chen Zhou"/>
    <n v="14"/>
    <m/>
    <s v="ESG"/>
    <m/>
    <n v="0"/>
    <m/>
    <m/>
  </r>
  <r>
    <x v="37"/>
    <x v="37"/>
    <s v="D'Arcy, Mark"/>
    <x v="8"/>
    <x v="17"/>
    <x v="0"/>
    <n v="0"/>
    <s v="EMEA"/>
    <s v="UKI"/>
    <n v="0.61699999999999999"/>
    <n v="2.0281420527295535E-2"/>
    <m/>
    <s v="10/5"/>
    <s v="L1"/>
    <s v="BX02-ENG ProSupp Dutch Server (CWD)"/>
    <s v="Vikesh Gupta"/>
    <s v="Douglas Lumb"/>
    <n v="7"/>
    <m/>
    <s v="ESG"/>
    <m/>
    <n v="16"/>
    <m/>
    <n v="7"/>
  </r>
  <r>
    <x v="38"/>
    <x v="38"/>
    <s v="Paris, Claudia"/>
    <x v="8"/>
    <x v="17"/>
    <x v="0"/>
    <n v="0"/>
    <s v="LATAM"/>
    <s v="Brazil"/>
    <n v="0.57099999999999995"/>
    <n v="1.0983368455756886E-2"/>
    <m/>
    <s v="12/5"/>
    <s v="L1"/>
    <s v="BZ10-BRZ HC Server Voice (EL)"/>
    <s v="Prachi Gupta"/>
    <s v="Darrick Nelsen"/>
    <n v="8"/>
    <m/>
    <s v="ESG"/>
    <m/>
    <n v="13"/>
    <m/>
    <n v="8"/>
  </r>
  <r>
    <x v="39"/>
    <x v="39"/>
    <s v="Paris, Claudia"/>
    <x v="9"/>
    <x v="18"/>
    <x v="0"/>
    <n v="0"/>
    <s v="LATAM"/>
    <s v="Brazil"/>
    <n v="0.57099999999999995"/>
    <n v="1.0983368455756886E-2"/>
    <m/>
    <s v="12/5"/>
    <s v="L1"/>
    <s v="BZ11-BRZ HC Storage Voice (EL)"/>
    <s v="Prachi Gupta"/>
    <s v="Darrick Nelsen"/>
    <n v="8"/>
    <m/>
    <s v="ESG"/>
    <m/>
    <n v="8"/>
    <m/>
    <n v="8"/>
  </r>
  <r>
    <x v="40"/>
    <x v="40"/>
    <s v="Paris, Claudia"/>
    <x v="8"/>
    <x v="17"/>
    <x v="0"/>
    <n v="0"/>
    <s v="LATAM"/>
    <s v="Brazil"/>
    <n v="0.57099999999999995"/>
    <n v="1.0983368455756886E-2"/>
    <m/>
    <s v="12/5"/>
    <s v="L1"/>
    <s v="BZ13-BRZ LC Server Voice (EL)"/>
    <s v="Prachi Gupta"/>
    <s v="Darrick Nelsen"/>
    <n v="8"/>
    <m/>
    <s v="ESG"/>
    <m/>
    <n v="21"/>
    <m/>
    <n v="8"/>
  </r>
  <r>
    <x v="41"/>
    <x v="41"/>
    <s v="Paris, Claudia"/>
    <x v="9"/>
    <x v="18"/>
    <x v="0"/>
    <n v="0"/>
    <s v="LATAM"/>
    <s v="Brazil"/>
    <n v="0.57099999999999995"/>
    <n v="1.0983368455756886E-2"/>
    <m/>
    <s v="12/5"/>
    <s v="L1"/>
    <s v="BZ14-BRZ LC Storage Voice (EL)"/>
    <s v="Prachi Gupta"/>
    <s v="Darrick Nelsen"/>
    <n v="8"/>
    <m/>
    <s v="ESG"/>
    <m/>
    <n v="7"/>
    <m/>
    <n v="8"/>
  </r>
  <r>
    <x v="42"/>
    <x v="42"/>
    <s v="Paris, Claudia"/>
    <x v="1"/>
    <x v="1"/>
    <x v="0"/>
    <n v="0"/>
    <s v="LATAM"/>
    <s v="Brazil"/>
    <n v="0.57099999999999995"/>
    <n v="1.0983368455756886E-2"/>
    <m/>
    <s v="10/5"/>
    <s v="L1"/>
    <s v="BZ15-Networking ProSupport BRZ"/>
    <s v="Prachi Gupta"/>
    <s v="Darrick Nelsen"/>
    <n v="7"/>
    <m/>
    <s v="ESG"/>
    <m/>
    <n v="8"/>
    <m/>
    <n v="7"/>
  </r>
  <r>
    <x v="43"/>
    <x v="43"/>
    <s v="No Assigned L6"/>
    <x v="0"/>
    <x v="17"/>
    <x v="1"/>
    <n v="0"/>
    <s v="Americas"/>
    <s v="Brazil"/>
    <m/>
    <m/>
    <m/>
    <s v="12/7"/>
    <m/>
    <s v="BZ19-Proactive Systems Maintenance BR"/>
    <s v=""/>
    <s v=""/>
    <n v="14"/>
    <m/>
    <m/>
    <m/>
    <n v="0"/>
    <m/>
    <m/>
  </r>
  <r>
    <x v="44"/>
    <x v="44"/>
    <s v="No Assigned L6"/>
    <x v="0"/>
    <x v="20"/>
    <x v="1"/>
    <n v="0"/>
    <m/>
    <m/>
    <m/>
    <m/>
    <m/>
    <s v="12/7"/>
    <m/>
    <s v="BZ20-"/>
    <s v=""/>
    <s v=""/>
    <n v="14"/>
    <m/>
    <m/>
    <m/>
    <n v="0"/>
    <m/>
    <m/>
  </r>
  <r>
    <x v="45"/>
    <x v="45"/>
    <s v="No Assigned L6"/>
    <x v="0"/>
    <x v="2"/>
    <x v="0"/>
    <n v="0"/>
    <s v="LATAM"/>
    <e v="#N/A"/>
    <n v="0.626"/>
    <n v="1.0983368455756886E-2"/>
    <m/>
    <e v="#N/A"/>
    <m/>
    <s v="BZ21-POR Midrange Storage VNX/e"/>
    <s v=""/>
    <s v=""/>
    <m/>
    <m/>
    <s v="HES"/>
    <n v="13"/>
    <n v="0"/>
    <m/>
    <m/>
  </r>
  <r>
    <x v="46"/>
    <x v="46"/>
    <s v="Paris, Claudia"/>
    <x v="6"/>
    <x v="9"/>
    <x v="0"/>
    <n v="0"/>
    <s v="LATAM"/>
    <s v="Brazil"/>
    <n v="0.57099999999999995"/>
    <n v="1.0983368455756886E-2"/>
    <m/>
    <n v="0"/>
    <s v="L1"/>
    <s v="BZ22-HCS LATAM BRZ VxRail"/>
    <s v="Komal Chhabra"/>
    <s v="Darrick Nelsen"/>
    <n v="0"/>
    <n v="-9.5030581447876489E-2"/>
    <s v="HES"/>
    <n v="13"/>
    <n v="17"/>
    <m/>
    <m/>
  </r>
  <r>
    <x v="47"/>
    <x v="47"/>
    <s v="No Assigned L6"/>
    <x v="0"/>
    <x v="19"/>
    <x v="1"/>
    <n v="0"/>
    <s v="APJ"/>
    <s v="China"/>
    <m/>
    <m/>
    <m/>
    <s v="12/7"/>
    <m/>
    <s v="CC03-Client ProSupport CCC BW"/>
    <s v=""/>
    <s v=""/>
    <n v="14"/>
    <m/>
    <m/>
    <m/>
    <n v="0"/>
    <m/>
    <m/>
  </r>
  <r>
    <x v="48"/>
    <x v="48"/>
    <s v="No Assigned L6"/>
    <x v="8"/>
    <x v="17"/>
    <x v="0"/>
    <n v="0"/>
    <s v="APJ"/>
    <s v="China"/>
    <n v="0.629"/>
    <n v="1.2017588546390416E-2"/>
    <m/>
    <s v="12/7"/>
    <m/>
    <s v="CC04-CCC Enterprise CMG BW"/>
    <s v=""/>
    <s v=""/>
    <n v="14"/>
    <m/>
    <s v="ESG"/>
    <m/>
    <n v="0"/>
    <m/>
    <m/>
  </r>
  <r>
    <x v="49"/>
    <x v="49"/>
    <s v="Yap, Diane"/>
    <x v="1"/>
    <x v="1"/>
    <x v="0"/>
    <n v="0"/>
    <s v="APJ"/>
    <s v="China"/>
    <n v="0.629"/>
    <n v="1.2017588546390416E-2"/>
    <m/>
    <s v="12/5"/>
    <s v="L1"/>
    <s v="CC05-Networking CCC"/>
    <s v="Tiani Liang (Joey) "/>
    <s v="Chen Zhou"/>
    <n v="8"/>
    <m/>
    <s v="ESG"/>
    <m/>
    <n v="7"/>
    <m/>
    <n v="8"/>
  </r>
  <r>
    <x v="50"/>
    <x v="50"/>
    <s v="No Assigned L6"/>
    <x v="8"/>
    <x v="17"/>
    <x v="0"/>
    <n v="0"/>
    <s v="APJ"/>
    <s v="China"/>
    <n v="0.629"/>
    <n v="1.2017588546390416E-2"/>
    <m/>
    <s v="12/7"/>
    <m/>
    <s v="CC07-Enterprise Core CCC"/>
    <s v=""/>
    <s v=""/>
    <n v="14"/>
    <m/>
    <s v="ESG"/>
    <m/>
    <n v="0"/>
    <m/>
    <m/>
  </r>
  <r>
    <x v="51"/>
    <x v="51"/>
    <s v="No Assigned L6"/>
    <x v="0"/>
    <x v="20"/>
    <x v="0"/>
    <m/>
    <m/>
    <m/>
    <m/>
    <m/>
    <m/>
    <m/>
    <m/>
    <s v="CC09-Server ProSupport CCC"/>
    <s v=""/>
    <s v=""/>
    <m/>
    <m/>
    <s v="ESG"/>
    <m/>
    <n v="0"/>
    <m/>
    <m/>
  </r>
  <r>
    <x v="52"/>
    <x v="52"/>
    <s v="Yap, Diane"/>
    <x v="9"/>
    <x v="18"/>
    <x v="0"/>
    <n v="0"/>
    <s v="APJ"/>
    <s v="China"/>
    <n v="0.629"/>
    <n v="1.2017588546390416E-2"/>
    <m/>
    <s v="12/5"/>
    <s v="L1"/>
    <s v="CC10-Storage ProSupport CCC"/>
    <s v="Tiani Liang (Joey) "/>
    <s v="Chen Zhou"/>
    <n v="8"/>
    <m/>
    <s v="ESG"/>
    <m/>
    <n v="26"/>
    <m/>
    <n v="8"/>
  </r>
  <r>
    <x v="53"/>
    <x v="53"/>
    <s v="No Assigned L6"/>
    <x v="0"/>
    <x v="20"/>
    <x v="0"/>
    <m/>
    <m/>
    <m/>
    <m/>
    <m/>
    <m/>
    <m/>
    <m/>
    <s v="CC11-Client ProSupport CCC ML"/>
    <s v=""/>
    <s v=""/>
    <m/>
    <m/>
    <s v="ESG"/>
    <m/>
    <n v="0"/>
    <m/>
    <m/>
  </r>
  <r>
    <x v="54"/>
    <x v="54"/>
    <s v="D'Arcy, Mark"/>
    <x v="10"/>
    <x v="0"/>
    <x v="1"/>
    <n v="0"/>
    <s v="APJ"/>
    <s v="China"/>
    <n v="0.63900000000000001"/>
    <m/>
    <m/>
    <s v="12/7"/>
    <s v="L1"/>
    <s v="CC12-Social Media CCC"/>
    <m/>
    <s v="Douglas Lumb"/>
    <n v="14"/>
    <m/>
    <s v="ESG"/>
    <m/>
    <n v="12"/>
    <m/>
    <m/>
  </r>
  <r>
    <x v="55"/>
    <x v="55"/>
    <s v="No Assigned L6"/>
    <x v="0"/>
    <x v="17"/>
    <x v="1"/>
    <n v="0"/>
    <s v="APJ"/>
    <s v="China"/>
    <m/>
    <m/>
    <m/>
    <s v="12/7"/>
    <m/>
    <s v="CC13-Proactive Systems Maintenance CCC"/>
    <s v=""/>
    <s v=""/>
    <n v="14"/>
    <m/>
    <m/>
    <m/>
    <n v="0"/>
    <m/>
    <m/>
  </r>
  <r>
    <x v="56"/>
    <x v="56"/>
    <s v="Yap, Diane"/>
    <x v="8"/>
    <x v="17"/>
    <x v="0"/>
    <n v="0"/>
    <s v="APJ"/>
    <s v="China"/>
    <n v="0.629"/>
    <n v="1.2017588546390416E-2"/>
    <m/>
    <s v="12/5"/>
    <s v="L1"/>
    <s v="CC14-Enterprise HK MultiChannel"/>
    <s v="Tiani Liang (Joey) "/>
    <s v="Chen Zhou"/>
    <n v="8"/>
    <m/>
    <s v="ESG"/>
    <m/>
    <n v="13"/>
    <m/>
    <n v="8"/>
  </r>
  <r>
    <x v="57"/>
    <x v="57"/>
    <s v="No Assigned L6"/>
    <x v="0"/>
    <x v="20"/>
    <x v="0"/>
    <m/>
    <m/>
    <m/>
    <m/>
    <m/>
    <m/>
    <m/>
    <m/>
    <s v="CC22-Enterprise TW"/>
    <s v=""/>
    <s v=""/>
    <m/>
    <m/>
    <s v="ESG"/>
    <m/>
    <n v="0"/>
    <m/>
    <m/>
  </r>
  <r>
    <x v="58"/>
    <x v="58"/>
    <s v="No Assigned L6"/>
    <x v="0"/>
    <x v="20"/>
    <x v="0"/>
    <m/>
    <m/>
    <m/>
    <m/>
    <m/>
    <m/>
    <m/>
    <m/>
    <s v="CC23-Server ProSupport Plus CCC"/>
    <s v=""/>
    <s v=""/>
    <m/>
    <m/>
    <s v="ESG"/>
    <m/>
    <n v="0"/>
    <m/>
    <m/>
  </r>
  <r>
    <x v="59"/>
    <x v="59"/>
    <s v="Yap, Diane"/>
    <x v="8"/>
    <x v="17"/>
    <x v="0"/>
    <n v="0"/>
    <s v="APJ"/>
    <s v="China"/>
    <n v="0.629"/>
    <n v="1.2017588546390416E-2"/>
    <m/>
    <s v="12/5"/>
    <s v="L1"/>
    <s v="CC27-Server Combined CCC"/>
    <s v="Tiani Liang (Joey) "/>
    <s v="Chen Zhou"/>
    <n v="8"/>
    <m/>
    <s v="ESG"/>
    <m/>
    <n v="59"/>
    <m/>
    <n v="8"/>
  </r>
  <r>
    <x v="60"/>
    <x v="60"/>
    <s v="Yap, Diane"/>
    <x v="11"/>
    <x v="0"/>
    <x v="1"/>
    <n v="0"/>
    <s v="APJ"/>
    <s v="China"/>
    <n v="0.629"/>
    <m/>
    <m/>
    <s v="12/7"/>
    <m/>
    <s v="CC28-APJ ESG Call Directors Chinese"/>
    <m/>
    <s v="Chen Zhou"/>
    <n v="14"/>
    <m/>
    <s v="ESG"/>
    <m/>
    <n v="0"/>
    <m/>
    <m/>
  </r>
  <r>
    <x v="61"/>
    <x v="61"/>
    <s v="Yap, Diane"/>
    <x v="8"/>
    <x v="17"/>
    <x v="0"/>
    <n v="0"/>
    <s v="APJ"/>
    <s v="China"/>
    <n v="0.629"/>
    <n v="1.2017588546390416E-2"/>
    <m/>
    <s v="12/7"/>
    <m/>
    <s v="CCB1-Enterprise Core CCC BW"/>
    <m/>
    <s v="Chen Zhou"/>
    <n v="14"/>
    <m/>
    <s v="ESG"/>
    <m/>
    <n v="0"/>
    <m/>
    <m/>
  </r>
  <r>
    <x v="62"/>
    <x v="62"/>
    <s v="No Assigned L6"/>
    <x v="0"/>
    <x v="17"/>
    <x v="0"/>
    <n v="0"/>
    <s v="APJ"/>
    <s v="China"/>
    <n v="0.629"/>
    <n v="1.2017588546390416E-2"/>
    <m/>
    <s v="12/7"/>
    <m/>
    <s v="CE01-Enterprise Echannel CCC"/>
    <s v=""/>
    <s v=""/>
    <n v="14"/>
    <m/>
    <s v="ESG"/>
    <m/>
    <n v="0"/>
    <m/>
    <m/>
  </r>
  <r>
    <x v="63"/>
    <x v="63"/>
    <s v="Yap, Diane"/>
    <x v="9"/>
    <x v="18"/>
    <x v="0"/>
    <n v="0"/>
    <s v="APJ"/>
    <s v="China"/>
    <n v="0.629"/>
    <n v="1.2017588546390416E-2"/>
    <m/>
    <s v="12/5"/>
    <s v="L1"/>
    <s v="CE02-Storage Echannel CCC"/>
    <s v="Tiani Liang (Joey) "/>
    <s v="Chen Zhou"/>
    <n v="8"/>
    <m/>
    <s v="ESG"/>
    <m/>
    <n v="9"/>
    <m/>
    <n v="8"/>
  </r>
  <r>
    <x v="64"/>
    <x v="64"/>
    <s v="Yap, Diane"/>
    <x v="8"/>
    <x v="17"/>
    <x v="0"/>
    <n v="0"/>
    <s v="APJ"/>
    <s v="China"/>
    <n v="0.629"/>
    <n v="1.2017588546390416E-2"/>
    <m/>
    <s v="12/5"/>
    <s v="L1"/>
    <s v="CE03-Server/Networking Echannel CCC"/>
    <s v="Tiani Liang (Joey) "/>
    <s v="Chen Zhou"/>
    <n v="8"/>
    <m/>
    <s v="ESG"/>
    <m/>
    <n v="19"/>
    <m/>
    <n v="8"/>
  </r>
  <r>
    <x v="65"/>
    <x v="65"/>
    <s v="No Assigned L6"/>
    <x v="0"/>
    <x v="20"/>
    <x v="0"/>
    <m/>
    <m/>
    <m/>
    <m/>
    <m/>
    <m/>
    <m/>
    <m/>
    <s v="CG Comp-Global Compellent Capgemini"/>
    <s v=""/>
    <s v=""/>
    <m/>
    <m/>
    <s v="ESG"/>
    <m/>
    <n v="0"/>
    <m/>
    <m/>
  </r>
  <r>
    <x v="66"/>
    <x v="66"/>
    <s v="No Assigned L6"/>
    <x v="0"/>
    <x v="21"/>
    <x v="1"/>
    <n v="0"/>
    <m/>
    <m/>
    <m/>
    <m/>
    <m/>
    <s v="12/7"/>
    <m/>
    <s v="CG01-Chmura Group"/>
    <s v=""/>
    <s v=""/>
    <n v="14"/>
    <m/>
    <m/>
    <m/>
    <n v="0"/>
    <m/>
    <m/>
  </r>
  <r>
    <x v="67"/>
    <x v="67"/>
    <s v="No Assigned L6"/>
    <x v="0"/>
    <x v="20"/>
    <x v="0"/>
    <m/>
    <m/>
    <m/>
    <m/>
    <m/>
    <m/>
    <m/>
    <m/>
    <s v="CGEQ-GLOBAL Equallogic Capgemini"/>
    <s v=""/>
    <s v=""/>
    <m/>
    <m/>
    <s v="ESG"/>
    <m/>
    <n v="0"/>
    <m/>
    <m/>
  </r>
  <r>
    <x v="68"/>
    <x v="65"/>
    <s v="No Assigned L6"/>
    <x v="0"/>
    <x v="20"/>
    <x v="0"/>
    <m/>
    <m/>
    <m/>
    <m/>
    <m/>
    <m/>
    <m/>
    <m/>
    <s v="CGGC-Global Compellent Capgemini"/>
    <s v=""/>
    <s v=""/>
    <m/>
    <m/>
    <s v="ESG"/>
    <m/>
    <n v="0"/>
    <m/>
    <m/>
  </r>
  <r>
    <x v="69"/>
    <x v="68"/>
    <s v="No Assigned L6"/>
    <x v="0"/>
    <x v="20"/>
    <x v="0"/>
    <m/>
    <m/>
    <m/>
    <m/>
    <m/>
    <m/>
    <m/>
    <m/>
    <s v="CGVE-GLOBAL VNXe Capgemini"/>
    <s v=""/>
    <s v=""/>
    <m/>
    <m/>
    <s v="ESG"/>
    <m/>
    <n v="0"/>
    <m/>
    <m/>
  </r>
  <r>
    <x v="70"/>
    <x v="69"/>
    <s v="No Assigned L6"/>
    <x v="0"/>
    <x v="20"/>
    <x v="0"/>
    <m/>
    <m/>
    <m/>
    <m/>
    <m/>
    <m/>
    <m/>
    <m/>
    <s v="CGVX-GLOBAL VNX Capgemini"/>
    <s v=""/>
    <s v=""/>
    <m/>
    <m/>
    <s v="HES"/>
    <n v="13"/>
    <n v="0"/>
    <m/>
    <m/>
  </r>
  <r>
    <x v="71"/>
    <x v="70"/>
    <s v="No Assigned L6"/>
    <x v="0"/>
    <x v="20"/>
    <x v="0"/>
    <m/>
    <m/>
    <m/>
    <m/>
    <m/>
    <m/>
    <m/>
    <m/>
    <s v="CHEQ-CHK Cons Tech CSQ BW"/>
    <s v=""/>
    <s v=""/>
    <m/>
    <m/>
    <s v="ESG"/>
    <m/>
    <n v="0"/>
    <m/>
    <m/>
  </r>
  <r>
    <x v="72"/>
    <x v="71"/>
    <s v="No Assigned L6"/>
    <x v="0"/>
    <x v="2"/>
    <x v="0"/>
    <n v="0"/>
    <s v="APJ"/>
    <s v="China"/>
    <n v="0.629"/>
    <n v="1.2017588546390416E-2"/>
    <m/>
    <e v="#N/A"/>
    <m/>
    <s v="CM01-CCC Midrange Storage VNX/e"/>
    <s v=""/>
    <s v=""/>
    <m/>
    <m/>
    <s v="HES"/>
    <n v="13"/>
    <n v="0"/>
    <m/>
    <m/>
  </r>
  <r>
    <x v="73"/>
    <x v="72"/>
    <s v="D'Arcy, Mark"/>
    <x v="0"/>
    <x v="20"/>
    <x v="1"/>
    <m/>
    <m/>
    <m/>
    <m/>
    <m/>
    <m/>
    <m/>
    <s v="Manager"/>
    <s v="CM03-CNS Manager"/>
    <m/>
    <s v="Chen Zhou"/>
    <m/>
    <m/>
    <m/>
    <m/>
    <n v="69.8"/>
    <m/>
    <m/>
  </r>
  <r>
    <x v="74"/>
    <x v="73"/>
    <s v="Yap, Diane"/>
    <x v="0"/>
    <x v="20"/>
    <x v="0"/>
    <m/>
    <s v="APJ"/>
    <s v="China"/>
    <n v="0.629"/>
    <n v="1.2017588546390416E-2"/>
    <m/>
    <m/>
    <m/>
    <s v="CM04-CCC HES VXRail Hyperconverged"/>
    <s v=""/>
    <s v="Chen Zhou"/>
    <m/>
    <m/>
    <m/>
    <m/>
    <n v="0"/>
    <m/>
    <m/>
  </r>
  <r>
    <x v="75"/>
    <x v="74"/>
    <s v="Yap, Diane"/>
    <x v="11"/>
    <x v="22"/>
    <x v="1"/>
    <n v="0"/>
    <s v="APJ"/>
    <s v="China"/>
    <n v="0.63900000000000001"/>
    <m/>
    <m/>
    <s v="12/7"/>
    <m/>
    <s v="CSS1-APJ HES CST Chinese"/>
    <m/>
    <s v="Chen Zhou"/>
    <n v="14"/>
    <m/>
    <s v="HES"/>
    <n v="13"/>
    <n v="0"/>
    <m/>
    <m/>
  </r>
  <r>
    <x v="76"/>
    <x v="75"/>
    <s v="No Assigned L6"/>
    <x v="11"/>
    <x v="22"/>
    <x v="1"/>
    <n v="0"/>
    <s v="NAMER"/>
    <s v="United States"/>
    <n v="0.64800000000000002"/>
    <m/>
    <m/>
    <s v="12/5"/>
    <s v="CST"/>
    <s v="CST4-CST SPUS"/>
    <s v=""/>
    <s v=""/>
    <n v="8"/>
    <m/>
    <m/>
    <m/>
    <n v="0"/>
    <m/>
    <m/>
  </r>
  <r>
    <x v="77"/>
    <x v="76"/>
    <s v="Brown, Dexter"/>
    <x v="11"/>
    <x v="22"/>
    <x v="1"/>
    <n v="0"/>
    <s v="EMEA"/>
    <s v="Egypt"/>
    <n v="0.61699999999999999"/>
    <m/>
    <m/>
    <s v="12/5"/>
    <s v="CST"/>
    <s v="CST5-CST VIC"/>
    <s v=""/>
    <s v=""/>
    <n v="8"/>
    <m/>
    <m/>
    <m/>
    <n v="0"/>
    <m/>
    <m/>
  </r>
  <r>
    <x v="78"/>
    <x v="77"/>
    <s v="Yap, Diane"/>
    <x v="12"/>
    <x v="23"/>
    <x v="0"/>
    <n v="0"/>
    <s v="Global"/>
    <s v="Global"/>
    <n v="0.63300000000000001"/>
    <n v="1.1420812115295354E-2"/>
    <m/>
    <s v="10/5"/>
    <s v="CTE"/>
    <s v="CT11-CTE ANZ"/>
    <m/>
    <s v="Chen Zhou"/>
    <n v="7"/>
    <m/>
    <s v="ESG"/>
    <m/>
    <n v="5"/>
    <m/>
    <m/>
  </r>
  <r>
    <x v="79"/>
    <x v="78"/>
    <s v="No Assigned L6"/>
    <x v="0"/>
    <x v="18"/>
    <x v="1"/>
    <n v="0"/>
    <s v="Americas"/>
    <s v="Brazil"/>
    <m/>
    <m/>
    <m/>
    <s v="12/7"/>
    <s v="CTE"/>
    <s v="CT12-CTE BRZ"/>
    <s v=""/>
    <s v=""/>
    <n v="14"/>
    <m/>
    <m/>
    <m/>
    <n v="0"/>
    <m/>
    <m/>
  </r>
  <r>
    <x v="80"/>
    <x v="79"/>
    <s v="Yap, Diane"/>
    <x v="12"/>
    <x v="23"/>
    <x v="0"/>
    <n v="0"/>
    <s v="Global"/>
    <s v="Global"/>
    <n v="0.63300000000000001"/>
    <n v="1.1420812115295354E-2"/>
    <m/>
    <s v="12/7"/>
    <s v="CTE"/>
    <s v="CT13-CTE CCC"/>
    <m/>
    <s v="Chen Zhou"/>
    <n v="14"/>
    <m/>
    <s v="ESG"/>
    <m/>
    <n v="2"/>
    <m/>
    <m/>
  </r>
  <r>
    <x v="81"/>
    <x v="80"/>
    <s v="Yap, Diane"/>
    <x v="12"/>
    <x v="23"/>
    <x v="0"/>
    <n v="0"/>
    <s v="Global"/>
    <s v="Global"/>
    <n v="0.63300000000000001"/>
    <n v="1.1420812115295354E-2"/>
    <m/>
    <s v="10/5"/>
    <s v="CTE"/>
    <s v="CT14-CTE IND"/>
    <m/>
    <s v="Chen Zhou"/>
    <n v="7"/>
    <m/>
    <s v="ESG"/>
    <m/>
    <n v="10"/>
    <m/>
    <m/>
  </r>
  <r>
    <x v="82"/>
    <x v="81"/>
    <s v="Yap, Diane"/>
    <x v="12"/>
    <x v="23"/>
    <x v="0"/>
    <n v="0"/>
    <s v="Global"/>
    <s v="Global"/>
    <n v="0.63300000000000001"/>
    <n v="1.1420812115295354E-2"/>
    <m/>
    <s v="12/7"/>
    <s v="CTE"/>
    <s v="CT15-CTE JPN"/>
    <s v=""/>
    <s v="Chen Zhou"/>
    <n v="14"/>
    <m/>
    <s v="ESG"/>
    <m/>
    <n v="1"/>
    <m/>
    <m/>
  </r>
  <r>
    <x v="83"/>
    <x v="82"/>
    <s v="No Assigned L6"/>
    <x v="12"/>
    <x v="23"/>
    <x v="0"/>
    <n v="0"/>
    <s v="Global"/>
    <s v="Global"/>
    <n v="0.63300000000000001"/>
    <n v="1.1420812115295354E-2"/>
    <m/>
    <s v="12/7"/>
    <s v="CTE"/>
    <s v="CT16-CTE KOR"/>
    <s v=""/>
    <s v=""/>
    <n v="14"/>
    <m/>
    <s v="ESG"/>
    <m/>
    <n v="0"/>
    <m/>
    <m/>
  </r>
  <r>
    <x v="84"/>
    <x v="83"/>
    <s v="No Assigned L6"/>
    <x v="0"/>
    <x v="18"/>
    <x v="1"/>
    <n v="0"/>
    <s v="Americas"/>
    <s v="Latin America"/>
    <m/>
    <m/>
    <m/>
    <s v="12/7"/>
    <s v="CTE"/>
    <s v="CT17-CTE ROLA"/>
    <s v=""/>
    <s v=""/>
    <n v="14"/>
    <m/>
    <m/>
    <m/>
    <n v="0"/>
    <m/>
    <m/>
  </r>
  <r>
    <x v="85"/>
    <x v="84"/>
    <s v="Yap, Diane"/>
    <x v="12"/>
    <x v="23"/>
    <x v="0"/>
    <n v="0"/>
    <s v="Global"/>
    <s v="Global"/>
    <n v="0.63300000000000001"/>
    <n v="1.1420812115295354E-2"/>
    <m/>
    <s v="10/5"/>
    <s v="CTE"/>
    <s v="CT18-CTE SA"/>
    <m/>
    <s v="Chen Zhou"/>
    <n v="7"/>
    <m/>
    <s v="ESG"/>
    <m/>
    <n v="8"/>
    <m/>
    <m/>
  </r>
  <r>
    <x v="86"/>
    <x v="85"/>
    <s v="No Assigned L6"/>
    <x v="6"/>
    <x v="24"/>
    <x v="0"/>
    <n v="0"/>
    <s v="Global"/>
    <s v="Global"/>
    <n v="0.63300000000000001"/>
    <n v="1.1420812115295354E-2"/>
    <m/>
    <s v="12/7"/>
    <s v="L1"/>
    <s v="CT19-HCS Global Converged"/>
    <s v=""/>
    <s v=""/>
    <n v="14"/>
    <m/>
    <s v="HES"/>
    <n v="13"/>
    <n v="0"/>
    <m/>
    <m/>
  </r>
  <r>
    <x v="87"/>
    <x v="86"/>
    <s v="Brown, Dexter"/>
    <x v="13"/>
    <x v="25"/>
    <x v="0"/>
    <n v="0"/>
    <s v="Global"/>
    <s v="Global"/>
    <n v="0.63300000000000001"/>
    <n v="1.1420812115295354E-2"/>
    <m/>
    <s v="12/7"/>
    <s v="L1"/>
    <s v="CT20-GLOBAL E2E Connectivity"/>
    <s v="Komal Chhabra"/>
    <s v="Miguel Galicia"/>
    <n v="14"/>
    <n v="-0.11900512151139038"/>
    <s v="HES"/>
    <n v="13"/>
    <n v="34"/>
    <m/>
    <m/>
  </r>
  <r>
    <x v="88"/>
    <x v="87"/>
    <s v="Kenneally, Niall"/>
    <x v="5"/>
    <x v="26"/>
    <x v="0"/>
    <n v="0"/>
    <s v="Global"/>
    <s v="United States"/>
    <n v="0.63300000000000001"/>
    <n v="1.1420812115295354E-2"/>
    <m/>
    <s v="24/7"/>
    <s v="L1"/>
    <s v="CT23-GLOBAL HES BSAFE"/>
    <m/>
    <s v="Miguel Galicia"/>
    <n v="24"/>
    <m/>
    <s v="HES"/>
    <n v="13"/>
    <n v="2"/>
    <m/>
    <m/>
  </r>
  <r>
    <x v="89"/>
    <x v="88"/>
    <s v="No Assigned L6"/>
    <x v="14"/>
    <x v="22"/>
    <x v="1"/>
    <n v="0"/>
    <s v="Global"/>
    <s v="Global"/>
    <n v="0.63300000000000001"/>
    <m/>
    <m/>
    <s v="12/7"/>
    <s v="DSE"/>
    <s v="CT24-HCS Global DSE"/>
    <m/>
    <s v="Miguel Galicia"/>
    <n v="14"/>
    <m/>
    <m/>
    <m/>
    <n v="137.8134"/>
    <m/>
    <m/>
  </r>
  <r>
    <x v="90"/>
    <x v="89"/>
    <s v="D'Arcy, Mark"/>
    <x v="8"/>
    <x v="17"/>
    <x v="0"/>
    <n v="0"/>
    <s v="Global"/>
    <s v="Global"/>
    <n v="0.63300000000000001"/>
    <n v="1.1420812115295354E-2"/>
    <m/>
    <s v="12/7"/>
    <s v="L1"/>
    <s v="CT25-Global Compute Hardware"/>
    <m/>
    <s v="Douglas Lumb"/>
    <n v="14"/>
    <m/>
    <s v="ESG"/>
    <m/>
    <n v="119"/>
    <m/>
    <m/>
  </r>
  <r>
    <x v="91"/>
    <x v="90"/>
    <s v="Kenneally, Niall"/>
    <x v="7"/>
    <x v="2"/>
    <x v="0"/>
    <n v="0"/>
    <s v="Global"/>
    <s v="Australia"/>
    <n v="0.63300000000000001"/>
    <n v="1.1420812115295354E-2"/>
    <m/>
    <s v="24/7"/>
    <s v="L1"/>
    <s v="CT26-Global ESG Midrange Storage"/>
    <s v="Komal Chhabra"/>
    <s v="Miguel Galicia"/>
    <n v="24"/>
    <n v="6.2067790385908553E-2"/>
    <s v="HES"/>
    <n v="13"/>
    <n v="122.8"/>
    <m/>
    <m/>
  </r>
  <r>
    <x v="92"/>
    <x v="91"/>
    <s v="D'Arcy, Mark"/>
    <x v="8"/>
    <x v="17"/>
    <x v="0"/>
    <n v="0"/>
    <s v="Global"/>
    <s v="Global"/>
    <n v="0.63300000000000001"/>
    <n v="1.1420812115295354E-2"/>
    <m/>
    <s v="12/7"/>
    <s v="L1"/>
    <s v="CT27-Global Compute Software"/>
    <m/>
    <s v="Douglas Lumb"/>
    <n v="14"/>
    <m/>
    <s v="ESG"/>
    <m/>
    <n v="61"/>
    <m/>
    <m/>
  </r>
  <r>
    <x v="93"/>
    <x v="92"/>
    <s v="D'Arcy, Mark"/>
    <x v="6"/>
    <x v="27"/>
    <x v="0"/>
    <n v="0"/>
    <s v="Global"/>
    <s v="Global"/>
    <n v="0.63300000000000001"/>
    <n v="1.1420812115295354E-2"/>
    <m/>
    <s v="12/7"/>
    <s v="L1"/>
    <s v="CT29-HCS Global Vmware"/>
    <s v="Komal Chhabra"/>
    <s v="Douglas Lumb"/>
    <n v="14"/>
    <n v="-7.4068382597854195E-3"/>
    <s v="HES"/>
    <n v="13"/>
    <n v="50"/>
    <m/>
    <m/>
  </r>
  <r>
    <x v="94"/>
    <x v="93"/>
    <s v="D'Arcy, Mark"/>
    <x v="1"/>
    <x v="1"/>
    <x v="0"/>
    <n v="0"/>
    <s v="Global"/>
    <s v="Global"/>
    <n v="0.63300000000000001"/>
    <n v="1.1420812115295354E-2"/>
    <m/>
    <s v="12/7"/>
    <s v="L1"/>
    <s v="CT30-Global Networking"/>
    <m/>
    <s v="Douglas Lumb"/>
    <n v="14"/>
    <m/>
    <s v="ESG"/>
    <m/>
    <n v="80"/>
    <m/>
    <m/>
  </r>
  <r>
    <x v="95"/>
    <x v="94"/>
    <s v="No Assigned L6"/>
    <x v="0"/>
    <x v="1"/>
    <x v="1"/>
    <n v="0"/>
    <s v="Global"/>
    <s v="Multiple Countries"/>
    <m/>
    <m/>
    <m/>
    <s v="12/7"/>
    <m/>
    <s v="CT32-Global Networking RTSE"/>
    <s v=""/>
    <s v=""/>
    <n v="14"/>
    <m/>
    <m/>
    <m/>
    <n v="0"/>
    <m/>
    <m/>
  </r>
  <r>
    <x v="96"/>
    <x v="95"/>
    <s v="No Assigned L6"/>
    <x v="0"/>
    <x v="18"/>
    <x v="1"/>
    <n v="0"/>
    <s v="Global"/>
    <s v="Multiple Countries"/>
    <m/>
    <m/>
    <m/>
    <s v="12/7"/>
    <m/>
    <s v="CT34-Solutions SPSPE"/>
    <s v=""/>
    <s v=""/>
    <n v="14"/>
    <m/>
    <m/>
    <m/>
    <n v="0"/>
    <m/>
    <m/>
  </r>
  <r>
    <x v="97"/>
    <x v="96"/>
    <s v="No Assigned L6"/>
    <x v="0"/>
    <x v="17"/>
    <x v="1"/>
    <n v="0"/>
    <s v="Global"/>
    <s v="Multiple Countries"/>
    <m/>
    <m/>
    <m/>
    <s v="12/7"/>
    <m/>
    <s v="CT35-Server SPSPE"/>
    <s v=""/>
    <s v=""/>
    <n v="14"/>
    <m/>
    <m/>
    <m/>
    <n v="0"/>
    <m/>
    <m/>
  </r>
  <r>
    <x v="98"/>
    <x v="97"/>
    <s v="No Assigned L6"/>
    <x v="0"/>
    <x v="20"/>
    <x v="0"/>
    <m/>
    <m/>
    <m/>
    <m/>
    <m/>
    <m/>
    <m/>
    <m/>
    <s v="CT36-Networking SPSPE"/>
    <s v=""/>
    <s v=""/>
    <m/>
    <m/>
    <s v="ESG"/>
    <m/>
    <n v="0"/>
    <m/>
    <m/>
  </r>
  <r>
    <x v="99"/>
    <x v="98"/>
    <s v="Yap, Diane"/>
    <x v="15"/>
    <x v="28"/>
    <x v="0"/>
    <n v="0"/>
    <s v="APJ"/>
    <s v="Japan"/>
    <n v="0.58199999999999996"/>
    <n v="1.2017588546390416E-2"/>
    <m/>
    <n v="0"/>
    <s v="CST"/>
    <s v="CT37-APJ HES CST Japanese"/>
    <s v="Komal Chhabra"/>
    <s v="Chen Zhou"/>
    <n v="0"/>
    <m/>
    <s v="HES"/>
    <n v="13"/>
    <n v="13"/>
    <m/>
    <m/>
  </r>
  <r>
    <x v="100"/>
    <x v="99"/>
    <s v="No Assigned L6"/>
    <x v="0"/>
    <x v="1"/>
    <x v="1"/>
    <n v="0"/>
    <s v="Global"/>
    <s v="Multiple Countries"/>
    <m/>
    <m/>
    <m/>
    <s v="12/7"/>
    <s v="Manager"/>
    <s v="CT38-Global Service Routing Manager"/>
    <s v=""/>
    <s v=""/>
    <n v="14"/>
    <m/>
    <m/>
    <m/>
    <n v="0"/>
    <m/>
    <m/>
  </r>
  <r>
    <x v="101"/>
    <x v="100"/>
    <s v="Brown, Dexter"/>
    <x v="16"/>
    <x v="29"/>
    <x v="0"/>
    <n v="0"/>
    <s v="Global"/>
    <s v="Global"/>
    <n v="0.63300000000000001"/>
    <n v="1.1420812115295354E-2"/>
    <m/>
    <s v="12/7"/>
    <s v="L1"/>
    <s v="CT67-RPS Remote Proactive Services"/>
    <s v="Komal Chhabra"/>
    <s v="Miguel Galicia"/>
    <n v="14"/>
    <n v="-2.0885954875353397E-3"/>
    <s v="HES"/>
    <n v="13"/>
    <n v="264.875"/>
    <m/>
    <m/>
  </r>
  <r>
    <x v="102"/>
    <x v="101"/>
    <s v="Brown, Dexter"/>
    <x v="16"/>
    <x v="17"/>
    <x v="1"/>
    <n v="0"/>
    <s v="Global"/>
    <s v="Global"/>
    <n v="0.63300000000000001"/>
    <m/>
    <m/>
    <s v="12/7"/>
    <s v="L1"/>
    <s v="CT68-RPS Proactive Systems Maintenance"/>
    <m/>
    <s v="Miguel Galicia"/>
    <n v="14"/>
    <m/>
    <m/>
    <m/>
    <n v="38"/>
    <m/>
    <m/>
  </r>
  <r>
    <x v="103"/>
    <x v="102"/>
    <s v="D'Arcy, Mark"/>
    <x v="10"/>
    <x v="0"/>
    <x v="1"/>
    <n v="0"/>
    <s v="APJ"/>
    <s v="India"/>
    <n v="0.629"/>
    <m/>
    <m/>
    <s v="12/7"/>
    <s v="L1"/>
    <s v="CT69-Social Media English"/>
    <m/>
    <s v="Douglas Lumb"/>
    <n v="14"/>
    <m/>
    <s v="ESG"/>
    <m/>
    <n v="12"/>
    <m/>
    <m/>
  </r>
  <r>
    <x v="104"/>
    <x v="103"/>
    <s v="D'Arcy, Mark"/>
    <x v="10"/>
    <x v="0"/>
    <x v="1"/>
    <n v="0"/>
    <s v="EMEA"/>
    <s v="Egypt"/>
    <n v="0.61699999999999999"/>
    <m/>
    <m/>
    <s v="12/7"/>
    <s v="L1"/>
    <s v="CT70-Social Media EMEA"/>
    <m/>
    <s v="Douglas Lumb"/>
    <n v="14"/>
    <m/>
    <s v="ESG"/>
    <m/>
    <n v="3"/>
    <m/>
    <m/>
  </r>
  <r>
    <x v="105"/>
    <x v="104"/>
    <s v="D'Arcy, Mark"/>
    <x v="6"/>
    <x v="9"/>
    <x v="0"/>
    <n v="0"/>
    <s v="EMEA"/>
    <s v="Egypt"/>
    <n v="0.61699999999999999"/>
    <n v="2.0281420527295535E-2"/>
    <m/>
    <s v="8/5"/>
    <s v="CTE"/>
    <s v="CT76-GLOBAL VxRail CTE"/>
    <s v="Komal Chhabra"/>
    <s v="Douglas Lumb"/>
    <n v="4"/>
    <n v="-8.7925252510733437E-2"/>
    <s v="HES"/>
    <n v="13"/>
    <n v="13"/>
    <m/>
    <m/>
  </r>
  <r>
    <x v="106"/>
    <x v="105"/>
    <s v="No Assigned L6"/>
    <x v="3"/>
    <x v="5"/>
    <x v="0"/>
    <n v="0"/>
    <s v="EMEA"/>
    <s v="Egypt"/>
    <n v="0.61699999999999999"/>
    <n v="2.0281420527295535E-2"/>
    <m/>
    <s v="8/5"/>
    <s v="CTE"/>
    <s v="CT91-EMEA ISILON CTE"/>
    <s v=""/>
    <s v=""/>
    <n v="4"/>
    <m/>
    <s v="HES"/>
    <n v="13"/>
    <n v="0"/>
    <m/>
    <m/>
  </r>
  <r>
    <x v="107"/>
    <x v="106"/>
    <s v="Yap, Diane"/>
    <x v="12"/>
    <x v="23"/>
    <x v="0"/>
    <n v="0"/>
    <s v="APJ"/>
    <s v="India"/>
    <n v="0.629"/>
    <n v="1.2017588546390416E-2"/>
    <m/>
    <s v="12/7"/>
    <s v="CTE"/>
    <s v="CT95-CTE NW IND"/>
    <m/>
    <s v="Chen Zhou"/>
    <n v="14"/>
    <m/>
    <s v="ESG"/>
    <m/>
    <n v="2"/>
    <m/>
    <m/>
  </r>
  <r>
    <x v="108"/>
    <x v="107"/>
    <s v="Yap, Diane"/>
    <x v="12"/>
    <x v="23"/>
    <x v="0"/>
    <n v="0"/>
    <s v="APJ"/>
    <s v="India"/>
    <n v="0.629"/>
    <n v="1.2017588546390416E-2"/>
    <m/>
    <s v="12/7"/>
    <s v="CTE"/>
    <s v="CT96-CTE Storage IND"/>
    <m/>
    <s v="Chen Zhou"/>
    <n v="14"/>
    <m/>
    <s v="ESG"/>
    <m/>
    <n v="2"/>
    <m/>
    <m/>
  </r>
  <r>
    <x v="109"/>
    <x v="108"/>
    <s v="Yap, Diane"/>
    <x v="8"/>
    <x v="30"/>
    <x v="1"/>
    <n v="0"/>
    <s v="Asia"/>
    <s v="China"/>
    <m/>
    <m/>
    <m/>
    <m/>
    <s v="CTE"/>
    <s v="CTA3-CTE Server/Networking CCC"/>
    <m/>
    <s v="Chen Zhou"/>
    <m/>
    <m/>
    <s v="ESG"/>
    <m/>
    <n v="7"/>
    <m/>
    <m/>
  </r>
  <r>
    <x v="110"/>
    <x v="109"/>
    <s v="Yap, Diane"/>
    <x v="9"/>
    <x v="30"/>
    <x v="1"/>
    <n v="0"/>
    <s v="Asia"/>
    <s v="China"/>
    <m/>
    <m/>
    <m/>
    <m/>
    <s v="CTE"/>
    <s v="CTA4-CTE Storage CCC"/>
    <m/>
    <s v="Chen Zhou"/>
    <m/>
    <m/>
    <s v="ESG"/>
    <m/>
    <n v="2"/>
    <m/>
    <m/>
  </r>
  <r>
    <x v="111"/>
    <x v="110"/>
    <s v="Yap, Diane"/>
    <x v="8"/>
    <x v="30"/>
    <x v="1"/>
    <n v="0"/>
    <s v="Asia"/>
    <s v="JP-KOR"/>
    <m/>
    <m/>
    <m/>
    <m/>
    <s v="CTE"/>
    <s v="CTA5-CTE Server/Networking JPN"/>
    <m/>
    <s v="Chen Zhou"/>
    <m/>
    <m/>
    <s v="ESG"/>
    <m/>
    <n v="11"/>
    <m/>
    <m/>
  </r>
  <r>
    <x v="112"/>
    <x v="111"/>
    <s v="Yap, Diane"/>
    <x v="9"/>
    <x v="30"/>
    <x v="1"/>
    <n v="0"/>
    <s v="Asia"/>
    <s v="JP-KOR"/>
    <m/>
    <m/>
    <m/>
    <m/>
    <s v="CTE"/>
    <s v="CTA6-CTE Storage JPN"/>
    <m/>
    <s v="Chen Zhou"/>
    <m/>
    <m/>
    <s v="ESG"/>
    <m/>
    <n v="1"/>
    <m/>
    <m/>
  </r>
  <r>
    <x v="113"/>
    <x v="112"/>
    <s v="Yap, Diane"/>
    <x v="17"/>
    <x v="30"/>
    <x v="1"/>
    <n v="0"/>
    <s v="Asia"/>
    <s v="JP-KOR"/>
    <m/>
    <m/>
    <m/>
    <m/>
    <s v="CTE"/>
    <s v="CTA7-CTE Enterprise KOR"/>
    <m/>
    <s v="Chen Zhou"/>
    <m/>
    <m/>
    <s v="ESG"/>
    <m/>
    <n v="3"/>
    <m/>
    <m/>
  </r>
  <r>
    <x v="114"/>
    <x v="113"/>
    <s v="D'Arcy, Mark"/>
    <x v="12"/>
    <x v="23"/>
    <x v="0"/>
    <n v="0"/>
    <s v="NAMER"/>
    <s v="United States"/>
    <n v="0.64800000000000002"/>
    <n v="1.621972640860141E-2"/>
    <m/>
    <s v="12/5"/>
    <s v="CTE"/>
    <s v="CTE2-NA CTE Server"/>
    <m/>
    <s v="Douglas Lumb"/>
    <n v="8"/>
    <m/>
    <s v="ESG"/>
    <m/>
    <n v="22"/>
    <m/>
    <m/>
  </r>
  <r>
    <x v="115"/>
    <x v="114"/>
    <s v="D'Arcy, Mark"/>
    <x v="12"/>
    <x v="23"/>
    <x v="0"/>
    <n v="0"/>
    <s v="EMEA"/>
    <s v="SER"/>
    <n v="0.61699999999999999"/>
    <n v="2.0281420527295535E-2"/>
    <m/>
    <s v="11/5"/>
    <s v="CTE"/>
    <s v="CTE3-EMEA SERVER CTE"/>
    <m/>
    <s v="Douglas Lumb"/>
    <n v="8"/>
    <m/>
    <s v="ESG"/>
    <m/>
    <n v="8"/>
    <m/>
    <m/>
  </r>
  <r>
    <x v="116"/>
    <x v="115"/>
    <s v="D'Arcy, Mark"/>
    <x v="12"/>
    <x v="23"/>
    <x v="0"/>
    <n v="0"/>
    <s v="EMEA"/>
    <s v="SER"/>
    <n v="0.61699999999999999"/>
    <n v="2.0281420527295535E-2"/>
    <m/>
    <s v="11/5"/>
    <s v="CTE"/>
    <s v="CTE4-EMEA MODULAR CTE"/>
    <m/>
    <s v="Douglas Lumb"/>
    <n v="8"/>
    <m/>
    <s v="ESG"/>
    <m/>
    <n v="11.9"/>
    <m/>
    <m/>
  </r>
  <r>
    <x v="117"/>
    <x v="116"/>
    <s v="D'Arcy, Mark"/>
    <x v="12"/>
    <x v="23"/>
    <x v="0"/>
    <n v="0"/>
    <s v="NAMER"/>
    <s v="United States"/>
    <n v="0.64800000000000002"/>
    <n v="1.621972640860141E-2"/>
    <m/>
    <s v="12/5"/>
    <s v="CTE"/>
    <s v="CTE6-NA CTE Storage"/>
    <s v=""/>
    <s v="Douglas Lumb"/>
    <n v="8"/>
    <m/>
    <s v="ESG"/>
    <m/>
    <n v="0"/>
    <m/>
    <m/>
  </r>
  <r>
    <x v="118"/>
    <x v="117"/>
    <s v="No Assigned L6"/>
    <x v="0"/>
    <x v="9"/>
    <x v="0"/>
    <n v="0"/>
    <s v="APJ"/>
    <s v="China"/>
    <n v="0.629"/>
    <n v="1.2017588546390416E-2"/>
    <m/>
    <e v="#N/A"/>
    <m/>
    <s v="CV01-CCC VX Rail Storage"/>
    <s v=""/>
    <s v=""/>
    <m/>
    <m/>
    <s v="HES"/>
    <n v="13"/>
    <n v="0"/>
    <m/>
    <m/>
  </r>
  <r>
    <x v="119"/>
    <x v="118"/>
    <s v="D'Arcy, Mark"/>
    <x v="6"/>
    <x v="24"/>
    <x v="0"/>
    <n v="0"/>
    <s v="NAMER"/>
    <m/>
    <n v="0.64800000000000002"/>
    <n v="1.621972640860141E-2"/>
    <m/>
    <s v="12/7"/>
    <s v="L1"/>
    <s v="CV02-HCS AMER Converged Infrastructure"/>
    <s v="Komal Chhabra"/>
    <s v="Douglas Lumb"/>
    <n v="14"/>
    <n v="0.43690617557123673"/>
    <s v="HES"/>
    <n v="13"/>
    <n v="31"/>
    <m/>
    <m/>
  </r>
  <r>
    <x v="120"/>
    <x v="119"/>
    <s v="D'Arcy, Mark"/>
    <x v="6"/>
    <x v="24"/>
    <x v="0"/>
    <n v="0"/>
    <s v="APJ"/>
    <m/>
    <n v="0.629"/>
    <n v="1.2017588546390416E-2"/>
    <m/>
    <s v="12/7"/>
    <s v="L1"/>
    <s v="CV03-HCS APJ Converged Infrastructure"/>
    <s v="Komal Chhabra"/>
    <s v="Douglas Lumb"/>
    <n v="14"/>
    <n v="1.2056780709655583"/>
    <s v="HES"/>
    <n v="13"/>
    <n v="33"/>
    <m/>
    <m/>
  </r>
  <r>
    <x v="121"/>
    <x v="120"/>
    <s v="D'Arcy, Mark"/>
    <x v="6"/>
    <x v="24"/>
    <x v="0"/>
    <n v="0"/>
    <s v="EMEA"/>
    <m/>
    <n v="0.61699999999999999"/>
    <n v="2.0281420527295535E-2"/>
    <m/>
    <s v="12/7"/>
    <s v="L1"/>
    <s v="CV04-HCS EMEA Converged Infrastructure"/>
    <s v="Komal Chhabra"/>
    <s v="Douglas Lumb"/>
    <n v="14"/>
    <n v="0.64994561966588982"/>
    <s v="HES"/>
    <n v="13"/>
    <n v="19"/>
    <m/>
    <m/>
  </r>
  <r>
    <x v="122"/>
    <x v="121"/>
    <s v="D'Arcy, Mark"/>
    <x v="6"/>
    <x v="24"/>
    <x v="0"/>
    <n v="1"/>
    <s v="Global"/>
    <m/>
    <n v="0.63300000000000001"/>
    <n v="1.1420812115295354E-2"/>
    <m/>
    <s v="24/7"/>
    <m/>
    <s v="CV05-HCS Global Converged Infrastructure"/>
    <s v="Komal Chhabra"/>
    <s v="Douglas Lumb"/>
    <n v="24"/>
    <n v="0.62401840334899561"/>
    <s v="HES"/>
    <n v="13"/>
    <n v="69"/>
    <m/>
    <m/>
  </r>
  <r>
    <x v="123"/>
    <x v="122"/>
    <s v="No Assigned L6"/>
    <x v="0"/>
    <x v="20"/>
    <x v="0"/>
    <m/>
    <m/>
    <m/>
    <m/>
    <m/>
    <m/>
    <m/>
    <m/>
    <s v="CX01-NA Server Basic (Concentrix)"/>
    <s v=""/>
    <s v=""/>
    <m/>
    <m/>
    <s v="ESG"/>
    <m/>
    <n v="0"/>
    <m/>
    <m/>
  </r>
  <r>
    <x v="124"/>
    <x v="123"/>
    <s v="No Assigned L6"/>
    <x v="0"/>
    <x v="20"/>
    <x v="0"/>
    <m/>
    <m/>
    <m/>
    <m/>
    <m/>
    <m/>
    <m/>
    <m/>
    <s v="CX02-Server Core IND CNX"/>
    <s v=""/>
    <s v=""/>
    <m/>
    <m/>
    <s v="ESG"/>
    <m/>
    <n v="0"/>
    <m/>
    <m/>
  </r>
  <r>
    <x v="125"/>
    <x v="124"/>
    <s v="No Assigned L6"/>
    <x v="0"/>
    <x v="20"/>
    <x v="0"/>
    <m/>
    <m/>
    <m/>
    <m/>
    <m/>
    <m/>
    <m/>
    <m/>
    <s v="CX04-Server Core SA CNX"/>
    <s v=""/>
    <s v=""/>
    <m/>
    <m/>
    <s v="ESG"/>
    <m/>
    <n v="0"/>
    <m/>
    <m/>
  </r>
  <r>
    <x v="126"/>
    <x v="125"/>
    <s v="No Assigned L6"/>
    <x v="0"/>
    <x v="20"/>
    <x v="0"/>
    <m/>
    <m/>
    <m/>
    <m/>
    <m/>
    <m/>
    <m/>
    <m/>
    <s v="CX05-NA Server Basic Chat (CNX)"/>
    <s v=""/>
    <s v=""/>
    <m/>
    <m/>
    <s v="ESG"/>
    <m/>
    <n v="0"/>
    <m/>
    <m/>
  </r>
  <r>
    <x v="127"/>
    <x v="126"/>
    <s v="D'Arcy, Mark"/>
    <x v="8"/>
    <x v="17"/>
    <x v="0"/>
    <n v="0"/>
    <s v="EMEA"/>
    <s v="CER"/>
    <n v="0.61699999999999999"/>
    <n v="2.0281420527295535E-2"/>
    <m/>
    <s v="10/5"/>
    <s v="L1"/>
    <s v="CZ03-GER_CZE Enterprise (BRA)"/>
    <s v="Vikesh Gupta"/>
    <s v="Douglas Lumb"/>
    <n v="7"/>
    <m/>
    <s v="ESG"/>
    <m/>
    <n v="17"/>
    <m/>
    <n v="7"/>
  </r>
  <r>
    <x v="128"/>
    <x v="127"/>
    <s v="D'Arcy, Mark"/>
    <x v="8"/>
    <x v="17"/>
    <x v="0"/>
    <n v="0"/>
    <s v="EMEA"/>
    <s v="CER"/>
    <n v="0.61699999999999999"/>
    <n v="2.0281420527295535E-2"/>
    <m/>
    <s v="10/5"/>
    <s v="L1"/>
    <s v="DE07-GER ProSupp Server Email (HAL)"/>
    <s v="Vikesh Gupta"/>
    <s v="Douglas Lumb"/>
    <n v="7"/>
    <m/>
    <s v="ESG"/>
    <m/>
    <n v="15"/>
    <m/>
    <n v="7"/>
  </r>
  <r>
    <x v="129"/>
    <x v="128"/>
    <s v="D'Arcy, Mark"/>
    <x v="8"/>
    <x v="17"/>
    <x v="0"/>
    <n v="0"/>
    <s v="EMEA"/>
    <s v="CER"/>
    <n v="0.61699999999999999"/>
    <n v="2.0281420527295535E-2"/>
    <m/>
    <s v="10/5"/>
    <s v="L1"/>
    <s v="DE08-GER Modular (HAL)"/>
    <s v="Vikesh Gupta"/>
    <s v="Douglas Lumb"/>
    <n v="7"/>
    <m/>
    <s v="ESG"/>
    <m/>
    <n v="10"/>
    <m/>
    <n v="7"/>
  </r>
  <r>
    <x v="130"/>
    <x v="129"/>
    <s v="D'Arcy, Mark"/>
    <x v="1"/>
    <x v="1"/>
    <x v="0"/>
    <n v="0"/>
    <s v="EMEA"/>
    <s v="CER"/>
    <n v="0.61699999999999999"/>
    <n v="2.0281420527295535E-2"/>
    <m/>
    <s v="10/5"/>
    <s v="L1"/>
    <s v="DE09-GER Networking (HAL)"/>
    <s v="Vikesh Gupta"/>
    <s v="Douglas Lumb"/>
    <n v="7"/>
    <m/>
    <s v="ESG"/>
    <m/>
    <n v="8"/>
    <m/>
    <n v="7"/>
  </r>
  <r>
    <x v="131"/>
    <x v="130"/>
    <s v="D'Arcy, Mark"/>
    <x v="8"/>
    <x v="17"/>
    <x v="0"/>
    <n v="0"/>
    <s v="EMEA"/>
    <s v="Germany"/>
    <n v="0.61699999999999999"/>
    <n v="2.0281420527295535E-2"/>
    <m/>
    <s v="12/7"/>
    <s v="L1"/>
    <s v="DE10-GER ProSupp OWR Ent (HAL)"/>
    <m/>
    <s v="Douglas Lumb"/>
    <n v="14"/>
    <m/>
    <s v="ESG"/>
    <m/>
    <n v="4"/>
    <m/>
    <m/>
  </r>
  <r>
    <x v="132"/>
    <x v="131"/>
    <s v="No Assigned L6"/>
    <x v="8"/>
    <x v="17"/>
    <x v="0"/>
    <n v="0"/>
    <s v="EMEA"/>
    <s v="Germany"/>
    <n v="0.61699999999999999"/>
    <n v="2.0281420527295535E-2"/>
    <m/>
    <s v="12/7"/>
    <m/>
    <s v="DE12-GER Solutions (HAL)"/>
    <s v=""/>
    <s v=""/>
    <n v="14"/>
    <m/>
    <s v="ESG"/>
    <m/>
    <n v="0"/>
    <m/>
    <m/>
  </r>
  <r>
    <x v="133"/>
    <x v="132"/>
    <s v="D'Arcy, Mark"/>
    <x v="8"/>
    <x v="17"/>
    <x v="0"/>
    <n v="0"/>
    <s v="EMEA"/>
    <s v="CER"/>
    <n v="0.61699999999999999"/>
    <n v="4.3331391962725688E-2"/>
    <s v="High Attrition"/>
    <s v="10/5"/>
    <s v="L1"/>
    <s v="DE13-GER ProSupp Enterprise (HAL)"/>
    <s v="Vikesh Gupta"/>
    <s v="Douglas Lumb"/>
    <n v="7"/>
    <m/>
    <s v="ESG"/>
    <m/>
    <n v="22.25"/>
    <m/>
    <n v="7"/>
  </r>
  <r>
    <x v="134"/>
    <x v="133"/>
    <s v="Kenneally, Niall"/>
    <x v="9"/>
    <x v="18"/>
    <x v="0"/>
    <n v="0"/>
    <s v="EMEA"/>
    <s v="SER"/>
    <n v="0.61699999999999999"/>
    <n v="2.0281420527295535E-2"/>
    <m/>
    <s v="11/5"/>
    <s v="L1"/>
    <s v="DE17-German Storage"/>
    <s v="Vikesh Gupta"/>
    <s v="Miguel Galicia"/>
    <n v="8"/>
    <m/>
    <s v="ESG"/>
    <m/>
    <n v="18"/>
    <m/>
    <n v="8"/>
  </r>
  <r>
    <x v="135"/>
    <x v="134"/>
    <s v="Yap, Diane"/>
    <x v="8"/>
    <x v="17"/>
    <x v="0"/>
    <n v="0"/>
    <s v="APJ"/>
    <s v="India"/>
    <n v="0.629"/>
    <n v="1.2017588546390416E-2"/>
    <m/>
    <s v="15/5"/>
    <m/>
    <s v="DP01-DSP OEM"/>
    <s v="Prachi Gupta"/>
    <s v="Chen Zhou"/>
    <n v="10"/>
    <m/>
    <s v="ESG"/>
    <m/>
    <n v="15"/>
    <m/>
    <n v="10"/>
  </r>
  <r>
    <x v="136"/>
    <x v="135"/>
    <s v="D'Arcy, Mark"/>
    <x v="8"/>
    <x v="17"/>
    <x v="0"/>
    <n v="0"/>
    <s v="EMEA"/>
    <s v="SER"/>
    <n v="0.61699999999999999"/>
    <n v="2.0281420527295535E-2"/>
    <m/>
    <s v="8/5"/>
    <s v="L1"/>
    <s v="EC03-EC GRE ProSupp Server (MTP)"/>
    <s v="Vikesh Gupta"/>
    <s v="Douglas Lumb"/>
    <n v="4"/>
    <m/>
    <s v="ESG"/>
    <m/>
    <n v="5"/>
    <m/>
    <n v="4"/>
  </r>
  <r>
    <x v="137"/>
    <x v="136"/>
    <s v="No Assigned L6"/>
    <x v="0"/>
    <x v="19"/>
    <x v="1"/>
    <n v="0"/>
    <s v="EMEA"/>
    <s v="Israel"/>
    <m/>
    <m/>
    <m/>
    <s v="12/7"/>
    <m/>
    <s v="EC04-ISR Client (Netanya)"/>
    <s v=""/>
    <s v=""/>
    <n v="14"/>
    <m/>
    <m/>
    <m/>
    <n v="0"/>
    <m/>
    <m/>
  </r>
  <r>
    <x v="138"/>
    <x v="137"/>
    <s v="No Assigned L6"/>
    <x v="8"/>
    <x v="17"/>
    <x v="0"/>
    <n v="0"/>
    <s v="EMEA"/>
    <s v="Israel"/>
    <n v="0.61699999999999999"/>
    <n v="2.0281420527295535E-2"/>
    <m/>
    <s v="12/7"/>
    <m/>
    <s v="EC06-EC Server Basic Hebrew (CGS) NET"/>
    <s v=""/>
    <s v=""/>
    <n v="14"/>
    <m/>
    <s v="ESG"/>
    <m/>
    <n v="0"/>
    <m/>
    <m/>
  </r>
  <r>
    <x v="139"/>
    <x v="138"/>
    <s v="No Assigned L6"/>
    <x v="8"/>
    <x v="17"/>
    <x v="0"/>
    <n v="0"/>
    <s v="EMEA"/>
    <s v="Israel"/>
    <n v="0.61699999999999999"/>
    <n v="2.0281420527295535E-2"/>
    <m/>
    <s v="12/7"/>
    <m/>
    <s v="EC07-EC ProSupp Server Hebrew (CGS)"/>
    <s v=""/>
    <s v=""/>
    <n v="14"/>
    <m/>
    <s v="ESG"/>
    <m/>
    <n v="0"/>
    <m/>
    <m/>
  </r>
  <r>
    <x v="140"/>
    <x v="139"/>
    <s v="D'Arcy, Mark"/>
    <x v="8"/>
    <x v="17"/>
    <x v="0"/>
    <n v="0"/>
    <s v="EMEA"/>
    <s v="CER"/>
    <n v="0.61699999999999999"/>
    <n v="2.0281420527295535E-2"/>
    <m/>
    <s v="9/5"/>
    <s v="L1"/>
    <s v="EC14-EC POL Enterprise (HAL)"/>
    <s v="Vikesh Gupta"/>
    <s v="Douglas Lumb"/>
    <n v="4"/>
    <m/>
    <s v="ESG"/>
    <m/>
    <n v="11"/>
    <m/>
    <n v="4"/>
  </r>
  <r>
    <x v="141"/>
    <x v="140"/>
    <s v="D'Arcy, Mark"/>
    <x v="8"/>
    <x v="17"/>
    <x v="0"/>
    <n v="0"/>
    <s v="EMEA"/>
    <s v="CER"/>
    <n v="0.61699999999999999"/>
    <n v="2.0281420527295535E-2"/>
    <m/>
    <s v="10/5"/>
    <s v="L1"/>
    <s v="EC21-EC RUS Enterprise (HAL)"/>
    <s v="Vikesh Gupta"/>
    <s v="Douglas Lumb"/>
    <n v="7"/>
    <m/>
    <s v="ESG"/>
    <m/>
    <n v="4"/>
    <m/>
    <n v="7"/>
  </r>
  <r>
    <x v="142"/>
    <x v="141"/>
    <s v="D'Arcy, Mark"/>
    <x v="8"/>
    <x v="17"/>
    <x v="0"/>
    <n v="0"/>
    <s v="EMEA"/>
    <s v="SER"/>
    <n v="0.61699999999999999"/>
    <n v="2.0281420527295535E-2"/>
    <m/>
    <s v="12/6"/>
    <s v="L1"/>
    <s v="EC30-EC Basic Enterprise (CAS)"/>
    <s v="Vikesh Gupta"/>
    <s v="Douglas Lumb"/>
    <n v="10"/>
    <m/>
    <s v="ESG"/>
    <m/>
    <n v="8"/>
    <m/>
    <n v="10"/>
  </r>
  <r>
    <x v="143"/>
    <x v="142"/>
    <s v="D'Arcy, Mark"/>
    <x v="8"/>
    <x v="17"/>
    <x v="0"/>
    <n v="0"/>
    <s v="EMEA"/>
    <s v="SER"/>
    <n v="0.61699999999999999"/>
    <n v="2.0281420527295535E-2"/>
    <m/>
    <s v="12/6"/>
    <s v="L1"/>
    <s v="EC32-EC ProSupp Server Arabic (CAS)"/>
    <s v="Vikesh Gupta"/>
    <s v="Douglas Lumb"/>
    <n v="10"/>
    <m/>
    <s v="ESG"/>
    <m/>
    <n v="19"/>
    <m/>
    <n v="10"/>
  </r>
  <r>
    <x v="144"/>
    <x v="143"/>
    <s v="D'Arcy, Mark"/>
    <x v="8"/>
    <x v="17"/>
    <x v="0"/>
    <n v="0"/>
    <s v="EMEA"/>
    <s v="CER"/>
    <n v="0.61699999999999999"/>
    <n v="2.0281420527295535E-2"/>
    <m/>
    <s v="9/5"/>
    <s v="L1"/>
    <s v="EC33-EC ProSupp Server Turkish (HAL)"/>
    <s v="Vikesh Gupta"/>
    <s v="Douglas Lumb"/>
    <n v="4"/>
    <m/>
    <s v="ESG"/>
    <m/>
    <n v="7"/>
    <m/>
    <n v="4"/>
  </r>
  <r>
    <x v="145"/>
    <x v="144"/>
    <s v="D'Arcy, Mark"/>
    <x v="8"/>
    <x v="17"/>
    <x v="0"/>
    <n v="0"/>
    <s v="EMEA"/>
    <s v="CER"/>
    <n v="0.61699999999999999"/>
    <n v="2.0281420527295535E-2"/>
    <m/>
    <s v="12/5"/>
    <s v="L1"/>
    <s v="EC34-EC ProSupp Server CEE (HAL)"/>
    <s v="Vikesh Gupta"/>
    <s v="Douglas Lumb"/>
    <n v="8"/>
    <m/>
    <s v="ESG"/>
    <m/>
    <n v="5"/>
    <m/>
    <n v="8"/>
  </r>
  <r>
    <x v="146"/>
    <x v="145"/>
    <s v="Kenneally, Niall"/>
    <x v="9"/>
    <x v="18"/>
    <x v="0"/>
    <n v="0"/>
    <s v="EMEA"/>
    <s v="SER"/>
    <n v="0.61699999999999999"/>
    <n v="2.0281420527295535E-2"/>
    <m/>
    <s v="10/5"/>
    <s v="L1"/>
    <s v="EC39-EC ProSupp Storage"/>
    <s v="Vikesh Gupta"/>
    <s v="Miguel Galicia"/>
    <n v="7"/>
    <m/>
    <s v="ESG"/>
    <m/>
    <n v="0"/>
    <m/>
    <m/>
  </r>
  <r>
    <x v="147"/>
    <x v="146"/>
    <s v="D'Arcy, Mark"/>
    <x v="6"/>
    <x v="9"/>
    <x v="0"/>
    <s v="GS"/>
    <s v="Global"/>
    <s v="China"/>
    <n v="0.63300000000000001"/>
    <n v="1.1420812115295354E-2"/>
    <m/>
    <s v="24/7"/>
    <s v="L2"/>
    <s v="EG13-HCS Global Cloud Solutions"/>
    <s v="Komal Chhabra"/>
    <s v="Douglas Lumb"/>
    <n v="24"/>
    <n v="-0.11235410253260586"/>
    <s v="HES"/>
    <n v="13"/>
    <n v="64"/>
    <m/>
    <m/>
  </r>
  <r>
    <x v="148"/>
    <x v="44"/>
    <s v="No Assigned L6"/>
    <x v="0"/>
    <x v="20"/>
    <x v="1"/>
    <n v="0"/>
    <m/>
    <m/>
    <m/>
    <m/>
    <m/>
    <s v="11/5"/>
    <m/>
    <s v="EMC1-"/>
    <s v=""/>
    <s v=""/>
    <n v="8"/>
    <m/>
    <m/>
    <m/>
    <n v="0"/>
    <m/>
    <m/>
  </r>
  <r>
    <x v="149"/>
    <x v="147"/>
    <s v="No Assigned L6"/>
    <x v="0"/>
    <x v="1"/>
    <x v="1"/>
    <n v="0"/>
    <s v="EMEA"/>
    <s v="United Kingdom"/>
    <m/>
    <m/>
    <m/>
    <s v="12/7"/>
    <m/>
    <s v="EN01-Networking Product Escalations"/>
    <s v=""/>
    <s v=""/>
    <n v="14"/>
    <m/>
    <m/>
    <m/>
    <n v="0"/>
    <m/>
    <m/>
  </r>
  <r>
    <x v="150"/>
    <x v="148"/>
    <s v="No Assigned L6"/>
    <x v="0"/>
    <x v="0"/>
    <x v="0"/>
    <n v="0"/>
    <s v="EMEA"/>
    <s v="United Kingdom"/>
    <n v="0.61699999999999999"/>
    <n v="2.0281420527295535E-2"/>
    <m/>
    <s v="12/7"/>
    <m/>
    <s v="ER02-EMEA Support Resolution Team"/>
    <s v=""/>
    <s v=""/>
    <n v="14"/>
    <m/>
    <s v="ESG"/>
    <m/>
    <n v="0"/>
    <m/>
    <m/>
  </r>
  <r>
    <x v="151"/>
    <x v="149"/>
    <s v="Yap, Diane"/>
    <x v="2"/>
    <x v="4"/>
    <x v="0"/>
    <n v="0"/>
    <s v="EMEA"/>
    <s v="UKI"/>
    <n v="0.61699999999999999"/>
    <n v="2.0281420527295535E-2"/>
    <m/>
    <s v="12/7"/>
    <s v="L1"/>
    <s v="ES01-EMEA Static Central"/>
    <m/>
    <s v="Chen Zhou"/>
    <n v="14"/>
    <m/>
    <s v="ESG"/>
    <m/>
    <n v="1"/>
    <m/>
    <m/>
  </r>
  <r>
    <x v="152"/>
    <x v="150"/>
    <s v="No Assigned L6"/>
    <x v="0"/>
    <x v="0"/>
    <x v="1"/>
    <n v="0"/>
    <s v="EMEA"/>
    <s v="United Kingdom"/>
    <m/>
    <m/>
    <m/>
    <s v="12/7"/>
    <m/>
    <s v="ES03-EMEA SME Team"/>
    <s v=""/>
    <s v=""/>
    <n v="14"/>
    <m/>
    <m/>
    <m/>
    <n v="0"/>
    <m/>
    <m/>
  </r>
  <r>
    <x v="153"/>
    <x v="151"/>
    <s v="No Assigned L6"/>
    <x v="2"/>
    <x v="4"/>
    <x v="1"/>
    <n v="0"/>
    <s v="EMEA"/>
    <s v="United Kingdom"/>
    <m/>
    <m/>
    <m/>
    <s v="12/7"/>
    <m/>
    <s v="ES06-EMEA Technical Support Operations"/>
    <s v=""/>
    <s v=""/>
    <n v="14"/>
    <m/>
    <m/>
    <m/>
    <n v="0"/>
    <m/>
    <m/>
  </r>
  <r>
    <x v="154"/>
    <x v="152"/>
    <s v="No Assigned L6"/>
    <x v="0"/>
    <x v="3"/>
    <x v="1"/>
    <n v="0"/>
    <s v="EMEA"/>
    <s v="United Kingdom"/>
    <m/>
    <m/>
    <m/>
    <s v="12/7"/>
    <m/>
    <s v="ES07-EMEA VX Rail Storage"/>
    <s v=""/>
    <s v=""/>
    <n v="14"/>
    <m/>
    <m/>
    <m/>
    <n v="0"/>
    <m/>
    <m/>
  </r>
  <r>
    <x v="155"/>
    <x v="153"/>
    <s v="No Assigned L6"/>
    <x v="0"/>
    <x v="0"/>
    <x v="0"/>
    <n v="0"/>
    <s v="NAMER"/>
    <s v="United States"/>
    <n v="0.64800000000000002"/>
    <n v="1.621972640860141E-2"/>
    <m/>
    <s v="12/7"/>
    <m/>
    <s v="FD01-Federal Support NA"/>
    <s v=""/>
    <s v=""/>
    <n v="14"/>
    <m/>
    <s v="ESG"/>
    <m/>
    <n v="0"/>
    <m/>
    <m/>
  </r>
  <r>
    <x v="156"/>
    <x v="154"/>
    <s v="No Assigned L6"/>
    <x v="8"/>
    <x v="17"/>
    <x v="0"/>
    <n v="0"/>
    <s v="NAMER"/>
    <s v="United States"/>
    <n v="0.64800000000000002"/>
    <n v="1.621972640860141E-2"/>
    <m/>
    <s v="12/5"/>
    <s v="L1"/>
    <s v="FED4-Federal Server US"/>
    <s v=""/>
    <s v=""/>
    <n v="8"/>
    <m/>
    <s v="ESG"/>
    <m/>
    <n v="0"/>
    <m/>
    <m/>
  </r>
  <r>
    <x v="157"/>
    <x v="155"/>
    <s v="No Assigned L6"/>
    <x v="9"/>
    <x v="18"/>
    <x v="0"/>
    <n v="0"/>
    <s v="NAMER"/>
    <s v="United States"/>
    <n v="0.64800000000000002"/>
    <n v="1.621972640860141E-2"/>
    <m/>
    <s v="12/5"/>
    <m/>
    <s v="FED6-US Federal Support Storage"/>
    <s v=""/>
    <s v=""/>
    <n v="8"/>
    <m/>
    <s v="ESG"/>
    <m/>
    <n v="0"/>
    <m/>
    <m/>
  </r>
  <r>
    <x v="158"/>
    <x v="156"/>
    <s v="D'Arcy, Mark"/>
    <x v="8"/>
    <x v="17"/>
    <x v="0"/>
    <n v="0"/>
    <s v="EMEA"/>
    <s v="SER"/>
    <n v="0.61699999999999999"/>
    <n v="2.0281420527295535E-2"/>
    <m/>
    <s v="9/5"/>
    <s v="L1"/>
    <s v="FR05-FRA Basic Enterprise (CAS)"/>
    <s v="Vikesh Gupta"/>
    <s v="Douglas Lumb"/>
    <n v="4"/>
    <m/>
    <s v="ESG"/>
    <m/>
    <n v="6"/>
    <m/>
    <n v="4"/>
  </r>
  <r>
    <x v="159"/>
    <x v="157"/>
    <s v="D'Arcy, Mark"/>
    <x v="8"/>
    <x v="17"/>
    <x v="0"/>
    <n v="0"/>
    <s v="EMEA"/>
    <s v="SER"/>
    <n v="0.61699999999999999"/>
    <n v="2.0281420527295535E-2"/>
    <m/>
    <s v="10/5"/>
    <s v="L1"/>
    <s v="FR06-FRA Modular (MTP)"/>
    <s v="Vikesh Gupta"/>
    <s v="Douglas Lumb"/>
    <n v="7"/>
    <m/>
    <s v="ESG"/>
    <m/>
    <n v="12"/>
    <m/>
    <n v="7"/>
  </r>
  <r>
    <x v="160"/>
    <x v="158"/>
    <s v="D'Arcy, Mark"/>
    <x v="1"/>
    <x v="1"/>
    <x v="0"/>
    <n v="0"/>
    <s v="EMEA"/>
    <s v="SER"/>
    <n v="0.61699999999999999"/>
    <n v="2.0281420527295535E-2"/>
    <m/>
    <s v="10/5"/>
    <s v="L1"/>
    <s v="FR07-FRA Networking (MTP)"/>
    <s v="Vikesh Gupta"/>
    <s v="Douglas Lumb"/>
    <n v="7"/>
    <m/>
    <s v="ESG"/>
    <m/>
    <n v="8"/>
    <m/>
    <n v="7"/>
  </r>
  <r>
    <x v="161"/>
    <x v="159"/>
    <s v="No Assigned L6"/>
    <x v="8"/>
    <x v="17"/>
    <x v="0"/>
    <n v="0"/>
    <s v="EMEA"/>
    <s v="France"/>
    <n v="0.61699999999999999"/>
    <n v="2.0281420527295535E-2"/>
    <m/>
    <s v="12/7"/>
    <m/>
    <s v="FR08-FRA Solutions (MTP)"/>
    <s v=""/>
    <s v=""/>
    <n v="14"/>
    <m/>
    <s v="ESG"/>
    <m/>
    <n v="0"/>
    <m/>
    <m/>
  </r>
  <r>
    <x v="162"/>
    <x v="160"/>
    <s v="D'Arcy, Mark"/>
    <x v="8"/>
    <x v="17"/>
    <x v="0"/>
    <n v="0"/>
    <s v="EMEA"/>
    <s v="SER"/>
    <n v="0.61699999999999999"/>
    <n v="2.0281420527295535E-2"/>
    <m/>
    <s v="10/5"/>
    <s v="L1"/>
    <s v="FR09-FRA ProSupport Server (CAS)"/>
    <s v="Vikesh Gupta"/>
    <s v="Douglas Lumb"/>
    <n v="7"/>
    <m/>
    <s v="ESG"/>
    <m/>
    <n v="14"/>
    <m/>
    <n v="7"/>
  </r>
  <r>
    <x v="163"/>
    <x v="161"/>
    <s v="D'Arcy, Mark"/>
    <x v="8"/>
    <x v="17"/>
    <x v="0"/>
    <n v="0"/>
    <s v="EMEA"/>
    <s v="SER"/>
    <n v="0.61699999999999999"/>
    <n v="2.0281420527295535E-2"/>
    <m/>
    <s v="10/5"/>
    <s v="L1"/>
    <s v="FR11-FRA ProSupport Plus Server (MTP)"/>
    <s v="Vikesh Gupta"/>
    <s v="Douglas Lumb"/>
    <n v="7"/>
    <m/>
    <s v="ESG"/>
    <m/>
    <n v="15"/>
    <m/>
    <n v="7"/>
  </r>
  <r>
    <x v="164"/>
    <x v="162"/>
    <s v="No Assigned L6"/>
    <x v="8"/>
    <x v="17"/>
    <x v="0"/>
    <n v="0"/>
    <s v="EMEA"/>
    <s v="SER"/>
    <n v="0.61699999999999999"/>
    <n v="2.0281420527295535E-2"/>
    <m/>
    <s v="10/5"/>
    <s v="L1"/>
    <s v="FR12-FRA ProSupp Server Alternate"/>
    <s v=""/>
    <s v=""/>
    <n v="7"/>
    <m/>
    <s v="ESG"/>
    <m/>
    <n v="0"/>
    <m/>
    <m/>
  </r>
  <r>
    <x v="165"/>
    <x v="163"/>
    <s v="No Assigned L6"/>
    <x v="9"/>
    <x v="18"/>
    <x v="0"/>
    <n v="0"/>
    <s v="EMEA"/>
    <e v="#N/A"/>
    <n v="0.61699999999999999"/>
    <n v="2.0281420527295535E-2"/>
    <m/>
    <s v="10/5"/>
    <m/>
    <s v="FR13-ProSupp EQL (MTP)"/>
    <s v=""/>
    <s v=""/>
    <n v="7"/>
    <m/>
    <s v="ESG"/>
    <m/>
    <n v="0"/>
    <m/>
    <m/>
  </r>
  <r>
    <x v="166"/>
    <x v="164"/>
    <s v="No Assigned L6"/>
    <x v="9"/>
    <x v="18"/>
    <x v="0"/>
    <n v="0"/>
    <s v="EMEA"/>
    <s v="France"/>
    <n v="0.61699999999999999"/>
    <n v="2.0281420527295535E-2"/>
    <m/>
    <s v="12/7"/>
    <m/>
    <s v="FR23-FRA ProSupp Storage (MTP)"/>
    <s v=""/>
    <s v=""/>
    <n v="14"/>
    <m/>
    <s v="ESG"/>
    <m/>
    <n v="0"/>
    <m/>
    <m/>
  </r>
  <r>
    <x v="167"/>
    <x v="165"/>
    <s v="Kenneally, Niall"/>
    <x v="9"/>
    <x v="18"/>
    <x v="0"/>
    <n v="0"/>
    <s v="EMEA"/>
    <s v="SER"/>
    <n v="0.61699999999999999"/>
    <n v="2.0281420527295535E-2"/>
    <m/>
    <s v="10/5"/>
    <s v="L1"/>
    <s v="FR27-France Storage"/>
    <s v="Vikesh Gupta"/>
    <s v="Miguel Galicia"/>
    <n v="7"/>
    <m/>
    <s v="ESG"/>
    <m/>
    <n v="16"/>
    <m/>
    <n v="7"/>
  </r>
  <r>
    <x v="168"/>
    <x v="166"/>
    <s v="Yap, Diane"/>
    <x v="0"/>
    <x v="20"/>
    <x v="1"/>
    <m/>
    <s v="APJ"/>
    <s v="India"/>
    <m/>
    <m/>
    <m/>
    <m/>
    <s v="L1"/>
    <s v="GB01-UKISA Client DSP (BGL)"/>
    <m/>
    <m/>
    <m/>
    <m/>
    <m/>
    <m/>
    <n v="0"/>
    <m/>
    <m/>
  </r>
  <r>
    <x v="169"/>
    <x v="167"/>
    <s v="No Assigned L6"/>
    <x v="8"/>
    <x v="17"/>
    <x v="0"/>
    <n v="0"/>
    <s v="EMEA"/>
    <s v="United Kingdom"/>
    <n v="0.61699999999999999"/>
    <n v="2.0281420527295535E-2"/>
    <m/>
    <s v="14/5"/>
    <m/>
    <s v="GB08-UKISA Basic Enterprise (BGL)"/>
    <s v=""/>
    <s v=""/>
    <n v="10"/>
    <m/>
    <s v="ESG"/>
    <m/>
    <n v="0"/>
    <m/>
    <m/>
  </r>
  <r>
    <x v="170"/>
    <x v="168"/>
    <s v="No Assigned L6"/>
    <x v="9"/>
    <x v="18"/>
    <x v="0"/>
    <n v="0"/>
    <s v="EMEA"/>
    <s v="United Kingdom"/>
    <n v="0.61699999999999999"/>
    <n v="2.0281420527295535E-2"/>
    <m/>
    <s v="12/7"/>
    <m/>
    <s v="GB09-ProSupp Storage Co Pilot (CWD)"/>
    <s v=""/>
    <s v=""/>
    <n v="14"/>
    <m/>
    <s v="ESG"/>
    <m/>
    <n v="0"/>
    <m/>
    <m/>
  </r>
  <r>
    <x v="171"/>
    <x v="169"/>
    <s v="No Assigned L6"/>
    <x v="9"/>
    <x v="18"/>
    <x v="0"/>
    <n v="0"/>
    <s v="EMEA"/>
    <e v="#N/A"/>
    <n v="0.61699999999999999"/>
    <n v="2.0281420527295535E-2"/>
    <m/>
    <s v="10/5"/>
    <m/>
    <s v="GB10-ProSupp EQL (CWD)"/>
    <s v=""/>
    <s v=""/>
    <n v="7"/>
    <m/>
    <s v="ESG"/>
    <m/>
    <n v="0"/>
    <m/>
    <m/>
  </r>
  <r>
    <x v="172"/>
    <x v="170"/>
    <s v="D'Arcy, Mark"/>
    <x v="8"/>
    <x v="17"/>
    <x v="0"/>
    <n v="0"/>
    <s v="EMEA"/>
    <s v="UKI"/>
    <n v="0.61699999999999999"/>
    <n v="2.0281420527295535E-2"/>
    <m/>
    <s v="10/6"/>
    <s v="L1"/>
    <s v="GB11-ENG Modular (CWD)"/>
    <s v="Vikesh Gupta"/>
    <s v="Douglas Lumb"/>
    <n v="8"/>
    <m/>
    <s v="ESG"/>
    <m/>
    <n v="16"/>
    <m/>
    <n v="8"/>
  </r>
  <r>
    <x v="173"/>
    <x v="171"/>
    <s v="D'Arcy, Mark"/>
    <x v="1"/>
    <x v="1"/>
    <x v="0"/>
    <n v="0"/>
    <s v="EMEA"/>
    <s v="UKI"/>
    <n v="0.61699999999999999"/>
    <n v="2.0281420527295535E-2"/>
    <m/>
    <s v="10/5"/>
    <s v="L1"/>
    <s v="GB13-UKI Networking (CWD)"/>
    <s v="Vikesh Gupta"/>
    <s v="Douglas Lumb"/>
    <n v="7"/>
    <m/>
    <s v="ESG"/>
    <m/>
    <n v="15"/>
    <m/>
    <n v="7"/>
  </r>
  <r>
    <x v="174"/>
    <x v="172"/>
    <s v="No Assigned L6"/>
    <x v="8"/>
    <x v="17"/>
    <x v="0"/>
    <n v="0"/>
    <s v="EMEA"/>
    <s v="United Kingdom"/>
    <n v="0.61699999999999999"/>
    <n v="2.0281420527295535E-2"/>
    <m/>
    <s v="12/7"/>
    <m/>
    <s v="GB14-ENG Solutions (CWD)"/>
    <s v=""/>
    <s v=""/>
    <n v="14"/>
    <m/>
    <s v="ESG"/>
    <m/>
    <n v="0"/>
    <m/>
    <m/>
  </r>
  <r>
    <x v="175"/>
    <x v="173"/>
    <s v="D'Arcy, Mark"/>
    <x v="8"/>
    <x v="17"/>
    <x v="0"/>
    <n v="0"/>
    <s v="EMEA"/>
    <s v="UKI"/>
    <n v="0.61699999999999999"/>
    <n v="2.0281420527295535E-2"/>
    <m/>
    <s v="12/5"/>
    <s v="L1"/>
    <s v="GB16-ENG ProSupp Server 247 (CWD)"/>
    <s v="Vikesh Gupta"/>
    <s v="Douglas Lumb"/>
    <n v="8"/>
    <m/>
    <s v="ESG"/>
    <m/>
    <n v="42"/>
    <m/>
    <n v="8"/>
  </r>
  <r>
    <x v="176"/>
    <x v="174"/>
    <s v="D'Arcy, Mark"/>
    <x v="8"/>
    <x v="17"/>
    <x v="0"/>
    <n v="0"/>
    <s v="EMEA"/>
    <s v="SER"/>
    <n v="0.61699999999999999"/>
    <n v="5.6684491978609627E-2"/>
    <s v="High Attrition"/>
    <s v="11/5"/>
    <s v="L1"/>
    <s v="GB18-ENG ProSupp Server"/>
    <s v="Vikesh Gupta"/>
    <s v="Douglas Lumb"/>
    <n v="8"/>
    <m/>
    <s v="ESG"/>
    <m/>
    <n v="17"/>
    <m/>
    <n v="8"/>
  </r>
  <r>
    <x v="177"/>
    <x v="175"/>
    <s v="No Assigned L6"/>
    <x v="0"/>
    <x v="31"/>
    <x v="1"/>
    <n v="0"/>
    <s v="EMEA"/>
    <s v="United Kingdom"/>
    <m/>
    <m/>
    <m/>
    <s v="12/7"/>
    <m/>
    <s v="GB19-EMEA ProSupp SST"/>
    <s v=""/>
    <s v=""/>
    <n v="14"/>
    <m/>
    <m/>
    <m/>
    <n v="0"/>
    <m/>
    <m/>
  </r>
  <r>
    <x v="178"/>
    <x v="176"/>
    <s v="Kenneally, Niall"/>
    <x v="9"/>
    <x v="18"/>
    <x v="0"/>
    <n v="0"/>
    <s v="EMEA"/>
    <s v="UKI"/>
    <n v="0.61699999999999999"/>
    <n v="4.1739130434782612E-2"/>
    <s v="High Attrition"/>
    <s v="12/5"/>
    <s v="L1"/>
    <s v="GB21-ProSupp Storage 247 (CWD)"/>
    <s v="Vikesh Gupta"/>
    <s v="Miguel Galicia"/>
    <n v="8"/>
    <m/>
    <s v="ESG"/>
    <m/>
    <n v="25"/>
    <m/>
    <n v="8"/>
  </r>
  <r>
    <x v="179"/>
    <x v="177"/>
    <s v="No Assigned L6"/>
    <x v="0"/>
    <x v="17"/>
    <x v="1"/>
    <n v="0"/>
    <s v="EMEA"/>
    <s v="United Kingdom"/>
    <m/>
    <m/>
    <m/>
    <s v="12/7"/>
    <m/>
    <s v="GB23-Proactive Systems Maintenance EMEA"/>
    <s v=""/>
    <s v=""/>
    <n v="14"/>
    <m/>
    <m/>
    <m/>
    <n v="0"/>
    <m/>
    <m/>
  </r>
  <r>
    <x v="180"/>
    <x v="178"/>
    <s v="No Assigned L6"/>
    <x v="9"/>
    <x v="18"/>
    <x v="0"/>
    <n v="0"/>
    <s v="EMEA"/>
    <s v="SER"/>
    <n v="0.61699999999999999"/>
    <n v="2.0281420527295535E-2"/>
    <m/>
    <s v="11/5"/>
    <s v="L1"/>
    <s v="GB29-EMEA ProSupport Powerstore"/>
    <s v=""/>
    <s v=""/>
    <n v="8"/>
    <m/>
    <s v="ESG"/>
    <m/>
    <n v="0"/>
    <m/>
    <m/>
  </r>
  <r>
    <x v="181"/>
    <x v="179"/>
    <s v="Kenneally, Niall"/>
    <x v="9"/>
    <x v="18"/>
    <x v="0"/>
    <n v="0"/>
    <s v="EMEA"/>
    <s v="UKI"/>
    <n v="0.61699999999999999"/>
    <n v="2.0281420527295535E-2"/>
    <m/>
    <s v="11/5"/>
    <s v="L1"/>
    <s v="GB31-UKI Storage"/>
    <s v="Vikesh Gupta"/>
    <s v="Miguel Galicia"/>
    <n v="8"/>
    <m/>
    <s v="ESG"/>
    <m/>
    <n v="0"/>
    <m/>
    <m/>
  </r>
  <r>
    <x v="182"/>
    <x v="180"/>
    <s v="Brown, Dexter"/>
    <x v="0"/>
    <x v="20"/>
    <x v="1"/>
    <m/>
    <s v="Global"/>
    <s v="Global"/>
    <m/>
    <m/>
    <m/>
    <m/>
    <s v="Quality Coach"/>
    <s v="GC11-AST Quality Coach"/>
    <m/>
    <m/>
    <m/>
    <m/>
    <m/>
    <m/>
    <n v="3"/>
    <m/>
    <m/>
  </r>
  <r>
    <x v="183"/>
    <x v="181"/>
    <s v="Brown, Dexter"/>
    <x v="0"/>
    <x v="20"/>
    <x v="1"/>
    <m/>
    <s v="Global"/>
    <s v="Global"/>
    <m/>
    <m/>
    <m/>
    <m/>
    <s v="Quality Coach"/>
    <s v="GC12-E2E Quality Coach"/>
    <m/>
    <m/>
    <m/>
    <m/>
    <m/>
    <m/>
    <n v="3"/>
    <m/>
    <m/>
  </r>
  <r>
    <x v="184"/>
    <x v="182"/>
    <s v="Brown, Dexter"/>
    <x v="0"/>
    <x v="20"/>
    <x v="1"/>
    <m/>
    <s v="Global"/>
    <s v="Global"/>
    <m/>
    <m/>
    <m/>
    <m/>
    <s v="Quality Coach"/>
    <s v="GC13-GIST Quality Coach"/>
    <m/>
    <m/>
    <m/>
    <m/>
    <m/>
    <m/>
    <n v="13"/>
    <m/>
    <m/>
  </r>
  <r>
    <x v="185"/>
    <x v="183"/>
    <s v="Brown, Dexter"/>
    <x v="0"/>
    <x v="20"/>
    <x v="1"/>
    <m/>
    <s v="Global"/>
    <s v="Global"/>
    <m/>
    <m/>
    <m/>
    <m/>
    <s v="Quality Coach"/>
    <s v="GC14-Licensing Quality Coach"/>
    <m/>
    <m/>
    <m/>
    <m/>
    <m/>
    <m/>
    <n v="2"/>
    <m/>
    <m/>
  </r>
  <r>
    <x v="186"/>
    <x v="184"/>
    <s v="James Christmas"/>
    <x v="12"/>
    <x v="23"/>
    <x v="0"/>
    <m/>
    <s v="APJ"/>
    <s v="India"/>
    <m/>
    <n v="1.2017588546390416E-2"/>
    <m/>
    <m/>
    <s v="CTE"/>
    <s v="GCTE-CTE Global English"/>
    <m/>
    <m/>
    <m/>
    <m/>
    <m/>
    <m/>
    <n v="1"/>
    <m/>
    <m/>
  </r>
  <r>
    <x v="187"/>
    <x v="185"/>
    <s v="No Assigned L6"/>
    <x v="9"/>
    <x v="18"/>
    <x v="0"/>
    <n v="0"/>
    <s v="EMEA"/>
    <s v="Germany"/>
    <n v="0.61699999999999999"/>
    <n v="2.0281420527295535E-2"/>
    <m/>
    <s v="12/7"/>
    <m/>
    <s v="GG01-GER ProSupp Storage Co Pilot"/>
    <s v=""/>
    <s v=""/>
    <n v="14"/>
    <m/>
    <s v="ESG"/>
    <m/>
    <n v="0"/>
    <m/>
    <m/>
  </r>
  <r>
    <x v="188"/>
    <x v="186"/>
    <s v="Punch, Patrick"/>
    <x v="4"/>
    <x v="6"/>
    <x v="0"/>
    <s v="GS"/>
    <s v="Global"/>
    <s v="China"/>
    <n v="0.63300000000000001"/>
    <n v="1.1420812115295354E-2"/>
    <m/>
    <s v="24/7"/>
    <s v="L2"/>
    <s v="GH01-GLOBAL DPD AVAMAR"/>
    <s v="Komal Chhabra"/>
    <s v="Darrick Nelsen"/>
    <n v="24"/>
    <n v="5.9677884488921147E-2"/>
    <s v="HES"/>
    <n v="13"/>
    <n v="62"/>
    <m/>
    <m/>
  </r>
  <r>
    <x v="189"/>
    <x v="187"/>
    <s v="Punch, Patrick"/>
    <x v="4"/>
    <x v="32"/>
    <x v="0"/>
    <n v="0"/>
    <s v="Global"/>
    <s v="Ireland"/>
    <n v="0.63300000000000001"/>
    <n v="1.1420812115295354E-2"/>
    <m/>
    <n v="0"/>
    <s v="L1"/>
    <s v="GH02-GLOBAL DPD Cloudboost"/>
    <s v="Komal Chhabra"/>
    <s v="Darrick Nelsen"/>
    <n v="0"/>
    <n v="0.15033012127143286"/>
    <s v="HES"/>
    <n v="13"/>
    <n v="0"/>
    <m/>
    <m/>
  </r>
  <r>
    <x v="190"/>
    <x v="188"/>
    <s v="Punch, Patrick"/>
    <x v="4"/>
    <x v="8"/>
    <x v="0"/>
    <s v="GS"/>
    <s v="Global"/>
    <s v="Australia"/>
    <n v="0.63300000000000001"/>
    <n v="3.1765109890109888E-2"/>
    <s v="High Attrition"/>
    <s v="24/7"/>
    <s v="L2"/>
    <s v="GH03-GLOBAL DPD DataDomain"/>
    <s v="Komal Chhabra"/>
    <s v="Darrick Nelsen"/>
    <n v="24"/>
    <n v="4.591419013389781E-2"/>
    <s v="HES"/>
    <n v="13"/>
    <n v="45.8"/>
    <m/>
    <m/>
  </r>
  <r>
    <x v="191"/>
    <x v="189"/>
    <s v="Punch, Patrick"/>
    <x v="4"/>
    <x v="33"/>
    <x v="0"/>
    <n v="0"/>
    <s v="Global"/>
    <s v="Australia"/>
    <n v="0.63300000000000001"/>
    <n v="1.1420812115295354E-2"/>
    <m/>
    <s v="16/5, 9/2"/>
    <s v="L1"/>
    <s v="GH04-GLOBAL DPD DPA"/>
    <s v="Komal Chhabra"/>
    <s v="Darrick Nelsen"/>
    <n v="14"/>
    <n v="-0.17784135120824798"/>
    <s v="HES"/>
    <n v="13"/>
    <n v="14"/>
    <m/>
    <m/>
  </r>
  <r>
    <x v="192"/>
    <x v="190"/>
    <s v="No Assigned L6"/>
    <x v="4"/>
    <x v="34"/>
    <x v="0"/>
    <n v="0"/>
    <s v="Global"/>
    <s v="China"/>
    <n v="0.63300000000000001"/>
    <n v="1.1420812115295354E-2"/>
    <m/>
    <s v="16/5, 9/2"/>
    <s v="L1"/>
    <s v="GH05-GLOBAL DPD DPADSRT"/>
    <s v=""/>
    <s v=""/>
    <n v="14"/>
    <m/>
    <s v="HES"/>
    <n v="13"/>
    <n v="0"/>
    <m/>
    <m/>
  </r>
  <r>
    <x v="193"/>
    <x v="191"/>
    <s v="Punch, Patrick"/>
    <x v="4"/>
    <x v="15"/>
    <x v="0"/>
    <s v="GS"/>
    <s v="Global"/>
    <s v="Australia"/>
    <n v="0.63300000000000001"/>
    <n v="1.1420812115295354E-2"/>
    <m/>
    <s v="24/7"/>
    <s v="L2"/>
    <s v="GH06-GLOBAL DPD DPSolutions"/>
    <s v="Komal Chhabra"/>
    <s v="Darrick Nelsen"/>
    <n v="24"/>
    <n v="8.5411594543498046E-2"/>
    <s v="HES"/>
    <n v="13"/>
    <n v="0"/>
    <m/>
    <m/>
  </r>
  <r>
    <x v="194"/>
    <x v="192"/>
    <s v="Punch, Patrick"/>
    <x v="3"/>
    <x v="5"/>
    <x v="0"/>
    <s v="GS"/>
    <s v="Global"/>
    <s v="Australia"/>
    <n v="0.63300000000000001"/>
    <n v="1.1420812115295354E-2"/>
    <m/>
    <s v="24/7"/>
    <s v="L2"/>
    <s v="GH07-GLOBAL UDS Isilon"/>
    <s v="Komal Chhabra"/>
    <s v="Darrick Nelsen"/>
    <n v="24"/>
    <n v="7.2570423165627729E-2"/>
    <s v="HES"/>
    <n v="13"/>
    <n v="100"/>
    <m/>
    <m/>
  </r>
  <r>
    <x v="195"/>
    <x v="193"/>
    <s v="Punch, Patrick"/>
    <x v="4"/>
    <x v="11"/>
    <x v="0"/>
    <s v="GS"/>
    <s v="Global"/>
    <s v="Australia"/>
    <n v="0.63300000000000001"/>
    <n v="1.1420812115295354E-2"/>
    <m/>
    <s v="24/7"/>
    <s v="L2"/>
    <s v="GH08-GLOBAL DPD Networker"/>
    <s v="Komal Chhabra"/>
    <s v="Darrick Nelsen"/>
    <n v="24"/>
    <n v="3.2302794807395827E-2"/>
    <s v="HES"/>
    <n v="13"/>
    <n v="44"/>
    <m/>
    <m/>
  </r>
  <r>
    <x v="196"/>
    <x v="194"/>
    <s v="Punch, Patrick"/>
    <x v="3"/>
    <x v="35"/>
    <x v="0"/>
    <s v="GS"/>
    <s v="Global"/>
    <s v="Australia"/>
    <n v="0.63300000000000001"/>
    <n v="1.1420812115295354E-2"/>
    <m/>
    <s v="24/7"/>
    <s v="L1"/>
    <s v="GH09-GLOBAL UDS OBJ"/>
    <s v="Komal Chhabra"/>
    <s v="Darrick Nelsen"/>
    <n v="24"/>
    <n v="-5.8219408091732532E-2"/>
    <s v="HES"/>
    <n v="13"/>
    <n v="111"/>
    <m/>
    <m/>
  </r>
  <r>
    <x v="197"/>
    <x v="195"/>
    <s v="Punch, Patrick"/>
    <x v="4"/>
    <x v="36"/>
    <x v="0"/>
    <n v="0"/>
    <s v="Global"/>
    <s v="Australia"/>
    <n v="0.63300000000000001"/>
    <n v="1.1420812115295354E-2"/>
    <m/>
    <s v="24/7"/>
    <s v="L1"/>
    <s v="GH10-GLOBAL DPD PowerProtect"/>
    <s v="Komal Chhabra"/>
    <s v="Darrick Nelsen"/>
    <n v="24"/>
    <n v="0.11052103819479209"/>
    <s v="HES"/>
    <n v="13"/>
    <n v="54"/>
    <m/>
    <m/>
  </r>
  <r>
    <x v="198"/>
    <x v="196"/>
    <s v="Punch, Patrick"/>
    <x v="4"/>
    <x v="37"/>
    <x v="0"/>
    <n v="0"/>
    <s v="Global"/>
    <s v="Australia"/>
    <n v="0.63300000000000001"/>
    <n v="1.1420812115295354E-2"/>
    <m/>
    <s v="24/7"/>
    <s v="L1"/>
    <s v="GH11-GLOBAL DPD RecoverPoint"/>
    <s v="Komal Chhabra"/>
    <s v="Darrick Nelsen"/>
    <n v="24"/>
    <n v="4.1231258230523385E-2"/>
    <s v="HES"/>
    <n v="13"/>
    <n v="64"/>
    <m/>
    <m/>
  </r>
  <r>
    <x v="199"/>
    <x v="197"/>
    <s v="Punch, Patrick"/>
    <x v="4"/>
    <x v="38"/>
    <x v="0"/>
    <n v="0"/>
    <s v="Global"/>
    <s v="Australia"/>
    <n v="0.63300000000000001"/>
    <n v="1.1420812115295354E-2"/>
    <m/>
    <s v="11/7"/>
    <s v="L1"/>
    <s v="GH12-GLOBAL DPD SOURCEONE"/>
    <s v="Komal Chhabra"/>
    <s v="Darrick Nelsen"/>
    <n v="12"/>
    <n v="0.13846672944551311"/>
    <s v="HES"/>
    <n v="13"/>
    <n v="10"/>
    <m/>
    <m/>
  </r>
  <r>
    <x v="200"/>
    <x v="198"/>
    <s v="D'Arcy, Mark"/>
    <x v="6"/>
    <x v="9"/>
    <x v="0"/>
    <s v="GS"/>
    <s v="Global"/>
    <s v="Australia"/>
    <n v="0.63300000000000001"/>
    <n v="1.1420812115295354E-2"/>
    <m/>
    <s v="24/7"/>
    <s v="L2"/>
    <s v="GH13-HCS Global VxRail"/>
    <s v="Komal Chhabra"/>
    <s v="Douglas Lumb"/>
    <n v="24"/>
    <n v="-0.1012425220921913"/>
    <s v="HES"/>
    <n v="13"/>
    <n v="77"/>
    <m/>
    <m/>
  </r>
  <r>
    <x v="201"/>
    <x v="199"/>
    <s v="No Assigned L6"/>
    <x v="6"/>
    <x v="39"/>
    <x v="0"/>
    <s v="GS"/>
    <s v="Global"/>
    <s v="Australia"/>
    <n v="0.63300000000000001"/>
    <n v="1.1420812115295354E-2"/>
    <m/>
    <s v="24/7"/>
    <s v="L2"/>
    <s v="GH14-HCS Global PowerFlex"/>
    <s v=""/>
    <s v=""/>
    <n v="24"/>
    <m/>
    <s v="HES"/>
    <n v="13"/>
    <n v="0"/>
    <m/>
    <m/>
  </r>
  <r>
    <x v="202"/>
    <x v="200"/>
    <s v="D'Arcy, Mark"/>
    <x v="6"/>
    <x v="40"/>
    <x v="0"/>
    <s v="GS"/>
    <s v="Global"/>
    <s v="Australia"/>
    <n v="0.63300000000000001"/>
    <n v="1.1420812115295354E-2"/>
    <m/>
    <s v="24/7"/>
    <s v="L2"/>
    <s v="GH15-HCS Global Solutions"/>
    <s v="Komal Chhabra"/>
    <s v="Douglas Lumb"/>
    <n v="24"/>
    <n v="2.2883436797227957E-2"/>
    <s v="HES"/>
    <n v="13"/>
    <n v="20"/>
    <m/>
    <m/>
  </r>
  <r>
    <x v="203"/>
    <x v="201"/>
    <s v="Kenneally, Niall"/>
    <x v="5"/>
    <x v="7"/>
    <x v="0"/>
    <s v="GS"/>
    <s v="Global"/>
    <s v="Australia"/>
    <n v="0.63300000000000001"/>
    <n v="1.1420812115295354E-2"/>
    <m/>
    <s v="24/7"/>
    <s v="L2"/>
    <s v="GH16-GLOBAL HES Connectivity"/>
    <s v="Komal Chhabra"/>
    <s v="Miguel Galicia"/>
    <n v="24"/>
    <n v="5.705599620489693E-3"/>
    <s v="HES"/>
    <n v="13"/>
    <n v="28"/>
    <m/>
    <m/>
  </r>
  <r>
    <x v="204"/>
    <x v="202"/>
    <s v="Kenneally, Niall"/>
    <x v="5"/>
    <x v="41"/>
    <x v="0"/>
    <n v="0"/>
    <s v="Global"/>
    <s v="Australia"/>
    <n v="0.63300000000000001"/>
    <n v="1.1420812115295354E-2"/>
    <m/>
    <s v="24/7"/>
    <s v="L1"/>
    <s v="GH17-GLOBAL HES DLM"/>
    <s v="Komal Chhabra"/>
    <s v="Miguel Galicia"/>
    <n v="24"/>
    <n v="0.14669325758444926"/>
    <s v="HES"/>
    <n v="13"/>
    <n v="21"/>
    <m/>
    <m/>
  </r>
  <r>
    <x v="205"/>
    <x v="203"/>
    <s v="Kenneally, Niall"/>
    <x v="5"/>
    <x v="10"/>
    <x v="0"/>
    <s v="GS"/>
    <s v="Global"/>
    <s v="United States"/>
    <n v="0.63300000000000001"/>
    <n v="1.1420812115295354E-2"/>
    <m/>
    <s v="8/5"/>
    <s v="L2"/>
    <s v="GH18-GLOBAL HES Integrated_Software"/>
    <s v="Komal Chhabra"/>
    <s v="Miguel Galicia"/>
    <n v="4"/>
    <n v="5.6806350564746463E-2"/>
    <s v="HES"/>
    <n v="13"/>
    <n v="1"/>
    <m/>
    <m/>
  </r>
  <r>
    <x v="206"/>
    <x v="204"/>
    <s v="Kenneally, Niall"/>
    <x v="5"/>
    <x v="42"/>
    <x v="0"/>
    <s v="GS"/>
    <s v="Global"/>
    <s v="Australia"/>
    <n v="0.63300000000000001"/>
    <n v="1.1420812115295354E-2"/>
    <m/>
    <s v="16/5, 9/2"/>
    <s v="L2"/>
    <s v="GH19-GLOBAL HES Mainframe"/>
    <s v="Komal Chhabra"/>
    <s v="Miguel Galicia"/>
    <n v="14"/>
    <n v="6.7284174816359552E-2"/>
    <s v="HES"/>
    <n v="13"/>
    <n v="18"/>
    <m/>
    <m/>
  </r>
  <r>
    <x v="207"/>
    <x v="205"/>
    <s v="Kenneally, Niall"/>
    <x v="5"/>
    <x v="12"/>
    <x v="0"/>
    <s v="GS"/>
    <s v="Global"/>
    <s v="Australia"/>
    <n v="0.63300000000000001"/>
    <n v="1.1420812115295354E-2"/>
    <m/>
    <s v="24/7"/>
    <s v="L2"/>
    <s v="GH20-GLOBAL HES Symmetrix"/>
    <s v="Komal Chhabra"/>
    <s v="Miguel Galicia"/>
    <n v="24"/>
    <n v="-3.1454985835803109E-3"/>
    <s v="HES"/>
    <n v="13"/>
    <n v="90.5"/>
    <m/>
    <m/>
  </r>
  <r>
    <x v="208"/>
    <x v="206"/>
    <s v="Kenneally, Niall"/>
    <x v="5"/>
    <x v="13"/>
    <x v="0"/>
    <s v="GS"/>
    <s v="Global"/>
    <s v="Australia"/>
    <n v="0.63300000000000001"/>
    <n v="1.1420812115295354E-2"/>
    <m/>
    <s v="8/5"/>
    <s v="L2"/>
    <s v="GH21-GLOBAL HES SymmSW"/>
    <s v="Komal Chhabra"/>
    <s v="Miguel Galicia"/>
    <n v="4"/>
    <n v="-3.9638610132520478E-2"/>
    <s v="HES"/>
    <n v="13"/>
    <n v="5"/>
    <m/>
    <m/>
  </r>
  <r>
    <x v="209"/>
    <x v="207"/>
    <s v="Kenneally, Niall"/>
    <x v="7"/>
    <x v="2"/>
    <x v="0"/>
    <s v="GS"/>
    <s v="Global"/>
    <s v="Australia"/>
    <n v="0.63300000000000001"/>
    <n v="1.1420812115295354E-2"/>
    <m/>
    <s v="24/7"/>
    <s v="L2"/>
    <s v="GH22-GLOBAL HES MIDRANGE"/>
    <s v="Komal Chhabra"/>
    <s v="Miguel Galicia"/>
    <n v="24"/>
    <n v="-5.9802018868543297E-3"/>
    <s v="HES"/>
    <n v="13"/>
    <n v="80"/>
    <m/>
    <m/>
  </r>
  <r>
    <x v="210"/>
    <x v="208"/>
    <s v="Kenneally, Niall"/>
    <x v="5"/>
    <x v="14"/>
    <x v="0"/>
    <s v="GS"/>
    <s v="Global"/>
    <s v="Australia"/>
    <n v="0.63300000000000001"/>
    <n v="1.1420812115295354E-2"/>
    <m/>
    <s v="11/7"/>
    <s v="L2"/>
    <s v="GH23-GLOBAL HES Vplex"/>
    <s v="Komal Chhabra"/>
    <s v="Miguel Galicia"/>
    <n v="12"/>
    <n v="1.7968819852978235E-3"/>
    <s v="HES"/>
    <n v="13"/>
    <n v="15"/>
    <m/>
    <m/>
  </r>
  <r>
    <x v="211"/>
    <x v="209"/>
    <s v="Kenneally, Niall"/>
    <x v="5"/>
    <x v="43"/>
    <x v="0"/>
    <s v="GS"/>
    <s v="Global"/>
    <s v="Australia"/>
    <n v="0.63300000000000001"/>
    <n v="1.1420812115295354E-2"/>
    <m/>
    <s v="16/5, 9/2"/>
    <s v="L2"/>
    <s v="GH24-GLOBAL HES XtremIO"/>
    <s v="Komal Chhabra"/>
    <s v="Miguel Galicia"/>
    <n v="14"/>
    <n v="-7.4850880236444109E-2"/>
    <s v="HES"/>
    <n v="13"/>
    <n v="27"/>
    <m/>
    <m/>
  </r>
  <r>
    <x v="212"/>
    <x v="210"/>
    <s v="Punch, Patrick"/>
    <x v="4"/>
    <x v="44"/>
    <x v="0"/>
    <n v="0"/>
    <s v="Global"/>
    <s v="Global"/>
    <n v="0.63300000000000001"/>
    <n v="1.1420812115295354E-2"/>
    <m/>
    <s v="12/7"/>
    <m/>
    <s v="GH25-Global DPD PowerProtect Cyber"/>
    <s v="Komal Chhabra"/>
    <s v="Darrick Nelsen"/>
    <n v="14"/>
    <n v="0.33985543758114722"/>
    <s v="HES"/>
    <n v="13"/>
    <n v="24"/>
    <m/>
    <m/>
  </r>
  <r>
    <x v="213"/>
    <x v="211"/>
    <s v="Kenneally, Niall"/>
    <x v="9"/>
    <x v="18"/>
    <x v="0"/>
    <n v="0"/>
    <s v="Global"/>
    <s v="Global"/>
    <n v="0.63200000000000001"/>
    <n v="1.1420812115295354E-2"/>
    <m/>
    <s v="24/7"/>
    <s v="L1"/>
    <s v="Global Powerstore-Global Powerstore"/>
    <s v=""/>
    <s v="Miguel Galicia"/>
    <n v="24"/>
    <m/>
    <s v="ESG"/>
    <m/>
    <n v="0"/>
    <m/>
    <n v="24"/>
  </r>
  <r>
    <x v="214"/>
    <x v="211"/>
    <s v="Kenneally, Niall"/>
    <x v="9"/>
    <x v="18"/>
    <x v="0"/>
    <n v="0"/>
    <s v="Global"/>
    <s v="Global"/>
    <n v="0.63200000000000001"/>
    <n v="3.2698412698412699E-2"/>
    <s v="High Attrition"/>
    <s v="24/7"/>
    <s v="L1"/>
    <s v="GP01-Global Powerstore"/>
    <s v="Prachi Gupta"/>
    <s v="Miguel Galicia"/>
    <n v="24"/>
    <m/>
    <s v="ESG"/>
    <m/>
    <n v="113"/>
    <m/>
    <n v="24"/>
  </r>
  <r>
    <x v="215"/>
    <x v="212"/>
    <s v="Brown, Dexter"/>
    <x v="15"/>
    <x v="28"/>
    <x v="0"/>
    <n v="0"/>
    <s v="Global"/>
    <s v="Global"/>
    <n v="0.63300000000000001"/>
    <n v="1.1420812115295354E-2"/>
    <m/>
    <s v="12/7"/>
    <m/>
    <s v="GT06-Global Inbound Support Team"/>
    <s v="Prachi Gupta"/>
    <s v="Miguel Galicia"/>
    <n v="14"/>
    <m/>
    <s v="ESG"/>
    <m/>
    <n v="140"/>
    <m/>
    <n v="14"/>
  </r>
  <r>
    <x v="216"/>
    <x v="213"/>
    <s v="Yap, Diane"/>
    <x v="0"/>
    <x v="17"/>
    <x v="1"/>
    <n v="0"/>
    <s v="APJ"/>
    <s v="India"/>
    <n v="0.629"/>
    <m/>
    <m/>
    <s v="12/7"/>
    <m/>
    <s v="HC06-EMEA Static Revenue"/>
    <m/>
    <s v="Chen Zhou"/>
    <n v="14"/>
    <m/>
    <s v="ESG"/>
    <m/>
    <n v="1"/>
    <m/>
    <m/>
  </r>
  <r>
    <x v="217"/>
    <x v="214"/>
    <s v="D'Arcy, Mark"/>
    <x v="8"/>
    <x v="17"/>
    <x v="0"/>
    <n v="0"/>
    <s v="EMEA"/>
    <s v="Germany"/>
    <n v="0.61699999999999999"/>
    <n v="2.0281420527295535E-2"/>
    <m/>
    <s v="12/7"/>
    <m/>
    <s v="HC07-German Trainees"/>
    <m/>
    <s v="Douglas Lumb"/>
    <n v="14"/>
    <m/>
    <s v="ESG"/>
    <m/>
    <n v="9.75"/>
    <m/>
    <m/>
  </r>
  <r>
    <x v="218"/>
    <x v="215"/>
    <s v="No Assigned L6"/>
    <x v="15"/>
    <x v="28"/>
    <x v="0"/>
    <n v="0"/>
    <s v="EMEA"/>
    <s v="Egypt"/>
    <n v="0.61699999999999999"/>
    <n v="2.0281420527295535E-2"/>
    <m/>
    <s v="12/7"/>
    <s v="CST"/>
    <s v="HE01-HES Global CST Chat"/>
    <s v=""/>
    <s v=""/>
    <n v="14"/>
    <m/>
    <s v="HES"/>
    <n v="13"/>
    <n v="0"/>
    <m/>
    <m/>
  </r>
  <r>
    <x v="219"/>
    <x v="216"/>
    <s v="Brown, Dexter"/>
    <x v="15"/>
    <x v="28"/>
    <x v="0"/>
    <n v="0"/>
    <s v="EMEA"/>
    <s v="Egypt"/>
    <n v="0.63300000000000001"/>
    <n v="6.5131578947368415E-2"/>
    <s v="High Attrition"/>
    <s v="12/7"/>
    <s v="CST"/>
    <s v="HE02-HES Global CST eServices"/>
    <s v="Komal Chhabra"/>
    <s v="Miguel Galicia"/>
    <n v="14"/>
    <n v="2.7566283019081359"/>
    <s v="HES"/>
    <n v="13"/>
    <n v="39.5"/>
    <m/>
    <m/>
  </r>
  <r>
    <x v="220"/>
    <x v="217"/>
    <s v="No Assigned L6"/>
    <x v="0"/>
    <x v="22"/>
    <x v="1"/>
    <n v="0"/>
    <s v="Americas"/>
    <s v="United States"/>
    <m/>
    <m/>
    <m/>
    <s v="12/7"/>
    <m/>
    <s v="HE03-HES Global CST Management"/>
    <s v=""/>
    <s v=""/>
    <n v="14"/>
    <m/>
    <m/>
    <m/>
    <n v="0"/>
    <m/>
    <m/>
  </r>
  <r>
    <x v="221"/>
    <x v="76"/>
    <s v="No Assigned L6"/>
    <x v="0"/>
    <x v="22"/>
    <x v="1"/>
    <n v="0"/>
    <s v="Americas"/>
    <s v="United States"/>
    <m/>
    <m/>
    <m/>
    <s v="12/7"/>
    <m/>
    <s v="HE04-CST VIC"/>
    <s v=""/>
    <s v=""/>
    <n v="14"/>
    <m/>
    <m/>
    <m/>
    <n v="0"/>
    <m/>
    <m/>
  </r>
  <r>
    <x v="222"/>
    <x v="218"/>
    <s v="No Assigned L6"/>
    <x v="3"/>
    <x v="5"/>
    <x v="0"/>
    <n v="0"/>
    <s v="Global"/>
    <m/>
    <n v="0.63300000000000001"/>
    <n v="1.1420812115295354E-2"/>
    <m/>
    <s v="12/7"/>
    <m/>
    <s v="HE06-HES Global Isilon Support"/>
    <s v=""/>
    <s v=""/>
    <n v="14"/>
    <m/>
    <s v="HES"/>
    <n v="13"/>
    <n v="0"/>
    <m/>
    <m/>
  </r>
  <r>
    <x v="223"/>
    <x v="219"/>
    <s v="No Assigned L6"/>
    <x v="0"/>
    <x v="45"/>
    <x v="1"/>
    <n v="0"/>
    <s v="Global"/>
    <s v="Multiple Countries"/>
    <m/>
    <m/>
    <m/>
    <s v="12/7"/>
    <m/>
    <s v="HE09-HES Global Remote Proactive"/>
    <s v=""/>
    <s v=""/>
    <n v="14"/>
    <m/>
    <m/>
    <m/>
    <n v="0"/>
    <m/>
    <m/>
  </r>
  <r>
    <x v="224"/>
    <x v="220"/>
    <s v="No Assigned L6"/>
    <x v="5"/>
    <x v="10"/>
    <x v="0"/>
    <s v="GS"/>
    <s v="Global"/>
    <e v="#N/A"/>
    <n v="0.63300000000000001"/>
    <n v="1.1420812115295354E-2"/>
    <m/>
    <s v="12/7"/>
    <s v="L2"/>
    <s v="HE12-HES Global Integrated Software"/>
    <s v=""/>
    <s v=""/>
    <n v="14"/>
    <m/>
    <s v="HES"/>
    <n v="13"/>
    <n v="0"/>
    <m/>
    <m/>
  </r>
  <r>
    <x v="225"/>
    <x v="221"/>
    <s v="No Assigned L6"/>
    <x v="0"/>
    <x v="46"/>
    <x v="1"/>
    <n v="0"/>
    <s v="Global"/>
    <s v="Multiple Countries"/>
    <m/>
    <m/>
    <m/>
    <s v="12/7"/>
    <s v="DSE"/>
    <s v="HE16-HES Global DSE"/>
    <s v=""/>
    <s v=""/>
    <n v="14"/>
    <m/>
    <m/>
    <m/>
    <n v="0"/>
    <m/>
    <m/>
  </r>
  <r>
    <x v="226"/>
    <x v="222"/>
    <s v="D'Arcy, Mark"/>
    <x v="10"/>
    <x v="22"/>
    <x v="1"/>
    <n v="0"/>
    <s v="Global"/>
    <s v="Global"/>
    <n v="0.63300000000000001"/>
    <m/>
    <m/>
    <s v="12/7"/>
    <m/>
    <s v="HE17-HES Global Operations"/>
    <s v=""/>
    <s v=""/>
    <n v="14"/>
    <m/>
    <s v="ESG"/>
    <m/>
    <n v="0"/>
    <m/>
    <m/>
  </r>
  <r>
    <x v="227"/>
    <x v="223"/>
    <s v="No Assigned L6"/>
    <x v="6"/>
    <x v="9"/>
    <x v="0"/>
    <s v="GS"/>
    <s v="Global"/>
    <e v="#N/A"/>
    <n v="0.63300000000000001"/>
    <n v="1.1420812115295354E-2"/>
    <m/>
    <s v="12/7"/>
    <s v="L2"/>
    <s v="HE20-HES Global Hyperconverged"/>
    <s v=""/>
    <s v=""/>
    <n v="14"/>
    <m/>
    <s v="HES"/>
    <n v="13"/>
    <n v="0"/>
    <m/>
    <m/>
  </r>
  <r>
    <x v="228"/>
    <x v="224"/>
    <s v="No Assigned L6"/>
    <x v="5"/>
    <x v="12"/>
    <x v="0"/>
    <s v="GS"/>
    <s v="Global"/>
    <e v="#N/A"/>
    <n v="0.63300000000000001"/>
    <n v="1.1420812115295354E-2"/>
    <m/>
    <s v="12/7"/>
    <s v="L2"/>
    <s v="HE22-HES Global Symmetrix"/>
    <s v=""/>
    <s v=""/>
    <n v="14"/>
    <m/>
    <s v="HES"/>
    <n v="13"/>
    <n v="0"/>
    <m/>
    <m/>
  </r>
  <r>
    <x v="229"/>
    <x v="225"/>
    <s v="No Assigned L6"/>
    <x v="5"/>
    <x v="13"/>
    <x v="0"/>
    <s v="GS"/>
    <s v="Global"/>
    <e v="#N/A"/>
    <n v="0.63300000000000001"/>
    <n v="1.1420812115295354E-2"/>
    <m/>
    <s v="12/7"/>
    <s v="L2"/>
    <s v="HE23-HES Global SymmSW"/>
    <s v=""/>
    <s v=""/>
    <n v="14"/>
    <m/>
    <s v="HES"/>
    <n v="13"/>
    <n v="0"/>
    <m/>
    <m/>
  </r>
  <r>
    <x v="230"/>
    <x v="226"/>
    <s v="No Assigned L6"/>
    <x v="5"/>
    <x v="14"/>
    <x v="0"/>
    <s v="GS"/>
    <s v="Global"/>
    <e v="#N/A"/>
    <n v="0.63300000000000001"/>
    <n v="1.1420812115295354E-2"/>
    <m/>
    <s v="12/7"/>
    <s v="L2"/>
    <s v="HE24-HES Global Vplex"/>
    <s v=""/>
    <s v=""/>
    <n v="14"/>
    <m/>
    <s v="HES"/>
    <n v="13"/>
    <n v="0"/>
    <m/>
    <m/>
  </r>
  <r>
    <x v="231"/>
    <x v="227"/>
    <s v="No Assigned L6"/>
    <x v="5"/>
    <x v="42"/>
    <x v="0"/>
    <s v="GS"/>
    <s v="Global"/>
    <e v="#N/A"/>
    <n v="0.63300000000000001"/>
    <n v="1.1420812115295354E-2"/>
    <m/>
    <s v="12/7"/>
    <s v="L2"/>
    <s v="HE25-HES Global Mainframe"/>
    <s v=""/>
    <s v=""/>
    <n v="14"/>
    <m/>
    <s v="HES"/>
    <n v="13"/>
    <n v="0"/>
    <m/>
    <m/>
  </r>
  <r>
    <x v="232"/>
    <x v="228"/>
    <s v="No Assigned L6"/>
    <x v="5"/>
    <x v="41"/>
    <x v="0"/>
    <s v="GS"/>
    <s v="Global"/>
    <e v="#N/A"/>
    <n v="0.63300000000000001"/>
    <n v="1.1420812115295354E-2"/>
    <m/>
    <s v="12/7"/>
    <s v="L2"/>
    <s v="HE26-HES Global DLM"/>
    <s v=""/>
    <s v=""/>
    <n v="14"/>
    <m/>
    <s v="HES"/>
    <n v="13"/>
    <n v="0"/>
    <m/>
    <m/>
  </r>
  <r>
    <x v="233"/>
    <x v="229"/>
    <s v="No Assigned L6"/>
    <x v="5"/>
    <x v="43"/>
    <x v="0"/>
    <s v="GS"/>
    <s v="Global"/>
    <e v="#N/A"/>
    <n v="0.63300000000000001"/>
    <n v="1.1420812115295354E-2"/>
    <m/>
    <s v="12/7"/>
    <s v="L2"/>
    <s v="HE28-HES Global XtremIO"/>
    <s v=""/>
    <s v=""/>
    <n v="14"/>
    <m/>
    <s v="HES"/>
    <n v="13"/>
    <n v="0"/>
    <m/>
    <m/>
  </r>
  <r>
    <x v="234"/>
    <x v="230"/>
    <s v="No Assigned L6"/>
    <x v="5"/>
    <x v="7"/>
    <x v="0"/>
    <s v="GS"/>
    <s v="Global"/>
    <e v="#N/A"/>
    <n v="0.63300000000000001"/>
    <n v="1.1420812115295354E-2"/>
    <m/>
    <s v="12/7"/>
    <s v="L2"/>
    <s v="HE29-HES Global Connectivity"/>
    <s v=""/>
    <s v=""/>
    <n v="14"/>
    <m/>
    <s v="HES"/>
    <n v="13"/>
    <n v="0"/>
    <m/>
    <m/>
  </r>
  <r>
    <x v="235"/>
    <x v="231"/>
    <s v="No Assigned L6"/>
    <x v="6"/>
    <x v="40"/>
    <x v="0"/>
    <s v="GS"/>
    <s v="Global"/>
    <e v="#N/A"/>
    <n v="0.63300000000000001"/>
    <n v="1.1420812115295354E-2"/>
    <m/>
    <s v="12/7"/>
    <s v="L2"/>
    <s v="HE30-HES Global Solutions"/>
    <s v=""/>
    <s v=""/>
    <n v="14"/>
    <m/>
    <s v="HES"/>
    <n v="13"/>
    <n v="0"/>
    <m/>
    <m/>
  </r>
  <r>
    <x v="236"/>
    <x v="232"/>
    <s v="No Assigned L6"/>
    <x v="0"/>
    <x v="47"/>
    <x v="0"/>
    <s v="GS"/>
    <s v="Global"/>
    <e v="#N/A"/>
    <n v="0.63300000000000001"/>
    <n v="1.1420812115295354E-2"/>
    <m/>
    <s v="12/7"/>
    <s v="L2"/>
    <s v="HE32-HES Global SSG"/>
    <s v=""/>
    <s v=""/>
    <n v="14"/>
    <m/>
    <s v="HES"/>
    <n v="13"/>
    <n v="0"/>
    <m/>
    <m/>
  </r>
  <r>
    <x v="237"/>
    <x v="233"/>
    <s v="No Assigned L6"/>
    <x v="4"/>
    <x v="6"/>
    <x v="0"/>
    <s v="GS"/>
    <s v="Global"/>
    <e v="#N/A"/>
    <n v="0.63300000000000001"/>
    <n v="1.1420812115295354E-2"/>
    <m/>
    <s v="12/7"/>
    <s v="L2"/>
    <s v="HE36-HES Global AVAMAR"/>
    <s v=""/>
    <s v=""/>
    <n v="14"/>
    <m/>
    <s v="HES"/>
    <n v="13"/>
    <n v="0"/>
    <m/>
    <m/>
  </r>
  <r>
    <x v="238"/>
    <x v="234"/>
    <s v="No Assigned L6"/>
    <x v="4"/>
    <x v="11"/>
    <x v="0"/>
    <s v="GS"/>
    <s v="Global"/>
    <e v="#N/A"/>
    <n v="0.63300000000000001"/>
    <n v="1.1420812115295354E-2"/>
    <m/>
    <s v="12/7"/>
    <s v="L2"/>
    <s v="HE37-HES Global Networker"/>
    <s v=""/>
    <s v=""/>
    <n v="14"/>
    <m/>
    <s v="HES"/>
    <n v="13"/>
    <n v="0"/>
    <m/>
    <m/>
  </r>
  <r>
    <x v="239"/>
    <x v="235"/>
    <s v="No Assigned L6"/>
    <x v="4"/>
    <x v="8"/>
    <x v="0"/>
    <s v="GS"/>
    <s v="Global"/>
    <e v="#N/A"/>
    <n v="0.63300000000000001"/>
    <n v="1.1420812115295354E-2"/>
    <m/>
    <s v="12/7"/>
    <s v="L2"/>
    <s v="HE38-HES Global DATADomain"/>
    <s v=""/>
    <s v=""/>
    <n v="14"/>
    <m/>
    <s v="HES"/>
    <n v="13"/>
    <n v="0"/>
    <m/>
    <m/>
  </r>
  <r>
    <x v="240"/>
    <x v="236"/>
    <s v="No Assigned L6"/>
    <x v="4"/>
    <x v="37"/>
    <x v="0"/>
    <s v="GS"/>
    <s v="Global"/>
    <e v="#N/A"/>
    <n v="0.63300000000000001"/>
    <n v="1.1420812115295354E-2"/>
    <m/>
    <s v="12/7"/>
    <s v="L1"/>
    <s v="HE39-HES Global RecoverPoint"/>
    <s v=""/>
    <s v=""/>
    <n v="14"/>
    <m/>
    <s v="HES"/>
    <n v="13"/>
    <n v="0"/>
    <m/>
    <m/>
  </r>
  <r>
    <x v="241"/>
    <x v="237"/>
    <s v="No Assigned L6"/>
    <x v="5"/>
    <x v="34"/>
    <x v="0"/>
    <s v="GS"/>
    <s v="Global"/>
    <e v="#N/A"/>
    <n v="0.63300000000000001"/>
    <n v="1.1420812115295354E-2"/>
    <m/>
    <s v="12/7"/>
    <s v="L2"/>
    <s v="HE40-HES Global DPADSRT"/>
    <s v=""/>
    <s v=""/>
    <n v="14"/>
    <m/>
    <s v="HES"/>
    <n v="13"/>
    <n v="0"/>
    <m/>
    <m/>
  </r>
  <r>
    <x v="242"/>
    <x v="238"/>
    <s v="No Assigned L6"/>
    <x v="5"/>
    <x v="15"/>
    <x v="0"/>
    <s v="GS"/>
    <s v="Global"/>
    <e v="#N/A"/>
    <n v="0.63300000000000001"/>
    <n v="1.1420812115295354E-2"/>
    <m/>
    <s v="12/7"/>
    <s v="L2"/>
    <s v="HE41-HES Global DPSolutions"/>
    <s v=""/>
    <s v=""/>
    <n v="14"/>
    <m/>
    <s v="HES"/>
    <n v="13"/>
    <n v="0"/>
    <m/>
    <m/>
  </r>
  <r>
    <x v="243"/>
    <x v="239"/>
    <s v="No Assigned L6"/>
    <x v="4"/>
    <x v="33"/>
    <x v="0"/>
    <s v="GS"/>
    <s v="Global"/>
    <e v="#N/A"/>
    <n v="0.63300000000000001"/>
    <n v="1.1420812115295354E-2"/>
    <m/>
    <s v="12/7"/>
    <s v="L2"/>
    <s v="HE42-HES Global DPA"/>
    <s v=""/>
    <s v=""/>
    <n v="14"/>
    <m/>
    <s v="HES"/>
    <n v="13"/>
    <n v="0"/>
    <m/>
    <m/>
  </r>
  <r>
    <x v="244"/>
    <x v="240"/>
    <s v="No Assigned L6"/>
    <x v="4"/>
    <x v="38"/>
    <x v="0"/>
    <s v="GS"/>
    <s v="Global"/>
    <e v="#N/A"/>
    <n v="0.63300000000000001"/>
    <n v="1.1420812115295354E-2"/>
    <m/>
    <s v="12/7"/>
    <s v="L2"/>
    <s v="HE43-HES Global SOURCEONE"/>
    <s v=""/>
    <s v=""/>
    <n v="14"/>
    <m/>
    <s v="HES"/>
    <n v="13"/>
    <n v="0"/>
    <m/>
    <m/>
  </r>
  <r>
    <x v="245"/>
    <x v="241"/>
    <s v="No Assigned L6"/>
    <x v="4"/>
    <x v="32"/>
    <x v="0"/>
    <s v="GS"/>
    <s v="Global"/>
    <e v="#N/A"/>
    <n v="0.63300000000000001"/>
    <n v="1.1420812115295354E-2"/>
    <m/>
    <s v="12/7"/>
    <s v="L2"/>
    <s v="HE44-HES Global Cloudboost"/>
    <s v=""/>
    <s v=""/>
    <n v="14"/>
    <m/>
    <s v="HES"/>
    <n v="13"/>
    <n v="0"/>
    <m/>
    <m/>
  </r>
  <r>
    <x v="246"/>
    <x v="242"/>
    <s v="No Assigned L6"/>
    <x v="3"/>
    <x v="5"/>
    <x v="0"/>
    <s v="GS"/>
    <s v="Global"/>
    <e v="#N/A"/>
    <n v="0.63300000000000001"/>
    <n v="1.1420812115295354E-2"/>
    <m/>
    <s v="12/7"/>
    <s v="L2"/>
    <s v="HE47-HES Global Isilon"/>
    <s v=""/>
    <s v=""/>
    <n v="14"/>
    <m/>
    <s v="HES"/>
    <n v="13"/>
    <n v="0"/>
    <m/>
    <m/>
  </r>
  <r>
    <x v="247"/>
    <x v="243"/>
    <s v="No Assigned L6"/>
    <x v="3"/>
    <x v="35"/>
    <x v="0"/>
    <s v="GS"/>
    <s v="Global"/>
    <e v="#N/A"/>
    <n v="0.63300000000000001"/>
    <n v="1.1420812115295354E-2"/>
    <m/>
    <s v="12/7"/>
    <s v="L2"/>
    <s v="HE48-HES Global OBJ"/>
    <s v=""/>
    <s v=""/>
    <n v="14"/>
    <m/>
    <s v="HES"/>
    <n v="13"/>
    <n v="0"/>
    <m/>
    <m/>
  </r>
  <r>
    <x v="248"/>
    <x v="244"/>
    <s v="No Assigned L6"/>
    <x v="16"/>
    <x v="22"/>
    <x v="1"/>
    <n v="0"/>
    <s v="Global"/>
    <s v="Global"/>
    <n v="0.63300000000000001"/>
    <m/>
    <m/>
    <s v="12/7"/>
    <m/>
    <s v="HE52-HES Global RCM"/>
    <s v=""/>
    <s v=""/>
    <n v="14"/>
    <m/>
    <m/>
    <m/>
    <n v="0"/>
    <m/>
    <m/>
  </r>
  <r>
    <x v="249"/>
    <x v="245"/>
    <s v="No Assigned L6"/>
    <x v="13"/>
    <x v="25"/>
    <x v="0"/>
    <n v="0"/>
    <s v="Global"/>
    <s v="Multiple Countries"/>
    <n v="0.63300000000000001"/>
    <n v="1.1420812115295354E-2"/>
    <m/>
    <s v="12/7"/>
    <s v="L1"/>
    <s v="HE53-HES Global E2E CONNECTIVITY"/>
    <s v=""/>
    <s v=""/>
    <n v="14"/>
    <m/>
    <s v="HES"/>
    <n v="13"/>
    <n v="0"/>
    <m/>
    <m/>
  </r>
  <r>
    <x v="250"/>
    <x v="246"/>
    <s v="No Assigned L6"/>
    <x v="6"/>
    <x v="9"/>
    <x v="0"/>
    <n v="0"/>
    <s v="EMEA"/>
    <e v="#N/A"/>
    <n v="0.61699999999999999"/>
    <n v="2.0281420527295535E-2"/>
    <m/>
    <s v="12/7"/>
    <m/>
    <s v="HE58-German VXRail"/>
    <s v=""/>
    <s v=""/>
    <n v="14"/>
    <m/>
    <s v="HES"/>
    <n v="13"/>
    <n v="0"/>
    <m/>
    <m/>
  </r>
  <r>
    <x v="251"/>
    <x v="247"/>
    <s v="No Assigned L6"/>
    <x v="7"/>
    <x v="2"/>
    <x v="0"/>
    <n v="0"/>
    <s v="EMEA"/>
    <e v="#N/A"/>
    <n v="0.61699999999999999"/>
    <n v="2.0281420527295535E-2"/>
    <m/>
    <s v="12/7"/>
    <m/>
    <s v="HE59-German Midrange"/>
    <s v=""/>
    <s v=""/>
    <n v="14"/>
    <m/>
    <s v="HES"/>
    <n v="13"/>
    <n v="0"/>
    <m/>
    <m/>
  </r>
  <r>
    <x v="252"/>
    <x v="248"/>
    <s v="No Assigned L6"/>
    <x v="6"/>
    <x v="9"/>
    <x v="0"/>
    <n v="0"/>
    <s v="EMEA"/>
    <e v="#N/A"/>
    <n v="0.61699999999999999"/>
    <n v="2.0281420527295535E-2"/>
    <m/>
    <s v="12/7"/>
    <m/>
    <s v="HE61-French VXRail"/>
    <s v=""/>
    <s v=""/>
    <n v="14"/>
    <m/>
    <s v="HES"/>
    <n v="13"/>
    <n v="0"/>
    <m/>
    <m/>
  </r>
  <r>
    <x v="253"/>
    <x v="249"/>
    <s v="No Assigned L6"/>
    <x v="7"/>
    <x v="2"/>
    <x v="0"/>
    <n v="0"/>
    <s v="EMEA"/>
    <e v="#N/A"/>
    <n v="0.61699999999999999"/>
    <n v="2.0281420527295535E-2"/>
    <m/>
    <s v="12/7"/>
    <m/>
    <s v="HE62-French Midrange"/>
    <s v=""/>
    <s v=""/>
    <n v="14"/>
    <m/>
    <s v="HES"/>
    <n v="13"/>
    <n v="0"/>
    <m/>
    <m/>
  </r>
  <r>
    <x v="254"/>
    <x v="250"/>
    <s v="No Assigned L6"/>
    <x v="6"/>
    <x v="9"/>
    <x v="0"/>
    <n v="0"/>
    <s v="EMEA"/>
    <e v="#N/A"/>
    <n v="0.61699999999999999"/>
    <n v="2.0281420527295535E-2"/>
    <m/>
    <s v="12/7"/>
    <m/>
    <s v="HE63-UKI VXRail"/>
    <s v=""/>
    <s v=""/>
    <n v="14"/>
    <m/>
    <s v="HES"/>
    <n v="13"/>
    <n v="0"/>
    <m/>
    <m/>
  </r>
  <r>
    <x v="255"/>
    <x v="251"/>
    <s v="No Assigned L6"/>
    <x v="7"/>
    <x v="2"/>
    <x v="0"/>
    <n v="0"/>
    <s v="EMEA"/>
    <e v="#N/A"/>
    <n v="0.61699999999999999"/>
    <n v="2.0281420527295535E-2"/>
    <m/>
    <s v="12/7"/>
    <m/>
    <s v="HE64-UKI Midrange"/>
    <s v=""/>
    <s v=""/>
    <n v="14"/>
    <m/>
    <s v="HES"/>
    <n v="13"/>
    <n v="0"/>
    <m/>
    <m/>
  </r>
  <r>
    <x v="256"/>
    <x v="252"/>
    <s v="No Assigned L6"/>
    <x v="7"/>
    <x v="2"/>
    <x v="0"/>
    <n v="0"/>
    <s v="EMEA"/>
    <e v="#N/A"/>
    <n v="0.61699999999999999"/>
    <n v="2.0281420527295535E-2"/>
    <m/>
    <s v="12/7"/>
    <m/>
    <s v="HE66-Italian Midrange"/>
    <s v=""/>
    <s v=""/>
    <n v="14"/>
    <m/>
    <s v="HES"/>
    <n v="13"/>
    <n v="0"/>
    <m/>
    <m/>
  </r>
  <r>
    <x v="257"/>
    <x v="253"/>
    <s v="No Assigned L6"/>
    <x v="6"/>
    <x v="9"/>
    <x v="0"/>
    <n v="0"/>
    <s v="EMEA"/>
    <e v="#N/A"/>
    <n v="0.61699999999999999"/>
    <n v="2.0281420527295535E-2"/>
    <m/>
    <s v="12/7"/>
    <m/>
    <s v="HE67-Spanish VxRail"/>
    <s v=""/>
    <s v=""/>
    <n v="14"/>
    <m/>
    <s v="HES"/>
    <n v="13"/>
    <n v="0"/>
    <m/>
    <m/>
  </r>
  <r>
    <x v="258"/>
    <x v="254"/>
    <s v="No Assigned L6"/>
    <x v="7"/>
    <x v="2"/>
    <x v="0"/>
    <n v="0"/>
    <s v="EMEA"/>
    <e v="#N/A"/>
    <n v="0.61699999999999999"/>
    <n v="2.0281420527295535E-2"/>
    <m/>
    <s v="12/7"/>
    <m/>
    <s v="HE68-Spanish Midrange"/>
    <s v=""/>
    <s v=""/>
    <n v="14"/>
    <m/>
    <s v="HES"/>
    <n v="13"/>
    <n v="0"/>
    <m/>
    <m/>
  </r>
  <r>
    <x v="259"/>
    <x v="255"/>
    <s v="No Assigned L6"/>
    <x v="7"/>
    <x v="2"/>
    <x v="0"/>
    <n v="0"/>
    <s v="APJ"/>
    <e v="#N/A"/>
    <n v="0.629"/>
    <n v="1.2017588546390416E-2"/>
    <m/>
    <e v="#N/A"/>
    <m/>
    <s v="HE70-APJ English Midrange"/>
    <s v=""/>
    <s v=""/>
    <m/>
    <m/>
    <s v="HES"/>
    <n v="13"/>
    <n v="0"/>
    <m/>
    <m/>
  </r>
  <r>
    <x v="260"/>
    <x v="256"/>
    <s v="No Assigned L6"/>
    <x v="6"/>
    <x v="9"/>
    <x v="0"/>
    <n v="0"/>
    <s v="APJ"/>
    <e v="#N/A"/>
    <n v="0.629"/>
    <n v="1.2017588546390416E-2"/>
    <m/>
    <e v="#N/A"/>
    <m/>
    <s v="HE71-APJ English VxRail"/>
    <s v=""/>
    <s v=""/>
    <m/>
    <m/>
    <s v="HES"/>
    <n v="13"/>
    <n v="0"/>
    <m/>
    <m/>
  </r>
  <r>
    <x v="261"/>
    <x v="257"/>
    <s v="Yap, Diane"/>
    <x v="6"/>
    <x v="9"/>
    <x v="0"/>
    <n v="0"/>
    <s v="APJ"/>
    <s v="Korea"/>
    <n v="0.629"/>
    <n v="1.2017588546390416E-2"/>
    <m/>
    <s v="8/5"/>
    <s v="L1"/>
    <s v="HE72-HCS APJ VxRail Korean"/>
    <s v="Komal Chhabra"/>
    <s v="Chen Zhou"/>
    <n v="4"/>
    <n v="3.7786788873471686E-2"/>
    <s v="HES"/>
    <n v="13"/>
    <n v="7"/>
    <m/>
    <m/>
  </r>
  <r>
    <x v="262"/>
    <x v="258"/>
    <s v="Yap, Diane"/>
    <x v="15"/>
    <x v="28"/>
    <x v="0"/>
    <n v="0"/>
    <s v="APJ"/>
    <s v="Korea"/>
    <n v="0.629"/>
    <n v="1.2017588546390416E-2"/>
    <m/>
    <n v="0"/>
    <s v="CST"/>
    <s v="HE73-APJ HES CST Korean"/>
    <s v="Komal Chhabra"/>
    <s v="Chen Zhou"/>
    <n v="0"/>
    <m/>
    <s v="HES"/>
    <n v="13"/>
    <n v="15"/>
    <m/>
    <m/>
  </r>
  <r>
    <x v="263"/>
    <x v="259"/>
    <s v="No Assigned L6"/>
    <x v="7"/>
    <x v="2"/>
    <x v="0"/>
    <n v="0"/>
    <s v="NAMER"/>
    <e v="#N/A"/>
    <n v="0.64800000000000002"/>
    <n v="1.621972640860141E-2"/>
    <m/>
    <s v="12/7"/>
    <m/>
    <s v="HE74-WIPRO AMER Midrange"/>
    <s v=""/>
    <s v=""/>
    <n v="14"/>
    <m/>
    <s v="HES"/>
    <n v="13"/>
    <n v="0"/>
    <m/>
    <m/>
  </r>
  <r>
    <x v="264"/>
    <x v="260"/>
    <s v="No Assigned L6"/>
    <x v="3"/>
    <x v="5"/>
    <x v="0"/>
    <n v="0"/>
    <s v="NAMER"/>
    <e v="#N/A"/>
    <n v="0.64800000000000002"/>
    <n v="1.621972640860141E-2"/>
    <m/>
    <s v="12/7"/>
    <m/>
    <s v="HE78-NA Isilon HE Storage Voice"/>
    <s v=""/>
    <s v=""/>
    <n v="14"/>
    <m/>
    <s v="HES"/>
    <n v="13"/>
    <n v="0"/>
    <m/>
    <m/>
  </r>
  <r>
    <x v="265"/>
    <x v="261"/>
    <s v="No Assigned L6"/>
    <x v="5"/>
    <x v="12"/>
    <x v="0"/>
    <n v="0"/>
    <s v="EMEA"/>
    <e v="#N/A"/>
    <n v="0.61699999999999999"/>
    <n v="2.0281420527295535E-2"/>
    <m/>
    <s v="12/7"/>
    <m/>
    <s v="HE81-EMEA English VMAX"/>
    <s v=""/>
    <s v=""/>
    <n v="14"/>
    <m/>
    <s v="HES"/>
    <n v="13"/>
    <n v="0"/>
    <m/>
    <m/>
  </r>
  <r>
    <x v="266"/>
    <x v="262"/>
    <s v="No Assigned L6"/>
    <x v="5"/>
    <x v="12"/>
    <x v="0"/>
    <n v="0"/>
    <s v="NAMER"/>
    <e v="#N/A"/>
    <n v="0.64800000000000002"/>
    <n v="1.621972640860141E-2"/>
    <m/>
    <s v="12/7"/>
    <m/>
    <s v="HE85-AMER English VMAX"/>
    <s v=""/>
    <s v=""/>
    <n v="14"/>
    <m/>
    <s v="HES"/>
    <n v="13"/>
    <n v="0"/>
    <m/>
    <m/>
  </r>
  <r>
    <x v="267"/>
    <x v="263"/>
    <s v="No Assigned L6"/>
    <x v="5"/>
    <x v="12"/>
    <x v="0"/>
    <n v="0"/>
    <s v="EMEA"/>
    <e v="#N/A"/>
    <n v="0.61699999999999999"/>
    <n v="2.0281420527295535E-2"/>
    <m/>
    <s v="12/7"/>
    <m/>
    <s v="HE93-EMEA English Vplex"/>
    <s v=""/>
    <s v=""/>
    <n v="14"/>
    <m/>
    <s v="HES"/>
    <n v="13"/>
    <n v="0"/>
    <m/>
    <m/>
  </r>
  <r>
    <x v="268"/>
    <x v="264"/>
    <s v="No Assigned L6"/>
    <x v="5"/>
    <x v="12"/>
    <x v="0"/>
    <n v="0"/>
    <s v="NAMER"/>
    <e v="#N/A"/>
    <n v="0.64800000000000002"/>
    <n v="1.621972640860141E-2"/>
    <m/>
    <s v="12/7"/>
    <m/>
    <s v="HE95-AMER English Vplex"/>
    <s v=""/>
    <s v=""/>
    <n v="14"/>
    <m/>
    <s v="HES"/>
    <n v="13"/>
    <n v="0"/>
    <m/>
    <m/>
  </r>
  <r>
    <x v="269"/>
    <x v="265"/>
    <s v="No Assigned L6"/>
    <x v="5"/>
    <x v="7"/>
    <x v="0"/>
    <n v="0"/>
    <s v="EMEA"/>
    <e v="#N/A"/>
    <n v="0.61699999999999999"/>
    <n v="2.0281420527295535E-2"/>
    <m/>
    <s v="12/7"/>
    <s v="L1"/>
    <s v="HEA2-EMEA English Connectivity"/>
    <s v=""/>
    <s v=""/>
    <n v="14"/>
    <m/>
    <s v="HES"/>
    <n v="13"/>
    <n v="0"/>
    <m/>
    <m/>
  </r>
  <r>
    <x v="270"/>
    <x v="266"/>
    <s v="No Assigned L6"/>
    <x v="5"/>
    <x v="7"/>
    <x v="0"/>
    <n v="0"/>
    <s v="NAMER"/>
    <e v="#N/A"/>
    <n v="0.64800000000000002"/>
    <n v="1.621972640860141E-2"/>
    <m/>
    <s v="12/7"/>
    <s v="L1"/>
    <s v="HEA5-AMER English Connectivity"/>
    <s v=""/>
    <s v=""/>
    <n v="14"/>
    <m/>
    <s v="HES"/>
    <n v="13"/>
    <n v="0"/>
    <m/>
    <m/>
  </r>
  <r>
    <x v="271"/>
    <x v="267"/>
    <s v="No Assigned L6"/>
    <x v="5"/>
    <x v="43"/>
    <x v="0"/>
    <n v="0"/>
    <s v="EMEA"/>
    <e v="#N/A"/>
    <n v="0.61699999999999999"/>
    <n v="2.0281420527295535E-2"/>
    <m/>
    <s v="12/7"/>
    <m/>
    <s v="HEA9-EMEA English XtremIO"/>
    <s v=""/>
    <s v=""/>
    <n v="14"/>
    <m/>
    <s v="HES"/>
    <n v="13"/>
    <n v="0"/>
    <m/>
    <m/>
  </r>
  <r>
    <x v="272"/>
    <x v="268"/>
    <s v="No Assigned L6"/>
    <x v="5"/>
    <x v="43"/>
    <x v="0"/>
    <n v="0"/>
    <s v="NAMER"/>
    <e v="#N/A"/>
    <n v="0.64800000000000002"/>
    <n v="1.621972640860141E-2"/>
    <m/>
    <s v="12/7"/>
    <m/>
    <s v="HEB0-AMER English XtremIO"/>
    <s v=""/>
    <s v=""/>
    <n v="14"/>
    <m/>
    <s v="HES"/>
    <n v="13"/>
    <n v="0"/>
    <m/>
    <m/>
  </r>
  <r>
    <x v="273"/>
    <x v="269"/>
    <s v="No Assigned L6"/>
    <x v="5"/>
    <x v="10"/>
    <x v="0"/>
    <n v="0"/>
    <s v="NAMER"/>
    <e v="#N/A"/>
    <n v="0.64800000000000002"/>
    <n v="1.621972640860141E-2"/>
    <m/>
    <s v="12/7"/>
    <m/>
    <s v="HEB4-AMER English Integrated Software"/>
    <s v=""/>
    <s v=""/>
    <n v="14"/>
    <m/>
    <s v="HES"/>
    <n v="13"/>
    <n v="0"/>
    <m/>
    <m/>
  </r>
  <r>
    <x v="274"/>
    <x v="269"/>
    <s v="No Assigned L6"/>
    <x v="5"/>
    <x v="10"/>
    <x v="0"/>
    <n v="0"/>
    <s v="NAMER"/>
    <e v="#N/A"/>
    <n v="0.64800000000000002"/>
    <n v="1.621972640860141E-2"/>
    <m/>
    <s v="12/7"/>
    <m/>
    <s v="HEB5-AMER English Integrated Software"/>
    <s v=""/>
    <s v=""/>
    <n v="14"/>
    <m/>
    <s v="HES"/>
    <n v="13"/>
    <n v="0"/>
    <m/>
    <m/>
  </r>
  <r>
    <x v="275"/>
    <x v="270"/>
    <s v="No Assigned L6"/>
    <x v="3"/>
    <x v="5"/>
    <x v="0"/>
    <n v="0"/>
    <s v="NAMER"/>
    <e v="#N/A"/>
    <n v="0.64800000000000002"/>
    <n v="1.621972640860141E-2"/>
    <m/>
    <s v="12/7"/>
    <m/>
    <s v="HEC5-Amer English Isilon"/>
    <s v=""/>
    <s v=""/>
    <n v="14"/>
    <m/>
    <s v="HES"/>
    <n v="13"/>
    <n v="0"/>
    <m/>
    <m/>
  </r>
  <r>
    <x v="276"/>
    <x v="271"/>
    <s v="No Assigned L6"/>
    <x v="3"/>
    <x v="5"/>
    <x v="0"/>
    <n v="0"/>
    <s v="EMEA"/>
    <e v="#N/A"/>
    <n v="0.61699999999999999"/>
    <n v="2.0281420527295535E-2"/>
    <m/>
    <s v="12/7"/>
    <m/>
    <s v="HEC6-EMEA English Isilon"/>
    <s v=""/>
    <s v=""/>
    <n v="14"/>
    <m/>
    <s v="HES"/>
    <n v="13"/>
    <n v="0"/>
    <m/>
    <m/>
  </r>
  <r>
    <x v="277"/>
    <x v="272"/>
    <s v="No Assigned L6"/>
    <x v="0"/>
    <x v="5"/>
    <x v="0"/>
    <n v="0"/>
    <s v="APJ"/>
    <e v="#N/A"/>
    <n v="0.629"/>
    <n v="1.2017588546390416E-2"/>
    <m/>
    <e v="#N/A"/>
    <m/>
    <s v="HEC7-APJ English Isilon"/>
    <s v=""/>
    <s v=""/>
    <m/>
    <m/>
    <s v="HES"/>
    <n v="13"/>
    <n v="0"/>
    <m/>
    <m/>
  </r>
  <r>
    <x v="278"/>
    <x v="273"/>
    <s v="No Assigned L6"/>
    <x v="4"/>
    <x v="11"/>
    <x v="0"/>
    <n v="0"/>
    <s v="NAMER"/>
    <e v="#N/A"/>
    <n v="0.64800000000000002"/>
    <n v="1.621972640860141E-2"/>
    <m/>
    <s v="12/7"/>
    <m/>
    <s v="HED3-AMER English Networker"/>
    <s v=""/>
    <s v=""/>
    <n v="14"/>
    <m/>
    <s v="HES"/>
    <n v="13"/>
    <n v="0"/>
    <m/>
    <m/>
  </r>
  <r>
    <x v="279"/>
    <x v="274"/>
    <s v="No Assigned L6"/>
    <x v="4"/>
    <x v="11"/>
    <x v="0"/>
    <n v="0"/>
    <s v="EMEA"/>
    <e v="#N/A"/>
    <n v="0.61699999999999999"/>
    <n v="2.0281420527295535E-2"/>
    <m/>
    <s v="12/7"/>
    <m/>
    <s v="HED7-EMEA English Networker"/>
    <s v=""/>
    <s v=""/>
    <n v="14"/>
    <m/>
    <s v="HES"/>
    <n v="13"/>
    <n v="0"/>
    <m/>
    <m/>
  </r>
  <r>
    <x v="280"/>
    <x v="275"/>
    <s v="No Assigned L6"/>
    <x v="3"/>
    <x v="35"/>
    <x v="0"/>
    <n v="0"/>
    <s v="NAMER"/>
    <e v="#N/A"/>
    <n v="0.64800000000000002"/>
    <n v="1.621972640860141E-2"/>
    <m/>
    <s v="12/7"/>
    <m/>
    <s v="HEF2-AMER English OBJ"/>
    <s v=""/>
    <s v=""/>
    <n v="14"/>
    <m/>
    <s v="HES"/>
    <n v="13"/>
    <n v="0"/>
    <m/>
    <m/>
  </r>
  <r>
    <x v="281"/>
    <x v="276"/>
    <s v="No Assigned L6"/>
    <x v="3"/>
    <x v="35"/>
    <x v="0"/>
    <n v="0"/>
    <s v="EMEA"/>
    <e v="#N/A"/>
    <n v="0.61699999999999999"/>
    <n v="2.0281420527295535E-2"/>
    <m/>
    <s v="12/7"/>
    <m/>
    <s v="HEF5-EMEA English OBJ"/>
    <s v=""/>
    <s v=""/>
    <n v="14"/>
    <m/>
    <s v="HES"/>
    <n v="13"/>
    <n v="0"/>
    <m/>
    <m/>
  </r>
  <r>
    <x v="282"/>
    <x v="277"/>
    <s v="No Assigned L6"/>
    <x v="4"/>
    <x v="6"/>
    <x v="0"/>
    <n v="0"/>
    <s v="NAMER"/>
    <e v="#N/A"/>
    <n v="0.64800000000000002"/>
    <n v="1.621972640860141E-2"/>
    <m/>
    <s v="12/7"/>
    <s v="L1"/>
    <s v="HEG4-AMER English Avamar"/>
    <s v=""/>
    <s v=""/>
    <n v="14"/>
    <m/>
    <s v="HES"/>
    <n v="13"/>
    <n v="0"/>
    <m/>
    <m/>
  </r>
  <r>
    <x v="283"/>
    <x v="278"/>
    <s v="No Assigned L6"/>
    <x v="4"/>
    <x v="6"/>
    <x v="0"/>
    <n v="0"/>
    <s v="EMEA"/>
    <e v="#N/A"/>
    <n v="0.61699999999999999"/>
    <n v="2.0281420527295535E-2"/>
    <m/>
    <s v="12/7"/>
    <s v="L1"/>
    <s v="HEG8-EMEA English Avamar"/>
    <s v=""/>
    <s v=""/>
    <n v="14"/>
    <m/>
    <s v="HES"/>
    <n v="13"/>
    <n v="0"/>
    <m/>
    <m/>
  </r>
  <r>
    <x v="284"/>
    <x v="279"/>
    <s v="No Assigned L6"/>
    <x v="4"/>
    <x v="8"/>
    <x v="0"/>
    <n v="0"/>
    <s v="NAMER"/>
    <e v="#N/A"/>
    <n v="0.64800000000000002"/>
    <n v="1.621972640860141E-2"/>
    <m/>
    <s v="12/7"/>
    <s v="L1"/>
    <s v="HEH6-AMER English DataDomain"/>
    <s v=""/>
    <s v=""/>
    <n v="14"/>
    <m/>
    <s v="HES"/>
    <n v="13"/>
    <n v="0"/>
    <m/>
    <m/>
  </r>
  <r>
    <x v="285"/>
    <x v="280"/>
    <s v="No Assigned L6"/>
    <x v="4"/>
    <x v="8"/>
    <x v="0"/>
    <n v="0"/>
    <s v="EMEA"/>
    <e v="#N/A"/>
    <n v="0.61699999999999999"/>
    <n v="2.0281420527295535E-2"/>
    <m/>
    <s v="12/7"/>
    <s v="L1"/>
    <s v="HEJ1-EMEA English DataDomain"/>
    <s v=""/>
    <s v=""/>
    <n v="14"/>
    <m/>
    <s v="HES"/>
    <n v="13"/>
    <n v="0"/>
    <m/>
    <m/>
  </r>
  <r>
    <x v="286"/>
    <x v="281"/>
    <s v="Yap, Diane"/>
    <x v="5"/>
    <x v="12"/>
    <x v="0"/>
    <n v="0"/>
    <s v="APJ"/>
    <s v="Korea"/>
    <n v="0.629"/>
    <n v="1.2017588546390416E-2"/>
    <m/>
    <n v="0"/>
    <s v="L1"/>
    <s v="HEK8-APJ HES Symmetrix Korean"/>
    <s v="Komal Chhabra"/>
    <s v="Chen Zhou"/>
    <n v="0"/>
    <n v="0.85315827701351199"/>
    <s v="HES"/>
    <n v="13"/>
    <n v="2"/>
    <m/>
    <m/>
  </r>
  <r>
    <x v="287"/>
    <x v="282"/>
    <s v="No Assigned L6"/>
    <x v="4"/>
    <x v="48"/>
    <x v="0"/>
    <n v="0"/>
    <s v="Global"/>
    <e v="#N/A"/>
    <n v="0.63300000000000001"/>
    <n v="1.1420812115295354E-2"/>
    <m/>
    <s v="12/7"/>
    <m/>
    <s v="HW03-HES Global DPD Solutions WIPRO"/>
    <s v=""/>
    <s v=""/>
    <n v="14"/>
    <m/>
    <s v="HES"/>
    <n v="13"/>
    <n v="0"/>
    <m/>
    <m/>
  </r>
  <r>
    <x v="288"/>
    <x v="283"/>
    <s v="No Assigned L6"/>
    <x v="4"/>
    <x v="48"/>
    <x v="0"/>
    <n v="0"/>
    <s v="Global"/>
    <e v="#N/A"/>
    <n v="0.63300000000000001"/>
    <n v="1.1420812115295354E-2"/>
    <m/>
    <s v="12/7"/>
    <m/>
    <s v="HW06-HES Global RecoverPoint WIPRO"/>
    <s v=""/>
    <s v=""/>
    <n v="14"/>
    <m/>
    <s v="HES"/>
    <n v="13"/>
    <n v="0"/>
    <m/>
    <m/>
  </r>
  <r>
    <x v="289"/>
    <x v="284"/>
    <s v="No Assigned L6"/>
    <x v="0"/>
    <x v="20"/>
    <x v="0"/>
    <m/>
    <m/>
    <m/>
    <m/>
    <m/>
    <m/>
    <m/>
    <m/>
    <s v="HWPA-Honeywell Panama"/>
    <s v=""/>
    <s v=""/>
    <m/>
    <m/>
    <s v="ESG"/>
    <m/>
    <n v="0"/>
    <m/>
    <m/>
  </r>
  <r>
    <x v="290"/>
    <x v="285"/>
    <s v="Yap, Diane"/>
    <x v="8"/>
    <x v="17"/>
    <x v="0"/>
    <n v="0"/>
    <s v="APJ"/>
    <s v="South Asia"/>
    <n v="0.629"/>
    <n v="1.2017588546390416E-2"/>
    <m/>
    <s v="9/5"/>
    <s v="L1"/>
    <s v="ID06-Enterprise Pro/Core ID"/>
    <s v="Tiani Liang (Joey) "/>
    <s v="Chen Zhou"/>
    <n v="4"/>
    <m/>
    <s v="ESG"/>
    <m/>
    <n v="7"/>
    <m/>
    <n v="4"/>
  </r>
  <r>
    <x v="291"/>
    <x v="286"/>
    <s v="No Assigned L6"/>
    <x v="0"/>
    <x v="2"/>
    <x v="0"/>
    <n v="0"/>
    <s v="India"/>
    <e v="#N/A"/>
    <n v="0.629"/>
    <n v="1.2017588546390416E-2"/>
    <m/>
    <e v="#N/A"/>
    <m/>
    <s v="IM01-IND Midrange Storage VNX/e"/>
    <s v=""/>
    <s v=""/>
    <m/>
    <m/>
    <s v="HES"/>
    <n v="13"/>
    <n v="0"/>
    <m/>
    <m/>
  </r>
  <r>
    <x v="292"/>
    <x v="287"/>
    <s v="No Assigned L6"/>
    <x v="0"/>
    <x v="20"/>
    <x v="0"/>
    <m/>
    <m/>
    <m/>
    <m/>
    <m/>
    <m/>
    <m/>
    <m/>
    <s v="IN01-Workstation IND"/>
    <s v=""/>
    <s v=""/>
    <m/>
    <m/>
    <s v="ESG"/>
    <m/>
    <n v="0"/>
    <m/>
    <m/>
  </r>
  <r>
    <x v="293"/>
    <x v="288"/>
    <s v="Yap, Diane"/>
    <x v="9"/>
    <x v="18"/>
    <x v="0"/>
    <n v="0"/>
    <s v="APJ"/>
    <s v="India"/>
    <n v="0.629"/>
    <n v="1.2017588546390416E-2"/>
    <m/>
    <s v="12/5"/>
    <s v="L1"/>
    <s v="IN14-Storage IND"/>
    <s v="Tiani Liang (Joey) "/>
    <s v="Chen Zhou"/>
    <n v="8"/>
    <m/>
    <s v="ESG"/>
    <m/>
    <n v="28"/>
    <m/>
    <n v="8"/>
  </r>
  <r>
    <x v="294"/>
    <x v="289"/>
    <s v="No Assigned L6"/>
    <x v="8"/>
    <x v="17"/>
    <x v="0"/>
    <n v="0"/>
    <s v="India"/>
    <s v="India"/>
    <n v="0.629"/>
    <n v="1.2017588546390416E-2"/>
    <m/>
    <s v="12/7"/>
    <m/>
    <s v="IN15-Server Core IND"/>
    <s v=""/>
    <s v=""/>
    <n v="14"/>
    <m/>
    <s v="ESG"/>
    <m/>
    <n v="0"/>
    <m/>
    <m/>
  </r>
  <r>
    <x v="295"/>
    <x v="290"/>
    <s v="Yap, Diane"/>
    <x v="8"/>
    <x v="17"/>
    <x v="0"/>
    <n v="0"/>
    <s v="APJ"/>
    <s v="India"/>
    <n v="0.629"/>
    <n v="1.2017588546390416E-2"/>
    <m/>
    <s v="12/5"/>
    <s v="L1"/>
    <s v="IN16-Server ProSupport IND"/>
    <s v="Tiani Liang (Joey) "/>
    <s v="Chen Zhou"/>
    <n v="8"/>
    <m/>
    <s v="ESG"/>
    <m/>
    <n v="67"/>
    <m/>
    <n v="8"/>
  </r>
  <r>
    <x v="296"/>
    <x v="291"/>
    <s v="No Assigned L6"/>
    <x v="0"/>
    <x v="49"/>
    <x v="1"/>
    <n v="0"/>
    <s v="APJ"/>
    <s v="India"/>
    <n v="0.629"/>
    <m/>
    <m/>
    <s v="12/7"/>
    <m/>
    <s v="IN19-Wyse IND"/>
    <s v=""/>
    <s v=""/>
    <n v="14"/>
    <m/>
    <s v="ESG"/>
    <m/>
    <n v="1"/>
    <m/>
    <m/>
  </r>
  <r>
    <x v="297"/>
    <x v="292"/>
    <s v="No Assigned L6"/>
    <x v="0"/>
    <x v="20"/>
    <x v="0"/>
    <m/>
    <m/>
    <m/>
    <m/>
    <m/>
    <m/>
    <m/>
    <m/>
    <s v="INCV-India Core Concentrix"/>
    <s v=""/>
    <s v=""/>
    <m/>
    <m/>
    <s v="ESG"/>
    <m/>
    <n v="0"/>
    <m/>
    <m/>
  </r>
  <r>
    <x v="298"/>
    <x v="293"/>
    <s v="No Assigned L6"/>
    <x v="0"/>
    <x v="20"/>
    <x v="0"/>
    <m/>
    <m/>
    <m/>
    <m/>
    <m/>
    <m/>
    <m/>
    <m/>
    <s v="INPX-India Premium Support"/>
    <s v=""/>
    <s v=""/>
    <m/>
    <m/>
    <s v="ESG"/>
    <m/>
    <n v="0"/>
    <m/>
    <m/>
  </r>
  <r>
    <x v="299"/>
    <x v="294"/>
    <s v="Yap, Diane"/>
    <x v="1"/>
    <x v="1"/>
    <x v="0"/>
    <n v="0"/>
    <s v="APJ"/>
    <s v="India"/>
    <n v="0.629"/>
    <n v="1.2017588546390416E-2"/>
    <m/>
    <s v="12/5"/>
    <s v="L1"/>
    <s v="INT1-Networking IND"/>
    <s v="Tiani Liang (Joey) "/>
    <s v="Chen Zhou"/>
    <n v="8"/>
    <m/>
    <s v="ESG"/>
    <m/>
    <n v="10"/>
    <m/>
    <n v="8"/>
  </r>
  <r>
    <x v="300"/>
    <x v="295"/>
    <s v="Yap, Diane"/>
    <x v="3"/>
    <x v="5"/>
    <x v="0"/>
    <n v="0"/>
    <s v="APJ"/>
    <s v="Australia"/>
    <n v="0.629"/>
    <n v="1.2017588546390416E-2"/>
    <m/>
    <s v="15/7, Oncall"/>
    <s v="L1"/>
    <s v="IS01-APJ UDS Isilon"/>
    <s v="Komal Chhabra"/>
    <s v="Chen Zhou"/>
    <n v="16"/>
    <n v="5.3359295422458104E-2"/>
    <s v="HES"/>
    <n v="13"/>
    <n v="49"/>
    <m/>
    <m/>
  </r>
  <r>
    <x v="301"/>
    <x v="296"/>
    <s v="Punch, Patrick"/>
    <x v="3"/>
    <x v="5"/>
    <x v="0"/>
    <n v="0"/>
    <s v="EMEA"/>
    <s v="Egypt"/>
    <n v="0.61699999999999999"/>
    <n v="2.0281420527295535E-2"/>
    <m/>
    <s v="12/5, 8/2"/>
    <s v="L1"/>
    <s v="IS02-EMEA UDS Isilon"/>
    <s v="Komal Chhabra"/>
    <s v="Darrick Nelsen"/>
    <n v="11"/>
    <n v="6.393217941914453E-2"/>
    <s v="HES"/>
    <n v="13"/>
    <n v="59.875"/>
    <m/>
    <m/>
  </r>
  <r>
    <x v="302"/>
    <x v="297"/>
    <s v="No Assigned L6"/>
    <x v="3"/>
    <x v="5"/>
    <x v="0"/>
    <n v="0"/>
    <s v="India"/>
    <e v="#N/A"/>
    <n v="0.629"/>
    <n v="1.2017588546390416E-2"/>
    <m/>
    <s v="10/7"/>
    <m/>
    <s v="IS03-India UDS Isilon"/>
    <s v=""/>
    <s v=""/>
    <n v="12"/>
    <m/>
    <s v="HES"/>
    <n v="13"/>
    <n v="0"/>
    <m/>
    <m/>
  </r>
  <r>
    <x v="303"/>
    <x v="298"/>
    <s v="Paris, Claudia"/>
    <x v="3"/>
    <x v="5"/>
    <x v="0"/>
    <n v="0"/>
    <s v="LATAM"/>
    <s v="Other MMCLA"/>
    <n v="0.626"/>
    <n v="1.0983368455756886E-2"/>
    <m/>
    <s v="9/5"/>
    <s v="L1"/>
    <s v="IS04-LATAM UDS Isilon"/>
    <s v="Komal Chhabra"/>
    <s v="Darrick Nelsen"/>
    <n v="4"/>
    <n v="9.5157702835761013E-2"/>
    <s v="HES"/>
    <n v="13"/>
    <n v="13"/>
    <m/>
    <m/>
  </r>
  <r>
    <x v="304"/>
    <x v="299"/>
    <s v="Punch, Patrick"/>
    <x v="3"/>
    <x v="5"/>
    <x v="0"/>
    <n v="0"/>
    <s v="NAMER"/>
    <s v="Costa Rica"/>
    <n v="0.64800000000000002"/>
    <n v="1.621972640860141E-2"/>
    <m/>
    <s v="12/7"/>
    <s v="L1"/>
    <s v="IS05-NAMER UDS Isilon"/>
    <s v="Komal Chhabra"/>
    <s v="Darrick Nelsen"/>
    <n v="14"/>
    <n v="8.5702194111957342E-2"/>
    <s v="HES"/>
    <n v="13"/>
    <n v="90"/>
    <m/>
    <m/>
  </r>
  <r>
    <x v="305"/>
    <x v="300"/>
    <s v="Yap, Diane"/>
    <x v="4"/>
    <x v="6"/>
    <x v="0"/>
    <n v="0"/>
    <s v="APJ"/>
    <s v="Australia"/>
    <n v="0.629"/>
    <n v="1.2017588546390416E-2"/>
    <m/>
    <s v="12/5, 8/2"/>
    <s v="L1"/>
    <s v="IS11-APJ DPD AVAMAR"/>
    <s v="Komal Chhabra"/>
    <s v="Chen Zhou"/>
    <n v="11"/>
    <n v="0.15705299151383045"/>
    <s v="HES"/>
    <n v="13"/>
    <n v="24"/>
    <m/>
    <m/>
  </r>
  <r>
    <x v="306"/>
    <x v="301"/>
    <s v="Yap, Diane"/>
    <x v="5"/>
    <x v="7"/>
    <x v="0"/>
    <n v="0"/>
    <s v="APJ"/>
    <s v="India"/>
    <n v="0.629"/>
    <n v="1.2017588546390416E-2"/>
    <m/>
    <s v="14/5, 9/1"/>
    <s v="L1"/>
    <s v="IS14-APJ HES Connectivity"/>
    <s v="Komal Chhabra"/>
    <s v="Chen Zhou"/>
    <n v="13"/>
    <n v="-7.9756795122818358E-2"/>
    <s v="HES"/>
    <n v="13"/>
    <n v="15"/>
    <m/>
    <m/>
  </r>
  <r>
    <x v="307"/>
    <x v="302"/>
    <s v="Yap, Diane"/>
    <x v="4"/>
    <x v="8"/>
    <x v="0"/>
    <n v="0"/>
    <s v="APJ"/>
    <s v="Australia"/>
    <n v="0.629"/>
    <n v="1.2017588546390416E-2"/>
    <m/>
    <s v="9/5, 6/2"/>
    <s v="L1"/>
    <s v="IS15-APJ DPD DataDomain"/>
    <s v="Komal Chhabra"/>
    <s v="Chen Zhou"/>
    <n v="7"/>
    <n v="-2.3960006131373352E-2"/>
    <s v="HES"/>
    <n v="13"/>
    <n v="19"/>
    <m/>
    <m/>
  </r>
  <r>
    <x v="308"/>
    <x v="303"/>
    <s v="Yap, Diane"/>
    <x v="4"/>
    <x v="15"/>
    <x v="0"/>
    <n v="0"/>
    <s v="APJ"/>
    <s v="Australia"/>
    <n v="0.629"/>
    <n v="1.2017588546390416E-2"/>
    <m/>
    <s v="12/5, 8/2"/>
    <s v="L1"/>
    <s v="IS19-APJ DPD DPSolutions"/>
    <s v="Komal Chhabra"/>
    <s v="Chen Zhou"/>
    <n v="11"/>
    <n v="0.10864502583157117"/>
    <s v="HES"/>
    <n v="13"/>
    <n v="0"/>
    <m/>
    <m/>
  </r>
  <r>
    <x v="309"/>
    <x v="304"/>
    <s v="Yap, Diane"/>
    <x v="6"/>
    <x v="9"/>
    <x v="0"/>
    <n v="0"/>
    <s v="APJ"/>
    <s v="Australia"/>
    <n v="0.629"/>
    <n v="2.5708635464733027E-2"/>
    <s v="High Attrition"/>
    <s v="15/7"/>
    <s v="L1"/>
    <s v="IS20-HCS APJ VxRail"/>
    <s v="Komal Chhabra"/>
    <s v="Chen Zhou"/>
    <n v="16"/>
    <n v="-0.11507523075577042"/>
    <s v="HES"/>
    <n v="13"/>
    <n v="34"/>
    <m/>
    <m/>
  </r>
  <r>
    <x v="310"/>
    <x v="305"/>
    <s v="Yap, Diane"/>
    <x v="5"/>
    <x v="10"/>
    <x v="0"/>
    <n v="0"/>
    <s v="APJ"/>
    <s v="Australia"/>
    <n v="0.629"/>
    <n v="1.2017588546390416E-2"/>
    <m/>
    <s v="15/7"/>
    <s v="L1"/>
    <s v="IS21-APJ HES Integrated_Software"/>
    <s v="Komal Chhabra"/>
    <s v="Chen Zhou"/>
    <n v="16"/>
    <n v="6.11073471769919E-2"/>
    <s v="HES"/>
    <n v="13"/>
    <n v="19"/>
    <m/>
    <m/>
  </r>
  <r>
    <x v="311"/>
    <x v="306"/>
    <s v="Yap, Diane"/>
    <x v="4"/>
    <x v="11"/>
    <x v="0"/>
    <n v="0"/>
    <s v="APJ"/>
    <s v="Australia"/>
    <n v="0.629"/>
    <n v="1.2017588546390416E-2"/>
    <m/>
    <s v="11/5, 8/2"/>
    <s v="L1"/>
    <s v="IS23-APJ DPD Networker"/>
    <s v="Komal Chhabra"/>
    <s v="Chen Zhou"/>
    <n v="12"/>
    <n v="6.8369481305510266E-2"/>
    <s v="HES"/>
    <n v="13"/>
    <n v="18"/>
    <m/>
    <m/>
  </r>
  <r>
    <x v="312"/>
    <x v="307"/>
    <s v="No Assigned L6"/>
    <x v="3"/>
    <x v="35"/>
    <x v="0"/>
    <n v="0"/>
    <s v="NAMER"/>
    <e v="#N/A"/>
    <n v="0.64800000000000002"/>
    <n v="1.621972640860141E-2"/>
    <m/>
    <s v="12/7"/>
    <m/>
    <s v="IS24-NAMER DPD OBJ"/>
    <s v=""/>
    <s v=""/>
    <n v="14"/>
    <m/>
    <s v="HES"/>
    <n v="13"/>
    <n v="0"/>
    <m/>
    <m/>
  </r>
  <r>
    <x v="313"/>
    <x v="308"/>
    <s v="Yap, Diane"/>
    <x v="5"/>
    <x v="12"/>
    <x v="0"/>
    <n v="0"/>
    <s v="APJ"/>
    <s v="Australia"/>
    <n v="0.629"/>
    <n v="1.2017588546390416E-2"/>
    <m/>
    <s v="10/7"/>
    <s v="L1"/>
    <s v="IS31-APJ HES Symmetrix"/>
    <s v="Komal Chhabra"/>
    <s v="Chen Zhou"/>
    <n v="12"/>
    <n v="2.7360486599834713E-2"/>
    <s v="HES"/>
    <n v="13"/>
    <n v="16"/>
    <m/>
    <m/>
  </r>
  <r>
    <x v="314"/>
    <x v="309"/>
    <s v="Yap, Diane"/>
    <x v="5"/>
    <x v="13"/>
    <x v="0"/>
    <n v="0"/>
    <s v="APJ"/>
    <s v="Australia"/>
    <n v="0.629"/>
    <n v="1.2017588546390416E-2"/>
    <m/>
    <s v="10/7"/>
    <s v="L1"/>
    <s v="IS32-APJ HES SymmSW"/>
    <s v="Komal Chhabra"/>
    <s v="Chen Zhou"/>
    <n v="12"/>
    <n v="-5.1682451183588558E-2"/>
    <s v="HES"/>
    <n v="13"/>
    <n v="17"/>
    <m/>
    <m/>
  </r>
  <r>
    <x v="315"/>
    <x v="310"/>
    <s v="Yap, Diane"/>
    <x v="7"/>
    <x v="2"/>
    <x v="0"/>
    <n v="0"/>
    <s v="APJ"/>
    <s v="Australia"/>
    <n v="0.629"/>
    <n v="1.2017588546390416E-2"/>
    <m/>
    <s v="16/7"/>
    <s v="L1"/>
    <s v="IS34-APJ HES MIDRANGE"/>
    <s v="Komal Chhabra"/>
    <s v="Chen Zhou"/>
    <n v="16"/>
    <n v="-3.1883583443040521E-2"/>
    <s v="HES"/>
    <n v="13"/>
    <n v="25"/>
    <m/>
    <m/>
  </r>
  <r>
    <x v="316"/>
    <x v="311"/>
    <s v="Yap, Diane"/>
    <x v="5"/>
    <x v="14"/>
    <x v="0"/>
    <n v="0"/>
    <s v="APJ"/>
    <s v="Australia"/>
    <n v="0.629"/>
    <n v="1.2017588546390416E-2"/>
    <m/>
    <s v="8/7"/>
    <s v="L1"/>
    <s v="IS36-APJ HES Vplex"/>
    <s v="Komal Chhabra"/>
    <s v="Chen Zhou"/>
    <n v="9"/>
    <n v="-6.8143558997062023E-2"/>
    <s v="HES"/>
    <n v="13"/>
    <n v="14"/>
    <m/>
    <m/>
  </r>
  <r>
    <x v="317"/>
    <x v="312"/>
    <s v="Yap, Diane"/>
    <x v="5"/>
    <x v="43"/>
    <x v="0"/>
    <n v="0"/>
    <s v="APJ"/>
    <s v="Japan"/>
    <n v="0.629"/>
    <n v="1.2017588546390416E-2"/>
    <m/>
    <s v="8/5"/>
    <s v="L1"/>
    <s v="IS37-APJ HES XtremIO"/>
    <s v="Komal Chhabra"/>
    <s v="Chen Zhou"/>
    <n v="4"/>
    <n v="-4.4224877019683237E-2"/>
    <s v="HES"/>
    <n v="13"/>
    <n v="6"/>
    <m/>
    <m/>
  </r>
  <r>
    <x v="318"/>
    <x v="313"/>
    <s v="Punch, Patrick"/>
    <x v="4"/>
    <x v="6"/>
    <x v="0"/>
    <n v="0"/>
    <s v="EMEA"/>
    <s v="Egypt"/>
    <n v="0.61699999999999999"/>
    <n v="2.0281420527295535E-2"/>
    <m/>
    <s v="8/7"/>
    <s v="L1"/>
    <s v="IS38-EMEA DPD AVAMAR"/>
    <s v="Komal Chhabra"/>
    <s v="Darrick Nelsen"/>
    <n v="9"/>
    <n v="1.7132707715723443E-2"/>
    <s v="HES"/>
    <n v="13"/>
    <n v="32"/>
    <m/>
    <m/>
  </r>
  <r>
    <x v="319"/>
    <x v="314"/>
    <s v="Kenneally, Niall"/>
    <x v="5"/>
    <x v="7"/>
    <x v="0"/>
    <n v="0"/>
    <s v="EMEA"/>
    <s v="Egypt"/>
    <n v="0.61699999999999999"/>
    <n v="2.0281420527295535E-2"/>
    <m/>
    <s v="8/7"/>
    <s v="L1"/>
    <s v="IS41-EMEA HES Connectivity"/>
    <s v="Komal Chhabra"/>
    <s v="Miguel Galicia"/>
    <n v="9"/>
    <n v="4.3444883037946124E-3"/>
    <s v="HES"/>
    <n v="13"/>
    <n v="10"/>
    <m/>
    <m/>
  </r>
  <r>
    <x v="320"/>
    <x v="315"/>
    <s v="Punch, Patrick"/>
    <x v="4"/>
    <x v="8"/>
    <x v="0"/>
    <n v="0"/>
    <s v="EMEA"/>
    <s v="Egypt"/>
    <n v="0.61699999999999999"/>
    <n v="2.0281420527295535E-2"/>
    <m/>
    <s v="12/5, 8/2"/>
    <s v="L1"/>
    <s v="IS42-EMEA DPD DataDomain"/>
    <s v="Komal Chhabra"/>
    <s v="Darrick Nelsen"/>
    <n v="11"/>
    <n v="2.6235709751287667E-2"/>
    <s v="HES"/>
    <n v="13"/>
    <n v="38.576900000000002"/>
    <m/>
    <m/>
  </r>
  <r>
    <x v="321"/>
    <x v="316"/>
    <s v="D'Arcy, Mark"/>
    <x v="6"/>
    <x v="9"/>
    <x v="0"/>
    <n v="0"/>
    <s v="EMEA"/>
    <s v="Egypt"/>
    <n v="0.61699999999999999"/>
    <n v="2.0281420527295535E-2"/>
    <m/>
    <s v="24/7"/>
    <s v="L1"/>
    <s v="IS47-HCS EMEA VxRail"/>
    <s v="Komal Chhabra"/>
    <s v="Douglas Lumb"/>
    <n v="24"/>
    <n v="-0.11900082348064163"/>
    <s v="HES"/>
    <n v="13"/>
    <n v="101.8"/>
    <m/>
    <m/>
  </r>
  <r>
    <x v="322"/>
    <x v="317"/>
    <s v="Kenneally, Niall"/>
    <x v="5"/>
    <x v="10"/>
    <x v="0"/>
    <n v="0"/>
    <s v="EMEA"/>
    <s v="Egypt"/>
    <n v="0.61699999999999999"/>
    <n v="2.0281420527295535E-2"/>
    <m/>
    <s v="8/7"/>
    <s v="L1"/>
    <s v="IS48-EMEA HES Integrated_Software"/>
    <s v="Komal Chhabra"/>
    <s v="Miguel Galicia"/>
    <n v="9"/>
    <n v="0.12213389295285224"/>
    <s v="HES"/>
    <n v="13"/>
    <n v="15"/>
    <m/>
    <m/>
  </r>
  <r>
    <x v="323"/>
    <x v="318"/>
    <s v="Punch, Patrick"/>
    <x v="4"/>
    <x v="11"/>
    <x v="0"/>
    <n v="0"/>
    <s v="EMEA"/>
    <s v="Egypt"/>
    <n v="0.61699999999999999"/>
    <n v="2.0281420527295535E-2"/>
    <m/>
    <s v="12/5, 8/2"/>
    <s v="L1"/>
    <s v="IS50-EMEA DPD Networker"/>
    <s v="Komal Chhabra"/>
    <s v="Darrick Nelsen"/>
    <n v="11"/>
    <n v="-4.8001008991645201E-2"/>
    <s v="HES"/>
    <n v="13"/>
    <n v="23"/>
    <m/>
    <m/>
  </r>
  <r>
    <x v="324"/>
    <x v="319"/>
    <s v="Paris, Claudia"/>
    <x v="3"/>
    <x v="35"/>
    <x v="0"/>
    <n v="0"/>
    <s v="LATAM"/>
    <s v="Brazil"/>
    <n v="0.57099999999999995"/>
    <n v="1.0983368455756886E-2"/>
    <m/>
    <n v="0"/>
    <s v="L1"/>
    <s v="IS51-LATAM UDS OBJ"/>
    <s v="Komal Chhabra"/>
    <s v="Darrick Nelsen"/>
    <n v="0"/>
    <n v="-2.2765505462006282E-2"/>
    <s v="HES"/>
    <n v="13"/>
    <n v="5"/>
    <m/>
    <m/>
  </r>
  <r>
    <x v="325"/>
    <x v="320"/>
    <s v="Kenneally, Niall"/>
    <x v="5"/>
    <x v="12"/>
    <x v="0"/>
    <n v="0"/>
    <s v="EMEA"/>
    <s v="Egypt"/>
    <n v="0.61699999999999999"/>
    <n v="2.0281420527295535E-2"/>
    <m/>
    <s v="8/7"/>
    <s v="L1"/>
    <s v="IS58-EMEA HES Symmetrix"/>
    <s v="Komal Chhabra"/>
    <s v="Miguel Galicia"/>
    <n v="9"/>
    <n v="6.8977913109886588E-3"/>
    <s v="HES"/>
    <n v="13"/>
    <n v="55.594899999999996"/>
    <m/>
    <m/>
  </r>
  <r>
    <x v="326"/>
    <x v="321"/>
    <s v="Kenneally, Niall"/>
    <x v="5"/>
    <x v="13"/>
    <x v="0"/>
    <n v="0"/>
    <s v="EMEA"/>
    <s v="Egypt"/>
    <n v="0.61699999999999999"/>
    <n v="2.0281420527295535E-2"/>
    <m/>
    <n v="0"/>
    <s v="L1"/>
    <s v="IS59-EMEA HES SymmSW"/>
    <s v="Komal Chhabra"/>
    <s v="Miguel Galicia"/>
    <n v="0"/>
    <n v="-2.499981786903202E-3"/>
    <s v="HES"/>
    <n v="13"/>
    <n v="3"/>
    <m/>
    <m/>
  </r>
  <r>
    <x v="327"/>
    <x v="322"/>
    <s v="Kenneally, Niall"/>
    <x v="7"/>
    <x v="2"/>
    <x v="0"/>
    <n v="0"/>
    <s v="EMEA"/>
    <s v="Egypt"/>
    <n v="0.61699999999999999"/>
    <n v="2.0281420527295535E-2"/>
    <m/>
    <s v="12/5, 8/2"/>
    <s v="L1"/>
    <s v="IS61-EMEA HES MIDRANGE"/>
    <s v="Komal Chhabra"/>
    <s v="Miguel Galicia"/>
    <n v="11"/>
    <n v="-1.3340178786529672E-2"/>
    <s v="HES"/>
    <n v="13"/>
    <n v="57"/>
    <m/>
    <m/>
  </r>
  <r>
    <x v="328"/>
    <x v="323"/>
    <s v="Kenneally, Niall"/>
    <x v="5"/>
    <x v="14"/>
    <x v="0"/>
    <n v="0"/>
    <s v="EMEA"/>
    <s v="Egypt"/>
    <n v="0.61699999999999999"/>
    <n v="2.0281420527295535E-2"/>
    <m/>
    <s v="8/7"/>
    <s v="L1"/>
    <s v="IS63-EMEA HES Vplex"/>
    <s v="Komal Chhabra"/>
    <s v="Miguel Galicia"/>
    <n v="9"/>
    <n v="3.4058986111769026E-3"/>
    <s v="HES"/>
    <n v="13"/>
    <n v="7"/>
    <m/>
    <m/>
  </r>
  <r>
    <x v="329"/>
    <x v="324"/>
    <s v="Kenneally, Niall"/>
    <x v="5"/>
    <x v="43"/>
    <x v="0"/>
    <n v="0"/>
    <s v="EMEA"/>
    <s v="Egypt"/>
    <n v="0.61699999999999999"/>
    <n v="2.0281420527295535E-2"/>
    <m/>
    <s v="8/7"/>
    <s v="L1"/>
    <s v="IS64-EMEA HES XtremIO"/>
    <s v="Komal Chhabra"/>
    <s v="Miguel Galicia"/>
    <n v="9"/>
    <n v="-7.1341694589457522E-2"/>
    <s v="HES"/>
    <n v="13"/>
    <n v="9"/>
    <m/>
    <m/>
  </r>
  <r>
    <x v="330"/>
    <x v="325"/>
    <s v="No Assigned L6"/>
    <x v="4"/>
    <x v="6"/>
    <x v="0"/>
    <n v="0"/>
    <s v="India"/>
    <e v="#N/A"/>
    <n v="0.629"/>
    <n v="1.2017588546390416E-2"/>
    <m/>
    <s v="9/7"/>
    <m/>
    <s v="IS65-India DPD AVAMAR"/>
    <s v=""/>
    <s v=""/>
    <n v="9"/>
    <m/>
    <s v="HES"/>
    <n v="13"/>
    <n v="0"/>
    <m/>
    <m/>
  </r>
  <r>
    <x v="331"/>
    <x v="326"/>
    <s v="No Assigned L6"/>
    <x v="5"/>
    <x v="7"/>
    <x v="0"/>
    <n v="0"/>
    <s v="India"/>
    <e v="#N/A"/>
    <n v="0.629"/>
    <n v="1.2017588546390416E-2"/>
    <m/>
    <s v="14/5, 9/1"/>
    <m/>
    <s v="IS68-India HES Connectivity"/>
    <s v=""/>
    <s v=""/>
    <n v="13"/>
    <m/>
    <s v="HES"/>
    <n v="13"/>
    <n v="0"/>
    <m/>
    <m/>
  </r>
  <r>
    <x v="332"/>
    <x v="327"/>
    <s v="No Assigned L6"/>
    <x v="4"/>
    <x v="8"/>
    <x v="0"/>
    <n v="0"/>
    <s v="India"/>
    <e v="#N/A"/>
    <n v="0.629"/>
    <n v="1.2017588546390416E-2"/>
    <m/>
    <s v="9/7"/>
    <m/>
    <s v="IS69-India DPD DataDomain"/>
    <s v=""/>
    <s v=""/>
    <n v="9"/>
    <m/>
    <s v="HES"/>
    <n v="13"/>
    <n v="0"/>
    <m/>
    <m/>
  </r>
  <r>
    <x v="333"/>
    <x v="328"/>
    <s v="No Assigned L6"/>
    <x v="6"/>
    <x v="9"/>
    <x v="0"/>
    <n v="0"/>
    <s v="India"/>
    <e v="#N/A"/>
    <n v="0.629"/>
    <n v="1.2017588546390416E-2"/>
    <m/>
    <s v="16/5, 9/2"/>
    <m/>
    <s v="IS74-India GNCS Hyperconverged"/>
    <s v=""/>
    <s v=""/>
    <n v="14"/>
    <m/>
    <s v="HES"/>
    <n v="13"/>
    <n v="0"/>
    <m/>
    <m/>
  </r>
  <r>
    <x v="334"/>
    <x v="329"/>
    <s v="No Assigned L6"/>
    <x v="5"/>
    <x v="10"/>
    <x v="0"/>
    <n v="0"/>
    <s v="India"/>
    <e v="#N/A"/>
    <n v="0.629"/>
    <n v="1.2017588546390416E-2"/>
    <m/>
    <s v="9/7"/>
    <m/>
    <s v="IS75-India HES Integrated_Software"/>
    <s v=""/>
    <s v=""/>
    <n v="9"/>
    <m/>
    <s v="HES"/>
    <n v="13"/>
    <n v="0"/>
    <m/>
    <m/>
  </r>
  <r>
    <x v="335"/>
    <x v="330"/>
    <s v="No Assigned L6"/>
    <x v="4"/>
    <x v="11"/>
    <x v="0"/>
    <n v="0"/>
    <s v="India"/>
    <e v="#N/A"/>
    <n v="0.629"/>
    <n v="1.2017588546390416E-2"/>
    <m/>
    <s v="14/5, 9/2"/>
    <m/>
    <s v="IS77-India DPD Networker"/>
    <s v=""/>
    <s v=""/>
    <n v="14"/>
    <m/>
    <s v="HES"/>
    <n v="13"/>
    <n v="0"/>
    <m/>
    <m/>
  </r>
  <r>
    <x v="336"/>
    <x v="331"/>
    <s v="No Assigned L6"/>
    <x v="3"/>
    <x v="35"/>
    <x v="0"/>
    <n v="0"/>
    <s v="India"/>
    <e v="#N/A"/>
    <n v="0.629"/>
    <n v="1.2017588546390416E-2"/>
    <m/>
    <e v="#N/A"/>
    <m/>
    <s v="IS78-India DPD OBJ"/>
    <s v=""/>
    <s v=""/>
    <m/>
    <m/>
    <s v="HES"/>
    <n v="13"/>
    <n v="0"/>
    <m/>
    <m/>
  </r>
  <r>
    <x v="337"/>
    <x v="332"/>
    <s v="No Assigned L6"/>
    <x v="5"/>
    <x v="12"/>
    <x v="0"/>
    <n v="0"/>
    <s v="India"/>
    <e v="#N/A"/>
    <n v="0.629"/>
    <n v="1.2017588546390416E-2"/>
    <m/>
    <e v="#N/A"/>
    <m/>
    <s v="IS85-India HES Symmetrix"/>
    <s v=""/>
    <s v=""/>
    <m/>
    <m/>
    <s v="HES"/>
    <n v="13"/>
    <n v="0"/>
    <m/>
    <m/>
  </r>
  <r>
    <x v="338"/>
    <x v="333"/>
    <s v="No Assigned L6"/>
    <x v="5"/>
    <x v="13"/>
    <x v="0"/>
    <n v="0"/>
    <s v="India"/>
    <e v="#N/A"/>
    <n v="0.629"/>
    <n v="1.2017588546390416E-2"/>
    <m/>
    <s v="9/5"/>
    <m/>
    <s v="IS86-India HES SymmSW"/>
    <s v=""/>
    <s v=""/>
    <n v="4"/>
    <m/>
    <s v="HES"/>
    <n v="13"/>
    <n v="0"/>
    <m/>
    <m/>
  </r>
  <r>
    <x v="339"/>
    <x v="334"/>
    <s v="No Assigned L6"/>
    <x v="7"/>
    <x v="2"/>
    <x v="0"/>
    <n v="0"/>
    <s v="India"/>
    <e v="#N/A"/>
    <n v="0.629"/>
    <n v="1.2017588546390416E-2"/>
    <m/>
    <s v="16/7"/>
    <m/>
    <s v="IS88-INDIA HES MIDRANGE"/>
    <s v=""/>
    <s v=""/>
    <n v="16"/>
    <m/>
    <s v="HES"/>
    <n v="13"/>
    <n v="0"/>
    <m/>
    <m/>
  </r>
  <r>
    <x v="340"/>
    <x v="335"/>
    <s v="No Assigned L6"/>
    <x v="5"/>
    <x v="14"/>
    <x v="0"/>
    <n v="0"/>
    <s v="India"/>
    <e v="#N/A"/>
    <n v="0.629"/>
    <n v="1.2017588546390416E-2"/>
    <m/>
    <s v="9/6"/>
    <m/>
    <s v="IS90-India HES Vplex"/>
    <s v=""/>
    <s v=""/>
    <n v="6"/>
    <m/>
    <s v="HES"/>
    <n v="13"/>
    <n v="0"/>
    <m/>
    <m/>
  </r>
  <r>
    <x v="341"/>
    <x v="336"/>
    <s v="No Assigned L6"/>
    <x v="5"/>
    <x v="43"/>
    <x v="0"/>
    <n v="0"/>
    <s v="India"/>
    <e v="#N/A"/>
    <n v="0.629"/>
    <n v="1.2017588546390416E-2"/>
    <m/>
    <s v="9/7"/>
    <m/>
    <s v="IS91-India HES XtremIO"/>
    <s v=""/>
    <s v=""/>
    <n v="9"/>
    <m/>
    <s v="HES"/>
    <n v="13"/>
    <n v="0"/>
    <m/>
    <m/>
  </r>
  <r>
    <x v="342"/>
    <x v="337"/>
    <s v="Paris, Claudia"/>
    <x v="4"/>
    <x v="6"/>
    <x v="0"/>
    <n v="0"/>
    <s v="LATAM"/>
    <s v="Other MMCLA"/>
    <n v="0.626"/>
    <n v="1.0983368455756886E-2"/>
    <m/>
    <s v="9/7"/>
    <s v="L1"/>
    <s v="IS92-LATAM DPD AVAMAR"/>
    <s v="Komal Chhabra"/>
    <s v="Darrick Nelsen"/>
    <n v="9"/>
    <n v="3.3587209078051135E-2"/>
    <s v="HES"/>
    <n v="13"/>
    <n v="18"/>
    <m/>
    <m/>
  </r>
  <r>
    <x v="343"/>
    <x v="338"/>
    <s v="Paris, Claudia"/>
    <x v="4"/>
    <x v="8"/>
    <x v="0"/>
    <n v="0"/>
    <s v="LATAM"/>
    <s v="Other MMCLA"/>
    <n v="0.626"/>
    <n v="1.0983368455756886E-2"/>
    <m/>
    <s v="9/7"/>
    <s v="L1"/>
    <s v="IS96-LATAM DPD DataDomain"/>
    <s v="Komal Chhabra"/>
    <s v="Darrick Nelsen"/>
    <n v="9"/>
    <n v="5.3682960026437195E-2"/>
    <s v="HES"/>
    <n v="13"/>
    <n v="10"/>
    <m/>
    <m/>
  </r>
  <r>
    <x v="344"/>
    <x v="339"/>
    <s v="No Assigned L6"/>
    <x v="4"/>
    <x v="33"/>
    <x v="0"/>
    <n v="0"/>
    <s v="LATAM"/>
    <s v="ROLA"/>
    <n v="0.626"/>
    <n v="1.0983368455756886E-2"/>
    <m/>
    <m/>
    <s v="L1"/>
    <s v="IS98-LATAM DPD DPA"/>
    <s v=""/>
    <s v=""/>
    <m/>
    <m/>
    <s v="HES"/>
    <n v="13"/>
    <n v="0"/>
    <m/>
    <m/>
  </r>
  <r>
    <x v="345"/>
    <x v="340"/>
    <s v="D'Arcy, Mark"/>
    <x v="8"/>
    <x v="17"/>
    <x v="0"/>
    <n v="0"/>
    <s v="EMEA"/>
    <s v="SER"/>
    <n v="0.61699999999999999"/>
    <n v="2.0281420527295535E-2"/>
    <m/>
    <s v="9/5"/>
    <s v="L1"/>
    <s v="IT04-ITA Basic Enterprise (CAS)"/>
    <s v="Vikesh Gupta"/>
    <s v="Douglas Lumb"/>
    <n v="4"/>
    <m/>
    <s v="ESG"/>
    <m/>
    <n v="4"/>
    <m/>
    <n v="4"/>
  </r>
  <r>
    <x v="346"/>
    <x v="341"/>
    <s v="D'Arcy, Mark"/>
    <x v="8"/>
    <x v="17"/>
    <x v="0"/>
    <n v="0"/>
    <s v="EMEA"/>
    <s v="SER"/>
    <n v="0.61699999999999999"/>
    <n v="2.0281420527295535E-2"/>
    <m/>
    <s v="9/5"/>
    <s v="L1"/>
    <s v="IT08-ITA ProSupp Server (MTP)"/>
    <s v="Vikesh Gupta"/>
    <s v="Douglas Lumb"/>
    <n v="4"/>
    <m/>
    <s v="ESG"/>
    <m/>
    <n v="12.8"/>
    <m/>
    <n v="4"/>
  </r>
  <r>
    <x v="347"/>
    <x v="342"/>
    <s v="D'Arcy, Mark"/>
    <x v="0"/>
    <x v="20"/>
    <x v="1"/>
    <m/>
    <s v="EMEA"/>
    <m/>
    <n v="0.61699999999999999"/>
    <m/>
    <m/>
    <m/>
    <s v="L1"/>
    <s v="IT10-ITA Social Media (MTP)"/>
    <m/>
    <s v="Douglas Lumb"/>
    <m/>
    <m/>
    <m/>
    <m/>
    <n v="1"/>
    <m/>
    <m/>
  </r>
  <r>
    <x v="348"/>
    <x v="343"/>
    <s v="No Assigned L6"/>
    <x v="6"/>
    <x v="9"/>
    <x v="0"/>
    <n v="0"/>
    <s v="LATAM"/>
    <s v="Other MMCLA"/>
    <n v="0.626"/>
    <n v="1.0983368455756886E-2"/>
    <m/>
    <s v="24/7"/>
    <m/>
    <s v="IU02-HCS LATAM VxRail"/>
    <s v=""/>
    <s v=""/>
    <n v="24"/>
    <m/>
    <s v="HES"/>
    <n v="13"/>
    <n v="0"/>
    <m/>
    <m/>
  </r>
  <r>
    <x v="349"/>
    <x v="344"/>
    <s v="Paris, Claudia"/>
    <x v="4"/>
    <x v="11"/>
    <x v="0"/>
    <n v="0"/>
    <s v="LATAM"/>
    <s v="Other MMCLA"/>
    <n v="0.626"/>
    <n v="1.0983368455756886E-2"/>
    <m/>
    <s v="12/5, 8/2"/>
    <s v="L1"/>
    <s v="IU05-LATAM DPD Networker"/>
    <s v="Komal Chhabra"/>
    <s v="Darrick Nelsen"/>
    <n v="11"/>
    <n v="1.0177459458780264E-2"/>
    <s v="HES"/>
    <n v="13"/>
    <n v="16"/>
    <m/>
    <m/>
  </r>
  <r>
    <x v="350"/>
    <x v="345"/>
    <s v="No Assigned L6"/>
    <x v="3"/>
    <x v="35"/>
    <x v="0"/>
    <n v="0"/>
    <s v="EMEA"/>
    <e v="#N/A"/>
    <n v="0.61699999999999999"/>
    <n v="2.0281420527295535E-2"/>
    <m/>
    <s v="12/7"/>
    <m/>
    <s v="IU06-EMEA DPD OBJ"/>
    <s v=""/>
    <s v=""/>
    <n v="14"/>
    <m/>
    <s v="HES"/>
    <n v="13"/>
    <n v="0"/>
    <m/>
    <m/>
  </r>
  <r>
    <x v="351"/>
    <x v="346"/>
    <s v="Paris, Claudia"/>
    <x v="5"/>
    <x v="12"/>
    <x v="0"/>
    <n v="0"/>
    <s v="LATAM"/>
    <s v="Other MMCLA"/>
    <n v="0.626"/>
    <n v="1.0983368455756886E-2"/>
    <m/>
    <s v="16/5, 9/2"/>
    <s v="L1"/>
    <s v="IU13-LATAM HES Symmetrix"/>
    <s v="Komal Chhabra"/>
    <s v="Darrick Nelsen"/>
    <n v="14"/>
    <n v="1.7976599314430189E-3"/>
    <s v="HES"/>
    <n v="13"/>
    <n v="19"/>
    <m/>
    <m/>
  </r>
  <r>
    <x v="352"/>
    <x v="347"/>
    <s v="Kenneally, Niall"/>
    <x v="5"/>
    <x v="13"/>
    <x v="0"/>
    <n v="0"/>
    <s v="LATAM"/>
    <s v="Other MMCLA"/>
    <n v="0.626"/>
    <n v="1.0983368455756886E-2"/>
    <m/>
    <n v="0"/>
    <s v="L1"/>
    <s v="IU14-LATAM HES SymmSW"/>
    <s v="Komal Chhabra"/>
    <s v="Miguel Galicia"/>
    <n v="0"/>
    <n v="-1.1938321980830939E-2"/>
    <s v="HES"/>
    <n v="13"/>
    <n v="0"/>
    <m/>
    <m/>
  </r>
  <r>
    <x v="353"/>
    <x v="348"/>
    <s v="Paris, Claudia"/>
    <x v="7"/>
    <x v="2"/>
    <x v="0"/>
    <n v="0"/>
    <s v="LATAM"/>
    <s v="Other MMCLA"/>
    <n v="0.626"/>
    <n v="1.0983368455756886E-2"/>
    <m/>
    <n v="0"/>
    <s v="L1"/>
    <s v="IU16-LATAM HES MIDRANGE"/>
    <s v="Komal Chhabra"/>
    <s v="Darrick Nelsen"/>
    <n v="0"/>
    <n v="6.6995956268458792E-2"/>
    <s v="HES"/>
    <n v="13"/>
    <n v="20"/>
    <m/>
    <m/>
  </r>
  <r>
    <x v="354"/>
    <x v="349"/>
    <s v="Punch, Patrick"/>
    <x v="4"/>
    <x v="6"/>
    <x v="0"/>
    <n v="0"/>
    <s v="NAMER"/>
    <s v="Costa Rica"/>
    <n v="0.64800000000000002"/>
    <n v="1.621972640860141E-2"/>
    <m/>
    <s v="11/7"/>
    <s v="L1"/>
    <s v="IU20-NAMER DPD AVAMAR"/>
    <s v="Komal Chhabra"/>
    <s v="Darrick Nelsen"/>
    <n v="12"/>
    <n v="4.5213948811646934E-2"/>
    <s v="HES"/>
    <n v="13"/>
    <n v="77.8"/>
    <m/>
    <m/>
  </r>
  <r>
    <x v="355"/>
    <x v="350"/>
    <s v="Kenneally, Niall"/>
    <x v="5"/>
    <x v="7"/>
    <x v="0"/>
    <n v="0"/>
    <s v="NAMER"/>
    <s v="Costa Rica"/>
    <n v="0.64800000000000002"/>
    <n v="1.621972640860141E-2"/>
    <m/>
    <s v="12/7"/>
    <s v="L1"/>
    <s v="IU23-NAMER HES Connectivity"/>
    <s v="Komal Chhabra"/>
    <s v="Miguel Galicia"/>
    <n v="14"/>
    <n v="-4.5625446189243989E-2"/>
    <s v="HES"/>
    <n v="13"/>
    <n v="24"/>
    <m/>
    <m/>
  </r>
  <r>
    <x v="356"/>
    <x v="350"/>
    <s v="Kenneally, Niall"/>
    <x v="5"/>
    <x v="7"/>
    <x v="0"/>
    <n v="0"/>
    <s v="NAMER"/>
    <s v="Costa Rica"/>
    <n v="0.64800000000000002"/>
    <n v="1.621972640860141E-2"/>
    <m/>
    <n v="0"/>
    <s v="L1"/>
    <s v="IU23a-NAMER HES Connectivity"/>
    <s v="Komal Chhabra"/>
    <s v="Miguel Galicia"/>
    <n v="0"/>
    <n v="-4.5770298685574931E-2"/>
    <s v="HES"/>
    <n v="13"/>
    <n v="0"/>
    <m/>
    <m/>
  </r>
  <r>
    <x v="357"/>
    <x v="351"/>
    <s v="Punch, Patrick"/>
    <x v="4"/>
    <x v="8"/>
    <x v="0"/>
    <n v="0"/>
    <s v="NAMER"/>
    <s v="Costa Rica"/>
    <n v="0.64800000000000002"/>
    <n v="1.621972640860141E-2"/>
    <m/>
    <s v="12/7"/>
    <s v="L1"/>
    <s v="IU24-NAMER DPD DataDomain"/>
    <s v="Komal Chhabra"/>
    <s v="Darrick Nelsen"/>
    <n v="14"/>
    <n v="3.0673128143111825E-2"/>
    <s v="HES"/>
    <n v="13"/>
    <n v="63"/>
    <m/>
    <m/>
  </r>
  <r>
    <x v="358"/>
    <x v="352"/>
    <s v="D'Arcy, Mark"/>
    <x v="6"/>
    <x v="9"/>
    <x v="0"/>
    <n v="0"/>
    <s v="NAMER"/>
    <s v="Costa Rica"/>
    <n v="0.64800000000000002"/>
    <n v="1.621972640860141E-2"/>
    <m/>
    <s v="12/7"/>
    <s v="L1"/>
    <s v="IU29-HCS NAMER VxRail"/>
    <s v="Komal Chhabra"/>
    <s v="Douglas Lumb"/>
    <n v="14"/>
    <n v="-0.11166016250316685"/>
    <s v="HES"/>
    <n v="13"/>
    <n v="122"/>
    <m/>
    <m/>
  </r>
  <r>
    <x v="359"/>
    <x v="353"/>
    <s v="Kenneally, Niall"/>
    <x v="5"/>
    <x v="10"/>
    <x v="0"/>
    <n v="0"/>
    <s v="NAMER"/>
    <s v="United States"/>
    <n v="0.64800000000000002"/>
    <n v="1.621972640860141E-2"/>
    <m/>
    <s v="12/5, 8/2"/>
    <s v="L1"/>
    <s v="IU30-NAMER HES Integrated_Software"/>
    <s v="Komal Chhabra"/>
    <s v="Miguel Galicia"/>
    <n v="11"/>
    <n v="4.4322604313762608E-2"/>
    <s v="HES"/>
    <n v="13"/>
    <n v="27"/>
    <m/>
    <m/>
  </r>
  <r>
    <x v="360"/>
    <x v="354"/>
    <s v="Punch, Patrick"/>
    <x v="4"/>
    <x v="11"/>
    <x v="0"/>
    <n v="0"/>
    <s v="NAMER"/>
    <s v="Costa Rica"/>
    <n v="0.64800000000000002"/>
    <n v="1.621972640860141E-2"/>
    <m/>
    <s v="10/7"/>
    <s v="L1"/>
    <s v="IU32-NAMER DPD Networker"/>
    <s v="Komal Chhabra"/>
    <s v="Darrick Nelsen"/>
    <n v="12"/>
    <n v="1.5909318241628317E-2"/>
    <s v="HES"/>
    <n v="13"/>
    <n v="31"/>
    <m/>
    <m/>
  </r>
  <r>
    <x v="361"/>
    <x v="355"/>
    <s v="No Assigned L6"/>
    <x v="3"/>
    <x v="35"/>
    <x v="0"/>
    <n v="0"/>
    <s v="APJ"/>
    <e v="#N/A"/>
    <n v="0.629"/>
    <n v="1.2017588546390416E-2"/>
    <m/>
    <s v="12/7"/>
    <m/>
    <s v="IU33-APJ DPD OBJ"/>
    <s v=""/>
    <s v=""/>
    <n v="14"/>
    <m/>
    <s v="HES"/>
    <n v="13"/>
    <n v="0"/>
    <m/>
    <m/>
  </r>
  <r>
    <x v="362"/>
    <x v="356"/>
    <s v="Kenneally, Niall"/>
    <x v="5"/>
    <x v="12"/>
    <x v="0"/>
    <n v="0"/>
    <s v="NAMER"/>
    <s v="Costa Rica"/>
    <n v="0.64800000000000002"/>
    <n v="1.621972640860141E-2"/>
    <m/>
    <s v="15/7"/>
    <s v="L1"/>
    <s v="IU40-NAMER HES Symmetrix"/>
    <s v="Komal Chhabra"/>
    <s v="Miguel Galicia"/>
    <n v="16"/>
    <n v="3.8157763422458743E-3"/>
    <s v="HES"/>
    <n v="13"/>
    <n v="50"/>
    <m/>
    <m/>
  </r>
  <r>
    <x v="363"/>
    <x v="357"/>
    <s v="Kenneally, Niall"/>
    <x v="5"/>
    <x v="13"/>
    <x v="0"/>
    <n v="0"/>
    <s v="NAMER"/>
    <s v="United States"/>
    <n v="0.64800000000000002"/>
    <n v="1.621972640860141E-2"/>
    <m/>
    <s v="9/5"/>
    <s v="L1"/>
    <s v="IU41-NAMER HES SymmSW"/>
    <s v="Komal Chhabra"/>
    <s v="Miguel Galicia"/>
    <n v="4"/>
    <n v="-1.2496379464362922E-2"/>
    <s v="HES"/>
    <n v="13"/>
    <n v="12"/>
    <m/>
    <m/>
  </r>
  <r>
    <x v="364"/>
    <x v="358"/>
    <s v="Kenneally, Niall"/>
    <x v="7"/>
    <x v="2"/>
    <x v="0"/>
    <n v="0"/>
    <s v="NAMER"/>
    <s v="United States"/>
    <n v="0.64800000000000002"/>
    <n v="1.621972640860141E-2"/>
    <m/>
    <s v="12/7"/>
    <s v="L1"/>
    <s v="IU43-NAMER HES MIDRANGE"/>
    <s v="Komal Chhabra"/>
    <s v="Miguel Galicia"/>
    <n v="14"/>
    <n v="4.6340491905966265E-3"/>
    <s v="HES"/>
    <n v="13"/>
    <n v="68"/>
    <m/>
    <m/>
  </r>
  <r>
    <x v="365"/>
    <x v="359"/>
    <s v="Kenneally, Niall"/>
    <x v="5"/>
    <x v="14"/>
    <x v="0"/>
    <n v="0"/>
    <s v="NAMER"/>
    <s v="United States"/>
    <n v="0.64800000000000002"/>
    <n v="1.621972640860141E-2"/>
    <m/>
    <s v="12/5, 8/2"/>
    <s v="L1"/>
    <s v="IU45-NAMER HES Vplex"/>
    <s v="Komal Chhabra"/>
    <s v="Miguel Galicia"/>
    <n v="11"/>
    <n v="-2.1353313379367366E-2"/>
    <s v="HES"/>
    <n v="13"/>
    <n v="15"/>
    <m/>
    <m/>
  </r>
  <r>
    <x v="366"/>
    <x v="359"/>
    <s v="Kenneally, Niall"/>
    <x v="5"/>
    <x v="14"/>
    <x v="0"/>
    <n v="0"/>
    <s v="NAMER"/>
    <s v="United States"/>
    <n v="0.64800000000000002"/>
    <n v="1.621972640860141E-2"/>
    <m/>
    <n v="0"/>
    <s v="L1"/>
    <s v="IU45a-NAMER HES Vplex"/>
    <s v="Komal Chhabra"/>
    <s v="Miguel Galicia"/>
    <n v="0"/>
    <n v="-7.986401585933299E-3"/>
    <s v="HES"/>
    <n v="13"/>
    <n v="0"/>
    <m/>
    <m/>
  </r>
  <r>
    <x v="367"/>
    <x v="360"/>
    <s v="Kenneally, Niall"/>
    <x v="5"/>
    <x v="43"/>
    <x v="0"/>
    <n v="0"/>
    <s v="NAMER"/>
    <s v="United States"/>
    <n v="0.64800000000000002"/>
    <n v="1.621972640860141E-2"/>
    <m/>
    <n v="0"/>
    <s v="L1"/>
    <s v="IU46-NAMER HES XtremIO"/>
    <s v="Komal Chhabra"/>
    <s v="Miguel Galicia"/>
    <n v="0"/>
    <n v="-4.2313011028525929E-2"/>
    <s v="HES"/>
    <n v="13"/>
    <n v="0"/>
    <m/>
    <m/>
  </r>
  <r>
    <x v="368"/>
    <x v="361"/>
    <s v="No Assigned L6"/>
    <x v="0"/>
    <x v="20"/>
    <x v="0"/>
    <m/>
    <m/>
    <m/>
    <m/>
    <m/>
    <m/>
    <m/>
    <m/>
    <s v="IU56-APJ GNCS Hyperconverged Wipro"/>
    <s v=""/>
    <s v=""/>
    <m/>
    <m/>
    <s v="ESG"/>
    <m/>
    <n v="0"/>
    <m/>
    <m/>
  </r>
  <r>
    <x v="369"/>
    <x v="362"/>
    <s v="No Assigned L6"/>
    <x v="0"/>
    <x v="18"/>
    <x v="0"/>
    <n v="0"/>
    <s v="India"/>
    <e v="#N/A"/>
    <n v="0.629"/>
    <n v="1.2017588546390416E-2"/>
    <m/>
    <e v="#N/A"/>
    <m/>
    <s v="IV01-IND VX Rail Storage"/>
    <s v=""/>
    <s v=""/>
    <m/>
    <m/>
    <s v="ESG"/>
    <m/>
    <n v="0"/>
    <m/>
    <m/>
  </r>
  <r>
    <x v="370"/>
    <x v="363"/>
    <s v="Yap, Diane"/>
    <x v="6"/>
    <x v="9"/>
    <x v="0"/>
    <n v="0"/>
    <s v="APJ"/>
    <s v="India"/>
    <n v="0.629"/>
    <n v="0.09"/>
    <s v="High Attrition"/>
    <s v="9/7"/>
    <s v="L1"/>
    <s v="IV03-HCS APJ VxRail English NAMER AOH"/>
    <s v="Komal Chhabra"/>
    <s v="Chen Zhou"/>
    <n v="9"/>
    <n v="-0.15490115019304368"/>
    <s v="HES"/>
    <n v="13"/>
    <n v="19"/>
    <m/>
    <m/>
  </r>
  <r>
    <x v="371"/>
    <x v="364"/>
    <s v="No Assigned L6"/>
    <x v="0"/>
    <x v="2"/>
    <x v="0"/>
    <n v="0"/>
    <s v="APJ"/>
    <s v="Japan"/>
    <n v="0.629"/>
    <n v="1.2017588546390416E-2"/>
    <m/>
    <s v="12/7"/>
    <m/>
    <s v="JM01-JP Midrange Storage VNX/e"/>
    <s v=""/>
    <s v=""/>
    <n v="14"/>
    <m/>
    <s v="HES"/>
    <n v="13"/>
    <n v="0"/>
    <m/>
    <m/>
  </r>
  <r>
    <x v="372"/>
    <x v="365"/>
    <s v="No Assigned L6"/>
    <x v="0"/>
    <x v="17"/>
    <x v="0"/>
    <n v="0"/>
    <s v="APJ"/>
    <s v="Japan"/>
    <n v="0.629"/>
    <n v="1.2017588546390416E-2"/>
    <m/>
    <s v="12/7"/>
    <m/>
    <s v="JP11-Enterprise Core/ProSupport MIY"/>
    <s v=""/>
    <s v=""/>
    <n v="14"/>
    <m/>
    <s v="ESG"/>
    <m/>
    <n v="0"/>
    <m/>
    <m/>
  </r>
  <r>
    <x v="373"/>
    <x v="366"/>
    <s v="No Assigned L6"/>
    <x v="0"/>
    <x v="17"/>
    <x v="0"/>
    <n v="0"/>
    <s v="APJ"/>
    <s v="Japan"/>
    <n v="0.629"/>
    <n v="1.2017588546390416E-2"/>
    <m/>
    <s v="12/7"/>
    <m/>
    <s v="JP13-Japan Storage ProSupport KAW"/>
    <s v=""/>
    <s v=""/>
    <n v="14"/>
    <m/>
    <s v="ESG"/>
    <m/>
    <n v="0"/>
    <m/>
    <m/>
  </r>
  <r>
    <x v="374"/>
    <x v="367"/>
    <s v="No Assigned L6"/>
    <x v="0"/>
    <x v="1"/>
    <x v="0"/>
    <n v="0"/>
    <s v="APJ"/>
    <s v="Japan"/>
    <n v="0.629"/>
    <n v="1.2017588546390416E-2"/>
    <m/>
    <s v="12/7"/>
    <m/>
    <s v="JP19-Japan Enterprise SW-NWK"/>
    <s v=""/>
    <s v=""/>
    <n v="14"/>
    <m/>
    <s v="ESG"/>
    <m/>
    <n v="0"/>
    <m/>
    <m/>
  </r>
  <r>
    <x v="375"/>
    <x v="368"/>
    <s v="No Assigned L6"/>
    <x v="0"/>
    <x v="17"/>
    <x v="0"/>
    <n v="0"/>
    <s v="APJ"/>
    <s v="Japan"/>
    <n v="0.629"/>
    <n v="1.2017588546390416E-2"/>
    <m/>
    <s v="12/7"/>
    <m/>
    <s v="JP22-Enterprise Echannel Core/Pro MIY"/>
    <s v=""/>
    <s v=""/>
    <n v="14"/>
    <m/>
    <s v="ESG"/>
    <m/>
    <n v="0"/>
    <m/>
    <m/>
  </r>
  <r>
    <x v="376"/>
    <x v="369"/>
    <s v="Yap, Diane"/>
    <x v="8"/>
    <x v="17"/>
    <x v="0"/>
    <n v="0"/>
    <s v="APJ"/>
    <s v="Japan"/>
    <n v="0.629"/>
    <n v="1.2017588546390416E-2"/>
    <m/>
    <s v="12/5"/>
    <s v="L1"/>
    <s v="JP24-Server Pro/Core Japan"/>
    <s v="Tiani Liang (Joey) "/>
    <s v="Chen Zhou"/>
    <n v="8"/>
    <m/>
    <s v="ESG"/>
    <m/>
    <n v="66"/>
    <m/>
    <n v="8"/>
  </r>
  <r>
    <x v="377"/>
    <x v="370"/>
    <s v="Yap, Diane"/>
    <x v="9"/>
    <x v="18"/>
    <x v="0"/>
    <n v="0"/>
    <s v="APJ"/>
    <s v="Japan"/>
    <n v="0.629"/>
    <n v="1.2017588546390416E-2"/>
    <m/>
    <s v="12/5"/>
    <s v="L1"/>
    <s v="JP25-Storage Pro/Core Japan"/>
    <s v="Tiani Liang (Joey) "/>
    <s v="Chen Zhou"/>
    <n v="8"/>
    <m/>
    <s v="ESG"/>
    <m/>
    <n v="18"/>
    <m/>
    <n v="8"/>
  </r>
  <r>
    <x v="378"/>
    <x v="371"/>
    <s v="Yap, Diane"/>
    <x v="8"/>
    <x v="17"/>
    <x v="0"/>
    <n v="0"/>
    <s v="APJ"/>
    <s v="Japan"/>
    <n v="0.629"/>
    <n v="1.2017588546390416E-2"/>
    <m/>
    <s v="12/5"/>
    <s v="L1"/>
    <s v="JP26-Server ProSupport Plus Japan"/>
    <s v="Tiani Liang (Joey) "/>
    <s v="Chen Zhou"/>
    <n v="8"/>
    <m/>
    <s v="ESG"/>
    <m/>
    <n v="40"/>
    <m/>
    <n v="8"/>
  </r>
  <r>
    <x v="379"/>
    <x v="372"/>
    <s v="No Assigned L6"/>
    <x v="0"/>
    <x v="20"/>
    <x v="0"/>
    <m/>
    <m/>
    <m/>
    <m/>
    <m/>
    <m/>
    <m/>
    <m/>
    <s v="JP27-Enterprise Alt-channel JPN"/>
    <s v=""/>
    <s v=""/>
    <m/>
    <m/>
    <s v="ESG"/>
    <m/>
    <n v="0"/>
    <m/>
    <m/>
  </r>
  <r>
    <x v="380"/>
    <x v="373"/>
    <s v="Yap, Diane"/>
    <x v="1"/>
    <x v="1"/>
    <x v="0"/>
    <n v="0"/>
    <s v="APJ"/>
    <s v="Japan"/>
    <n v="0.629"/>
    <n v="1.2017588546390416E-2"/>
    <m/>
    <s v="12/5"/>
    <s v="L1"/>
    <s v="JP29-Networking Pro/Core Japan"/>
    <s v="Tiani Liang (Joey) "/>
    <s v="Chen Zhou"/>
    <n v="8"/>
    <m/>
    <s v="ESG"/>
    <m/>
    <n v="10"/>
    <m/>
    <n v="8"/>
  </r>
  <r>
    <x v="381"/>
    <x v="374"/>
    <s v="No Assigned L6"/>
    <x v="0"/>
    <x v="9"/>
    <x v="0"/>
    <n v="0"/>
    <s v="APJ"/>
    <s v="Japan"/>
    <n v="0.629"/>
    <n v="1.2017588546390416E-2"/>
    <m/>
    <s v="12/7"/>
    <s v="L1"/>
    <s v="JV01-JP VX Rail Storage"/>
    <s v=""/>
    <s v=""/>
    <n v="14"/>
    <m/>
    <s v="HES"/>
    <n v="13"/>
    <n v="0"/>
    <m/>
    <m/>
  </r>
  <r>
    <x v="382"/>
    <x v="375"/>
    <s v="Yap, Diane"/>
    <x v="8"/>
    <x v="17"/>
    <x v="0"/>
    <n v="0"/>
    <s v="APJ"/>
    <s v="Korea"/>
    <n v="0.629"/>
    <n v="1.2017588546390416E-2"/>
    <m/>
    <s v="12/5"/>
    <s v="L1"/>
    <s v="KR05-Enterprise Core KOR"/>
    <s v="Tiani Liang (Joey) "/>
    <s v="Chen Zhou"/>
    <n v="8"/>
    <m/>
    <s v="ESG"/>
    <m/>
    <n v="5"/>
    <m/>
    <n v="8"/>
  </r>
  <r>
    <x v="383"/>
    <x v="376"/>
    <s v="No Assigned L6"/>
    <x v="0"/>
    <x v="17"/>
    <x v="0"/>
    <n v="0"/>
    <s v="APJ"/>
    <s v="Korea"/>
    <n v="0.629"/>
    <n v="1.2017588546390416E-2"/>
    <m/>
    <s v="12/7"/>
    <m/>
    <s v="KR06-Enterprise ProSupport KOR"/>
    <s v=""/>
    <s v=""/>
    <n v="14"/>
    <m/>
    <s v="ESG"/>
    <m/>
    <n v="0"/>
    <m/>
    <m/>
  </r>
  <r>
    <x v="384"/>
    <x v="377"/>
    <s v="Yap, Diane"/>
    <x v="9"/>
    <x v="18"/>
    <x v="0"/>
    <n v="0"/>
    <s v="APJ"/>
    <s v="Korea"/>
    <n v="0.629"/>
    <n v="1.2017588546390416E-2"/>
    <m/>
    <s v="12/5"/>
    <s v="L1"/>
    <s v="KR11-Storage ProSupport KOR"/>
    <s v="Tiani Liang (Joey) "/>
    <s v="Chen Zhou"/>
    <n v="8"/>
    <m/>
    <s v="ESG"/>
    <m/>
    <n v="8"/>
    <m/>
    <n v="8"/>
  </r>
  <r>
    <x v="385"/>
    <x v="378"/>
    <s v="Yap, Diane"/>
    <x v="8"/>
    <x v="17"/>
    <x v="0"/>
    <n v="0"/>
    <s v="APJ"/>
    <s v="Korea"/>
    <n v="0.629"/>
    <n v="1.2017588546390416E-2"/>
    <m/>
    <s v="12/5"/>
    <s v="L1"/>
    <s v="KR12-Server ProSupport KOR"/>
    <s v="Tiani Liang (Joey) "/>
    <s v="Chen Zhou"/>
    <n v="8"/>
    <m/>
    <s v="ESG"/>
    <m/>
    <n v="16"/>
    <m/>
    <n v="8"/>
  </r>
  <r>
    <x v="386"/>
    <x v="379"/>
    <s v="Yap, Diane"/>
    <x v="1"/>
    <x v="1"/>
    <x v="0"/>
    <n v="0"/>
    <s v="APJ"/>
    <s v="Korea"/>
    <n v="0.629"/>
    <n v="1.2017588546390416E-2"/>
    <m/>
    <s v="12/5"/>
    <s v="L1"/>
    <s v="KR13-Networking KOR"/>
    <s v="Tiani Liang (Joey) "/>
    <s v="Chen Zhou"/>
    <n v="8"/>
    <m/>
    <s v="ESG"/>
    <m/>
    <n v="2"/>
    <m/>
    <n v="8"/>
  </r>
  <r>
    <x v="387"/>
    <x v="380"/>
    <s v="No Assigned L6"/>
    <x v="18"/>
    <x v="19"/>
    <x v="1"/>
    <n v="0"/>
    <s v="Global"/>
    <s v="Global"/>
    <n v="0.63300000000000001"/>
    <m/>
    <m/>
    <s v="12/7"/>
    <s v="L1"/>
    <s v="L2G4-ARS System Exchange"/>
    <s v=""/>
    <s v=""/>
    <n v="14"/>
    <m/>
    <s v="ESG"/>
    <m/>
    <n v="1"/>
    <m/>
    <m/>
  </r>
  <r>
    <x v="388"/>
    <x v="381"/>
    <s v="No Assigned L6"/>
    <x v="0"/>
    <x v="0"/>
    <x v="0"/>
    <n v="0"/>
    <s v="Global"/>
    <s v="Global"/>
    <n v="0.63300000000000001"/>
    <n v="1.1420812115295354E-2"/>
    <m/>
    <s v="12/7"/>
    <m/>
    <s v="LFT1-SSO Quality Lets Fix It"/>
    <s v=""/>
    <s v=""/>
    <n v="14"/>
    <m/>
    <s v="ESG"/>
    <m/>
    <n v="1"/>
    <m/>
    <m/>
  </r>
  <r>
    <x v="389"/>
    <x v="382"/>
    <s v="D'Arcy, Mark"/>
    <x v="19"/>
    <x v="4"/>
    <x v="0"/>
    <n v="0"/>
    <s v="EMEA"/>
    <s v="UKI"/>
    <n v="0.61699999999999999"/>
    <n v="2.0281420527295535E-2"/>
    <m/>
    <s v="10/5"/>
    <s v="L1"/>
    <s v="LOS0-EMEA Solutions MS (ENG)"/>
    <s v="Vikesh Gupta"/>
    <s v="Douglas Lumb"/>
    <n v="7"/>
    <m/>
    <s v="ESG"/>
    <m/>
    <n v="7"/>
    <m/>
    <n v="7"/>
  </r>
  <r>
    <x v="390"/>
    <x v="383"/>
    <s v="D'Arcy, Mark"/>
    <x v="19"/>
    <x v="4"/>
    <x v="0"/>
    <n v="0"/>
    <s v="EMEA"/>
    <s v="UKI"/>
    <n v="0.61699999999999999"/>
    <n v="2.0281420527295535E-2"/>
    <m/>
    <s v="10/5"/>
    <s v="L1"/>
    <s v="LOS1-EMEA Solutions HCI (ENG)"/>
    <s v="Vikesh Gupta"/>
    <s v="Douglas Lumb"/>
    <n v="7"/>
    <m/>
    <s v="ESG"/>
    <m/>
    <n v="6"/>
    <m/>
    <n v="7"/>
  </r>
  <r>
    <x v="391"/>
    <x v="384"/>
    <s v="D'Arcy, Mark"/>
    <x v="19"/>
    <x v="4"/>
    <x v="0"/>
    <n v="0"/>
    <s v="EMEA"/>
    <s v="SER"/>
    <n v="0.61699999999999999"/>
    <n v="2.0281420527295535E-2"/>
    <m/>
    <s v="10/5"/>
    <s v="L1"/>
    <s v="LOS2-EMEA Solutions MS (FRA)"/>
    <s v="Vikesh Gupta"/>
    <s v="Douglas Lumb"/>
    <n v="7"/>
    <m/>
    <s v="ESG"/>
    <m/>
    <n v="4"/>
    <m/>
    <n v="7"/>
  </r>
  <r>
    <x v="392"/>
    <x v="385"/>
    <s v="D'Arcy, Mark"/>
    <x v="19"/>
    <x v="4"/>
    <x v="0"/>
    <n v="0"/>
    <s v="EMEA"/>
    <s v="SER"/>
    <n v="0.61699999999999999"/>
    <n v="2.0281420527295535E-2"/>
    <m/>
    <s v="10/5"/>
    <s v="L1"/>
    <s v="LOS3-EMEA Solutions HCI (FRA)"/>
    <s v="Vikesh Gupta"/>
    <s v="Douglas Lumb"/>
    <n v="7"/>
    <m/>
    <s v="ESG"/>
    <m/>
    <n v="8.8000000000000007"/>
    <m/>
    <n v="7"/>
  </r>
  <r>
    <x v="393"/>
    <x v="386"/>
    <s v="D'Arcy, Mark"/>
    <x v="19"/>
    <x v="4"/>
    <x v="0"/>
    <n v="0"/>
    <s v="EMEA"/>
    <s v="CER"/>
    <n v="0.61699999999999999"/>
    <n v="2.0281420527295535E-2"/>
    <m/>
    <s v="10/5"/>
    <s v="L1"/>
    <s v="LOS4-EMEA Solutions MS (GER)"/>
    <s v="Vikesh Gupta"/>
    <s v="Douglas Lumb"/>
    <n v="7"/>
    <m/>
    <s v="ESG"/>
    <m/>
    <n v="5"/>
    <m/>
    <n v="7"/>
  </r>
  <r>
    <x v="394"/>
    <x v="387"/>
    <s v="D'Arcy, Mark"/>
    <x v="19"/>
    <x v="4"/>
    <x v="0"/>
    <n v="0"/>
    <s v="EMEA"/>
    <s v="CER"/>
    <n v="0.61699999999999999"/>
    <n v="2.0281420527295535E-2"/>
    <m/>
    <s v="10/5"/>
    <s v="L1"/>
    <s v="LOS5-EMEA Solutions HCI (GER)"/>
    <s v="Vikesh Gupta"/>
    <s v="Douglas Lumb"/>
    <n v="7"/>
    <m/>
    <s v="ESG"/>
    <m/>
    <n v="7"/>
    <m/>
    <n v="7"/>
  </r>
  <r>
    <x v="395"/>
    <x v="388"/>
    <s v="Brown, Dexter"/>
    <x v="15"/>
    <x v="28"/>
    <x v="0"/>
    <n v="0"/>
    <s v="Global"/>
    <s v="Global"/>
    <n v="0.63300000000000001"/>
    <n v="1.1420812115295354E-2"/>
    <m/>
    <s v="12/7"/>
    <s v="CST"/>
    <s v="LS01-SSO Licensing Support"/>
    <s v="Komal Chhabra"/>
    <s v="Miguel Galicia"/>
    <n v="14"/>
    <n v="0.24206363910655798"/>
    <s v="HES"/>
    <n v="13"/>
    <n v="34"/>
    <m/>
    <m/>
  </r>
  <r>
    <x v="396"/>
    <x v="389"/>
    <s v="No Assigned L6"/>
    <x v="0"/>
    <x v="50"/>
    <x v="0"/>
    <n v="0"/>
    <s v="LATAM"/>
    <s v="Other MMCLA"/>
    <n v="0.626"/>
    <n v="1.0983368455756886E-2"/>
    <m/>
    <e v="#N/A"/>
    <m/>
    <s v="MR01-MMCLA Midrange Storage VNX/e Spanish"/>
    <s v=""/>
    <s v=""/>
    <m/>
    <m/>
    <s v="HES"/>
    <n v="13"/>
    <n v="0"/>
    <m/>
    <m/>
  </r>
  <r>
    <x v="397"/>
    <x v="390"/>
    <s v="No Assigned L6"/>
    <x v="0"/>
    <x v="9"/>
    <x v="0"/>
    <n v="0"/>
    <s v="LATAM"/>
    <s v="Other MMCLA"/>
    <n v="0.626"/>
    <n v="1.0983368455756886E-2"/>
    <m/>
    <e v="#N/A"/>
    <m/>
    <s v="MR02-MMCLA VXRail"/>
    <s v=""/>
    <s v=""/>
    <m/>
    <m/>
    <s v="HES"/>
    <n v="13"/>
    <n v="0"/>
    <m/>
    <m/>
  </r>
  <r>
    <x v="398"/>
    <x v="391"/>
    <s v="Paris, Claudia"/>
    <x v="8"/>
    <x v="17"/>
    <x v="0"/>
    <n v="0"/>
    <s v="LATAM"/>
    <s v="Other MMCLA"/>
    <n v="0.626"/>
    <n v="1.0983368455756886E-2"/>
    <m/>
    <s v="16/7"/>
    <m/>
    <s v="MR03-MMCLA Server Voice (PAN)"/>
    <s v="Prachi Gupta"/>
    <s v="Darrick Nelsen"/>
    <n v="16"/>
    <m/>
    <s v="ESG"/>
    <m/>
    <n v="29"/>
    <m/>
    <n v="16"/>
  </r>
  <r>
    <x v="399"/>
    <x v="392"/>
    <s v="Yap, Diane"/>
    <x v="1"/>
    <x v="1"/>
    <x v="0"/>
    <n v="0"/>
    <s v="APJ"/>
    <s v="South Asia"/>
    <n v="0.629"/>
    <n v="1.2017588546390416E-2"/>
    <m/>
    <s v="12/5"/>
    <s v="L1"/>
    <s v="MY11-Networking Pro Core SA"/>
    <s v="Tiani Liang (Joey) "/>
    <s v="Chen Zhou"/>
    <n v="8"/>
    <m/>
    <s v="ESG"/>
    <m/>
    <n v="6"/>
    <m/>
    <n v="8"/>
  </r>
  <r>
    <x v="400"/>
    <x v="393"/>
    <s v="No Assigned L6"/>
    <x v="0"/>
    <x v="20"/>
    <x v="0"/>
    <m/>
    <m/>
    <m/>
    <m/>
    <m/>
    <m/>
    <m/>
    <m/>
    <s v="MY13-Enterprise ProSupport ANZ/SA"/>
    <s v=""/>
    <s v=""/>
    <m/>
    <m/>
    <s v="ESG"/>
    <m/>
    <n v="0"/>
    <m/>
    <m/>
  </r>
  <r>
    <x v="401"/>
    <x v="394"/>
    <s v="Yap, Diane"/>
    <x v="9"/>
    <x v="18"/>
    <x v="0"/>
    <n v="0"/>
    <s v="APJ"/>
    <s v="South Asia"/>
    <n v="0.629"/>
    <n v="0.10229885057471264"/>
    <s v="High Attrition"/>
    <s v="12/5"/>
    <s v="L1"/>
    <s v="MY14-Storage ProSupport SA"/>
    <s v="Tiani Liang (Joey) "/>
    <s v="Chen Zhou"/>
    <n v="8"/>
    <m/>
    <s v="ESG"/>
    <m/>
    <n v="15"/>
    <m/>
    <n v="8"/>
  </r>
  <r>
    <x v="402"/>
    <x v="395"/>
    <s v="No Assigned L6"/>
    <x v="0"/>
    <x v="17"/>
    <x v="1"/>
    <n v="0"/>
    <s v="APJ"/>
    <s v="Malaysia"/>
    <m/>
    <m/>
    <m/>
    <s v="12/7"/>
    <m/>
    <s v="MY15-Proactive Systems Maintenance SA"/>
    <s v=""/>
    <s v=""/>
    <n v="14"/>
    <m/>
    <m/>
    <m/>
    <n v="0"/>
    <m/>
    <m/>
  </r>
  <r>
    <x v="403"/>
    <x v="396"/>
    <s v="No Assigned L6"/>
    <x v="0"/>
    <x v="20"/>
    <x v="0"/>
    <m/>
    <m/>
    <m/>
    <m/>
    <m/>
    <m/>
    <m/>
    <m/>
    <s v="NALC-NA Basic Core Concentrix"/>
    <s v=""/>
    <s v=""/>
    <m/>
    <m/>
    <s v="ESG"/>
    <m/>
    <n v="0"/>
    <m/>
    <m/>
  </r>
  <r>
    <x v="404"/>
    <x v="397"/>
    <s v="No Assigned L6"/>
    <x v="0"/>
    <x v="20"/>
    <x v="0"/>
    <m/>
    <m/>
    <m/>
    <m/>
    <m/>
    <m/>
    <m/>
    <m/>
    <s v="NC04-Client ProSupport US"/>
    <s v=""/>
    <s v=""/>
    <m/>
    <m/>
    <s v="ESG"/>
    <m/>
    <n v="0"/>
    <m/>
    <m/>
  </r>
  <r>
    <x v="405"/>
    <x v="398"/>
    <s v="D'Arcy, Mark"/>
    <x v="0"/>
    <x v="20"/>
    <x v="1"/>
    <m/>
    <s v="NAMER"/>
    <m/>
    <n v="0.64800000000000002"/>
    <m/>
    <m/>
    <m/>
    <s v="L1"/>
    <s v="NC14-Social Media English (AMER)"/>
    <m/>
    <s v="Douglas Lumb"/>
    <m/>
    <m/>
    <m/>
    <m/>
    <n v="2"/>
    <m/>
    <m/>
  </r>
  <r>
    <x v="406"/>
    <x v="399"/>
    <s v="D'Arcy, Mark"/>
    <x v="8"/>
    <x v="17"/>
    <x v="0"/>
    <n v="0"/>
    <s v="EMEA"/>
    <s v="UKI"/>
    <n v="0.61699999999999999"/>
    <n v="2.0281420527295535E-2"/>
    <m/>
    <s v="11/5"/>
    <s v="L1"/>
    <s v="ND02-ENG ProSupp Nordics Server (CWD)"/>
    <s v="Vikesh Gupta"/>
    <s v="Douglas Lumb"/>
    <n v="8"/>
    <m/>
    <s v="ESG"/>
    <m/>
    <n v="16"/>
    <m/>
    <n v="8"/>
  </r>
  <r>
    <x v="407"/>
    <x v="400"/>
    <s v="No Assigned L6"/>
    <x v="8"/>
    <x v="17"/>
    <x v="0"/>
    <n v="0"/>
    <s v="EMEA"/>
    <s v="Nordics"/>
    <n v="0.61699999999999999"/>
    <n v="2.0281420527295535E-2"/>
    <m/>
    <s v="12/7"/>
    <m/>
    <s v="ND03-Nordics Enterprise (TUR)"/>
    <s v=""/>
    <s v=""/>
    <n v="14"/>
    <m/>
    <s v="ESG"/>
    <m/>
    <n v="0"/>
    <m/>
    <m/>
  </r>
  <r>
    <x v="408"/>
    <x v="401"/>
    <s v="D'Arcy, Mark"/>
    <x v="8"/>
    <x v="17"/>
    <x v="0"/>
    <n v="0"/>
    <s v="NAMER"/>
    <s v="United States"/>
    <n v="0.64800000000000002"/>
    <n v="1.621972640860141E-2"/>
    <m/>
    <s v="12/5"/>
    <s v="L1"/>
    <s v="NE02-Backup Solution HC US"/>
    <s v="Prachi Gupta"/>
    <s v="Douglas Lumb"/>
    <n v="8"/>
    <m/>
    <s v="ESG"/>
    <m/>
    <n v="38"/>
    <m/>
    <n v="8"/>
  </r>
  <r>
    <x v="409"/>
    <x v="402"/>
    <s v="No Assigned L6"/>
    <x v="8"/>
    <x v="17"/>
    <x v="0"/>
    <n v="0"/>
    <s v="NAMER"/>
    <s v="United States"/>
    <n v="0.64800000000000002"/>
    <n v="1.621972640860141E-2"/>
    <m/>
    <s v="12/5"/>
    <s v="L1"/>
    <s v="NE04-Enterprise Triage Queue US"/>
    <s v=""/>
    <s v=""/>
    <n v="8"/>
    <m/>
    <s v="ESG"/>
    <m/>
    <n v="0"/>
    <m/>
    <m/>
  </r>
  <r>
    <x v="410"/>
    <x v="403"/>
    <s v="Kenneally, Niall"/>
    <x v="9"/>
    <x v="18"/>
    <x v="0"/>
    <n v="0"/>
    <s v="NAMER"/>
    <s v="United States"/>
    <n v="0.64800000000000002"/>
    <n v="1.621972640860141E-2"/>
    <m/>
    <s v="12/5"/>
    <s v="L1"/>
    <s v="NE05-Storage PS MD US"/>
    <s v="Prachi Gupta"/>
    <s v="Miguel Galicia"/>
    <n v="8"/>
    <m/>
    <s v="ESG"/>
    <m/>
    <n v="35"/>
    <m/>
    <n v="8"/>
  </r>
  <r>
    <x v="411"/>
    <x v="404"/>
    <s v="D'Arcy, Mark"/>
    <x v="8"/>
    <x v="17"/>
    <x v="0"/>
    <n v="0"/>
    <s v="NAMER"/>
    <s v="United States"/>
    <n v="0.64800000000000002"/>
    <n v="7.9166666666666663E-2"/>
    <s v="High Attrition"/>
    <s v="12/5"/>
    <s v="L1"/>
    <s v="NE06-PowerEdge After Hours US"/>
    <s v="Prachi Gupta"/>
    <s v="Douglas Lumb"/>
    <n v="8"/>
    <m/>
    <s v="ESG"/>
    <m/>
    <n v="13"/>
    <m/>
    <n v="8"/>
  </r>
  <r>
    <x v="412"/>
    <x v="405"/>
    <s v="Yap, Diane"/>
    <x v="1"/>
    <x v="1"/>
    <x v="0"/>
    <n v="0"/>
    <s v="APJ"/>
    <s v="India"/>
    <n v="0.629"/>
    <n v="1.2017588546390416E-2"/>
    <m/>
    <s v="18/5"/>
    <s v="L1"/>
    <s v="NE07-Networking Basic US"/>
    <s v="Prachi Gupta"/>
    <s v="Chen Zhou"/>
    <n v="12"/>
    <m/>
    <s v="ESG"/>
    <m/>
    <n v="11"/>
    <m/>
    <n v="12"/>
  </r>
  <r>
    <x v="413"/>
    <x v="406"/>
    <s v="No Assigned L6"/>
    <x v="8"/>
    <x v="17"/>
    <x v="0"/>
    <n v="0"/>
    <s v="NAMER"/>
    <s v="United States"/>
    <n v="0.64800000000000002"/>
    <n v="1.621972640860141E-2"/>
    <m/>
    <s v="12/5"/>
    <m/>
    <s v="NE08-NA Server Basic Chat (BNG)"/>
    <s v=""/>
    <s v=""/>
    <n v="8"/>
    <m/>
    <s v="ESG"/>
    <m/>
    <n v="0"/>
    <m/>
    <m/>
  </r>
  <r>
    <x v="414"/>
    <x v="407"/>
    <s v="No Assigned L6"/>
    <x v="8"/>
    <x v="17"/>
    <x v="0"/>
    <n v="0"/>
    <s v="NAMER"/>
    <s v="United States"/>
    <n v="0.64800000000000002"/>
    <n v="1.621972640860141E-2"/>
    <m/>
    <s v="12/5"/>
    <m/>
    <s v="NE09-NA Server Basic (BNG)"/>
    <s v=""/>
    <s v=""/>
    <n v="8"/>
    <m/>
    <s v="ESG"/>
    <m/>
    <n v="0"/>
    <m/>
    <m/>
  </r>
  <r>
    <x v="415"/>
    <x v="408"/>
    <s v="Yap, Diane"/>
    <x v="8"/>
    <x v="17"/>
    <x v="0"/>
    <n v="0"/>
    <s v="NAMER"/>
    <s v="United States"/>
    <n v="0.64800000000000002"/>
    <n v="6.1373873873873871E-2"/>
    <s v="High Attrition"/>
    <s v="12/5"/>
    <s v="L1"/>
    <s v="NE13-PowerEdge Alternate Channel US"/>
    <s v="Prachi Gupta"/>
    <s v="Chen Zhou"/>
    <n v="8"/>
    <m/>
    <s v="ESG"/>
    <m/>
    <n v="26"/>
    <m/>
    <n v="8"/>
  </r>
  <r>
    <x v="416"/>
    <x v="409"/>
    <s v="Kenneally, Niall"/>
    <x v="9"/>
    <x v="18"/>
    <x v="0"/>
    <n v="0"/>
    <s v="NAMER"/>
    <s v="United States"/>
    <n v="0.64800000000000002"/>
    <n v="1.621972640860141E-2"/>
    <m/>
    <s v="12/5"/>
    <s v="L1"/>
    <s v="NE14-Compellent Copilot US"/>
    <s v="Prachi Gupta"/>
    <s v="Miguel Galicia"/>
    <n v="8"/>
    <m/>
    <s v="ESG"/>
    <m/>
    <n v="53"/>
    <m/>
    <n v="8"/>
  </r>
  <r>
    <x v="417"/>
    <x v="410"/>
    <s v="D'Arcy, Mark"/>
    <x v="1"/>
    <x v="1"/>
    <x v="0"/>
    <n v="0"/>
    <s v="NAMER"/>
    <s v="United States"/>
    <n v="0.64800000000000002"/>
    <n v="1.621972640860141E-2"/>
    <m/>
    <s v="12/5"/>
    <s v="L1"/>
    <s v="NE20-Networking ProSupport US"/>
    <s v="Prachi Gupta"/>
    <s v="Douglas Lumb"/>
    <n v="8"/>
    <m/>
    <s v="ESG"/>
    <m/>
    <n v="22"/>
    <m/>
    <n v="8"/>
  </r>
  <r>
    <x v="418"/>
    <x v="411"/>
    <s v="No Assigned L6"/>
    <x v="0"/>
    <x v="17"/>
    <x v="1"/>
    <n v="0"/>
    <s v="Americas"/>
    <s v="United States"/>
    <m/>
    <m/>
    <m/>
    <s v="12/7"/>
    <m/>
    <s v="NE21-Server eSupport Case Director US"/>
    <s v=""/>
    <s v=""/>
    <n v="14"/>
    <m/>
    <m/>
    <m/>
    <n v="0"/>
    <m/>
    <m/>
  </r>
  <r>
    <x v="419"/>
    <x v="412"/>
    <s v="D'Arcy, Mark"/>
    <x v="8"/>
    <x v="17"/>
    <x v="0"/>
    <n v="0"/>
    <s v="NAMER"/>
    <s v="United States"/>
    <n v="0.64800000000000002"/>
    <n v="1.621972640860141E-2"/>
    <m/>
    <s v="14/5"/>
    <s v="L1"/>
    <s v="NE25-Server ProSupport Chat US"/>
    <s v="Prachi Gupta"/>
    <s v="Douglas Lumb"/>
    <n v="10"/>
    <m/>
    <s v="ESG"/>
    <m/>
    <n v="25"/>
    <m/>
    <n v="10"/>
  </r>
  <r>
    <x v="420"/>
    <x v="413"/>
    <s v="Kenneally, Niall"/>
    <x v="9"/>
    <x v="18"/>
    <x v="0"/>
    <n v="0"/>
    <s v="NAMER"/>
    <s v="United States"/>
    <n v="0.64800000000000002"/>
    <n v="1.621972640860141E-2"/>
    <m/>
    <s v="12/5"/>
    <s v="L1"/>
    <s v="NE27-NA ProSupp Storage eSupport"/>
    <s v="Prachi Gupta"/>
    <s v="Miguel Galicia"/>
    <n v="8"/>
    <m/>
    <s v="ESG"/>
    <m/>
    <n v="11"/>
    <m/>
    <n v="8"/>
  </r>
  <r>
    <x v="421"/>
    <x v="414"/>
    <s v="No Assigned L6"/>
    <x v="0"/>
    <x v="17"/>
    <x v="1"/>
    <n v="0"/>
    <s v="Americas"/>
    <s v="United States"/>
    <m/>
    <m/>
    <m/>
    <s v="12/7"/>
    <m/>
    <s v="NE29-Proactive Systems Maintenance NA"/>
    <s v=""/>
    <s v=""/>
    <n v="14"/>
    <m/>
    <m/>
    <m/>
    <n v="0"/>
    <m/>
    <m/>
  </r>
  <r>
    <x v="422"/>
    <x v="415"/>
    <s v="D'Arcy, Mark"/>
    <x v="8"/>
    <x v="17"/>
    <x v="0"/>
    <n v="0"/>
    <s v="NAMER"/>
    <s v="United States"/>
    <n v="0.64800000000000002"/>
    <n v="1.621972640860141E-2"/>
    <m/>
    <s v="12/5"/>
    <s v="L1"/>
    <s v="NE31-PS One"/>
    <s v="Prachi Gupta"/>
    <s v="Douglas Lumb"/>
    <n v="8"/>
    <m/>
    <s v="ESG"/>
    <m/>
    <n v="32"/>
    <m/>
    <n v="8"/>
  </r>
  <r>
    <x v="423"/>
    <x v="416"/>
    <s v="D'Arcy, Mark"/>
    <x v="8"/>
    <x v="17"/>
    <x v="0"/>
    <n v="0"/>
    <s v="NAMER"/>
    <s v="United States"/>
    <n v="0.64800000000000002"/>
    <n v="1.621972640860141E-2"/>
    <m/>
    <s v="12/5"/>
    <s v="L1"/>
    <s v="NE33-Modular US"/>
    <s v="Prachi Gupta"/>
    <s v="Douglas Lumb"/>
    <n v="8"/>
    <m/>
    <s v="ESG"/>
    <m/>
    <n v="0"/>
    <m/>
    <m/>
  </r>
  <r>
    <x v="424"/>
    <x v="417"/>
    <s v="D'Arcy, Mark"/>
    <x v="8"/>
    <x v="17"/>
    <x v="0"/>
    <n v="0"/>
    <s v="NAMER"/>
    <s v="United States"/>
    <n v="0.64800000000000002"/>
    <n v="1.621972640860141E-2"/>
    <m/>
    <s v="12/5"/>
    <s v="L1"/>
    <s v="NE35-RT Linux / Virtualization US"/>
    <s v="Prachi Gupta"/>
    <s v="Douglas Lumb"/>
    <n v="8"/>
    <m/>
    <s v="ESG"/>
    <m/>
    <n v="0"/>
    <m/>
    <m/>
  </r>
  <r>
    <x v="425"/>
    <x v="418"/>
    <s v="D'Arcy, Mark"/>
    <x v="8"/>
    <x v="17"/>
    <x v="0"/>
    <n v="0"/>
    <s v="NAMER"/>
    <s v="United States"/>
    <n v="0.64800000000000002"/>
    <n v="3.7921679641424857E-2"/>
    <s v="High Attrition"/>
    <s v="12/5"/>
    <s v="L1"/>
    <s v="NE36-RT Microsoft US"/>
    <s v="Prachi Gupta"/>
    <s v="Douglas Lumb"/>
    <n v="8"/>
    <m/>
    <s v="ESG"/>
    <m/>
    <n v="56"/>
    <m/>
    <n v="8"/>
  </r>
  <r>
    <x v="426"/>
    <x v="419"/>
    <s v="D'Arcy, Mark"/>
    <x v="8"/>
    <x v="17"/>
    <x v="0"/>
    <m/>
    <s v="NAMER"/>
    <s v="United States"/>
    <n v="0.64800000000000002"/>
    <n v="1.621972640860141E-2"/>
    <m/>
    <m/>
    <s v="L1"/>
    <s v="NE38-Compute High Complexity"/>
    <m/>
    <s v="Douglas Lumb"/>
    <m/>
    <m/>
    <s v="ESG"/>
    <m/>
    <n v="75"/>
    <m/>
    <n v="0"/>
  </r>
  <r>
    <x v="427"/>
    <x v="420"/>
    <s v="Yap, Diane"/>
    <x v="0"/>
    <x v="0"/>
    <x v="1"/>
    <n v="0"/>
    <s v="Global"/>
    <s v="Global"/>
    <n v="0.63300000000000001"/>
    <m/>
    <m/>
    <s v="12/7"/>
    <s v="Manager"/>
    <s v="NF01-APJ Manager"/>
    <s v=""/>
    <s v=""/>
    <n v="14"/>
    <m/>
    <m/>
    <m/>
    <n v="84"/>
    <m/>
    <m/>
  </r>
  <r>
    <x v="428"/>
    <x v="421"/>
    <s v="Yap, Diane"/>
    <x v="0"/>
    <x v="0"/>
    <x v="1"/>
    <n v="0"/>
    <s v="Global"/>
    <s v="Global"/>
    <n v="0.63300000000000001"/>
    <m/>
    <m/>
    <s v="12/7"/>
    <m/>
    <s v="NF02-APJ Non-Frontline"/>
    <m/>
    <s v="Chen Zhou"/>
    <n v="14"/>
    <m/>
    <s v="ESG"/>
    <m/>
    <n v="0"/>
    <m/>
    <m/>
  </r>
  <r>
    <x v="429"/>
    <x v="422"/>
    <s v="No Assigned L6"/>
    <x v="0"/>
    <x v="0"/>
    <x v="1"/>
    <n v="0"/>
    <s v="Global"/>
    <s v="Global"/>
    <n v="0.63300000000000001"/>
    <m/>
    <m/>
    <s v="12/7"/>
    <m/>
    <s v="NF03-APJ NR-FLS"/>
    <s v=""/>
    <s v=""/>
    <n v="14"/>
    <m/>
    <s v="ESG"/>
    <m/>
    <n v="0"/>
    <m/>
    <m/>
  </r>
  <r>
    <x v="430"/>
    <x v="423"/>
    <s v="Yap, Diane"/>
    <x v="0"/>
    <x v="0"/>
    <x v="1"/>
    <n v="0"/>
    <s v="Global"/>
    <s v="Global"/>
    <n v="0.63300000000000001"/>
    <m/>
    <m/>
    <s v="12/7"/>
    <s v="Quality Coach"/>
    <s v="NF04-APJ Quality Coach"/>
    <m/>
    <s v="Chen Zhou"/>
    <n v="14"/>
    <m/>
    <m/>
    <m/>
    <n v="38"/>
    <m/>
    <m/>
  </r>
  <r>
    <x v="431"/>
    <x v="424"/>
    <s v="D'Arcy, Mark"/>
    <x v="0"/>
    <x v="20"/>
    <x v="1"/>
    <m/>
    <m/>
    <m/>
    <m/>
    <m/>
    <m/>
    <m/>
    <m/>
    <s v="NF05-Social Media Non-Frontline"/>
    <s v=""/>
    <s v=""/>
    <m/>
    <m/>
    <m/>
    <m/>
    <n v="0"/>
    <m/>
    <m/>
  </r>
  <r>
    <x v="432"/>
    <x v="425"/>
    <s v="D'Arcy, Mark"/>
    <x v="0"/>
    <x v="20"/>
    <x v="1"/>
    <m/>
    <m/>
    <m/>
    <m/>
    <m/>
    <m/>
    <m/>
    <s v="Quality Coach"/>
    <s v="NF06-Social Media Quality Coach"/>
    <m/>
    <s v="Douglas Lumb"/>
    <m/>
    <m/>
    <m/>
    <m/>
    <n v="1"/>
    <m/>
    <m/>
  </r>
  <r>
    <x v="433"/>
    <x v="426"/>
    <s v="Punch, Patrick"/>
    <x v="4"/>
    <x v="0"/>
    <x v="1"/>
    <n v="0"/>
    <s v="Global"/>
    <s v="Global"/>
    <n v="0.63300000000000001"/>
    <m/>
    <m/>
    <s v="12/7"/>
    <s v="Manager"/>
    <s v="NF09-DPD/UDS Manager"/>
    <m/>
    <s v="Darrick Nelsen"/>
    <n v="14"/>
    <m/>
    <m/>
    <m/>
    <n v="75.85329999999999"/>
    <m/>
    <m/>
  </r>
  <r>
    <x v="434"/>
    <x v="427"/>
    <s v="Punch, Patrick"/>
    <x v="4"/>
    <x v="0"/>
    <x v="1"/>
    <n v="0"/>
    <s v="EMEA"/>
    <s v="Egypt"/>
    <n v="0.61699999999999999"/>
    <m/>
    <m/>
    <s v="12/7"/>
    <m/>
    <s v="NF10-DPD/UDS Non-Frontline"/>
    <m/>
    <s v="Darrick Nelsen"/>
    <n v="14"/>
    <m/>
    <m/>
    <m/>
    <n v="3"/>
    <m/>
    <m/>
  </r>
  <r>
    <x v="435"/>
    <x v="428"/>
    <s v="No Assigned L6"/>
    <x v="4"/>
    <x v="0"/>
    <x v="1"/>
    <n v="0"/>
    <s v="Global"/>
    <s v="Multiple Countries"/>
    <m/>
    <m/>
    <m/>
    <m/>
    <m/>
    <s v="NF11-DPD/UDS NR-FLS"/>
    <s v=""/>
    <s v=""/>
    <m/>
    <m/>
    <m/>
    <m/>
    <n v="0"/>
    <m/>
    <m/>
  </r>
  <r>
    <x v="436"/>
    <x v="429"/>
    <s v="Punch, Patrick"/>
    <x v="4"/>
    <x v="0"/>
    <x v="1"/>
    <n v="0"/>
    <s v="Global"/>
    <s v="Global"/>
    <n v="0.63300000000000001"/>
    <m/>
    <m/>
    <s v="12/7"/>
    <s v="Quality Coach"/>
    <s v="NF12-DPD/UDS Quality Coach"/>
    <m/>
    <s v="Darrick Nelsen"/>
    <n v="14"/>
    <m/>
    <m/>
    <m/>
    <n v="49"/>
    <m/>
    <m/>
  </r>
  <r>
    <x v="437"/>
    <x v="430"/>
    <s v="Punch, Patrick"/>
    <x v="4"/>
    <x v="0"/>
    <x v="1"/>
    <n v="0"/>
    <s v="NAMER"/>
    <s v="United States"/>
    <n v="0.64800000000000002"/>
    <m/>
    <m/>
    <s v="12/7"/>
    <s v="Technical Lead"/>
    <s v="NF13-DPD/UDS Technical Lead"/>
    <m/>
    <s v="Darrick Nelsen"/>
    <n v="14"/>
    <m/>
    <m/>
    <m/>
    <n v="2"/>
    <m/>
    <m/>
  </r>
  <r>
    <x v="438"/>
    <x v="431"/>
    <s v="Yap, Diane"/>
    <x v="0"/>
    <x v="0"/>
    <x v="1"/>
    <n v="0"/>
    <s v="Global"/>
    <s v="Global"/>
    <n v="0.63300000000000001"/>
    <m/>
    <m/>
    <s v="12/7"/>
    <s v="Manager"/>
    <s v="NF14-EMEA Manager"/>
    <s v=""/>
    <s v=""/>
    <n v="14"/>
    <m/>
    <m/>
    <m/>
    <n v="3"/>
    <m/>
    <m/>
  </r>
  <r>
    <x v="439"/>
    <x v="432"/>
    <s v="No Assigned L6"/>
    <x v="0"/>
    <x v="20"/>
    <x v="1"/>
    <m/>
    <m/>
    <m/>
    <m/>
    <m/>
    <m/>
    <m/>
    <m/>
    <s v="NF15-EMEA Non-Frontline"/>
    <s v=""/>
    <s v=""/>
    <m/>
    <m/>
    <m/>
    <m/>
    <n v="0"/>
    <m/>
    <m/>
  </r>
  <r>
    <x v="440"/>
    <x v="433"/>
    <s v="No Assigned L6"/>
    <x v="0"/>
    <x v="0"/>
    <x v="1"/>
    <n v="0"/>
    <s v="Global"/>
    <s v="Multiple Countries"/>
    <m/>
    <m/>
    <m/>
    <m/>
    <m/>
    <s v="NF16-EMEA NR-FLS"/>
    <s v=""/>
    <s v=""/>
    <m/>
    <m/>
    <m/>
    <m/>
    <n v="0"/>
    <m/>
    <m/>
  </r>
  <r>
    <x v="441"/>
    <x v="434"/>
    <s v="D'Arcy, Mark"/>
    <x v="0"/>
    <x v="0"/>
    <x v="1"/>
    <n v="0"/>
    <s v="Global"/>
    <s v="Global"/>
    <n v="0.63300000000000001"/>
    <m/>
    <m/>
    <s v="12/7"/>
    <s v="Quality Coach"/>
    <s v="NF17-EMEA Quality Coach"/>
    <m/>
    <s v="Chen Zhou"/>
    <n v="14"/>
    <m/>
    <m/>
    <m/>
    <n v="30"/>
    <m/>
    <m/>
  </r>
  <r>
    <x v="442"/>
    <x v="435"/>
    <s v="D'Arcy, Mark"/>
    <x v="0"/>
    <x v="0"/>
    <x v="1"/>
    <n v="0"/>
    <s v="Global"/>
    <s v="Global"/>
    <n v="0.63300000000000001"/>
    <m/>
    <m/>
    <s v="12/7"/>
    <s v="Manager"/>
    <s v="NF18-HCS Manager"/>
    <s v=""/>
    <s v=""/>
    <n v="14"/>
    <m/>
    <m/>
    <m/>
    <n v="49"/>
    <m/>
    <m/>
  </r>
  <r>
    <x v="443"/>
    <x v="436"/>
    <s v="D'Arcy, Mark"/>
    <x v="0"/>
    <x v="0"/>
    <x v="1"/>
    <n v="0"/>
    <s v="Global"/>
    <s v="Global"/>
    <n v="0.63300000000000001"/>
    <m/>
    <m/>
    <s v="12/7"/>
    <m/>
    <s v="NF19-HCS Non-Frontline"/>
    <m/>
    <s v="Miguel Galicia"/>
    <n v="14"/>
    <m/>
    <m/>
    <m/>
    <n v="0"/>
    <m/>
    <m/>
  </r>
  <r>
    <x v="444"/>
    <x v="437"/>
    <s v="No Assigned L6"/>
    <x v="6"/>
    <x v="0"/>
    <x v="1"/>
    <n v="0"/>
    <s v="Global"/>
    <s v="Multiple Countries"/>
    <m/>
    <m/>
    <m/>
    <m/>
    <m/>
    <s v="NF20-HCS NR-FLS"/>
    <s v=""/>
    <s v=""/>
    <m/>
    <m/>
    <m/>
    <m/>
    <n v="0"/>
    <m/>
    <m/>
  </r>
  <r>
    <x v="444"/>
    <x v="437"/>
    <s v="No Assigned L6"/>
    <x v="6"/>
    <x v="0"/>
    <x v="1"/>
    <n v="0"/>
    <s v="Global"/>
    <s v="Multiple Countries"/>
    <m/>
    <m/>
    <m/>
    <m/>
    <m/>
    <s v="NF20-HCS NR-FLS"/>
    <s v=""/>
    <s v=""/>
    <m/>
    <m/>
    <m/>
    <m/>
    <n v="0"/>
    <m/>
    <m/>
  </r>
  <r>
    <x v="445"/>
    <x v="438"/>
    <s v="D'Arcy, Mark"/>
    <x v="0"/>
    <x v="0"/>
    <x v="1"/>
    <n v="0"/>
    <s v="Global"/>
    <s v="Global"/>
    <n v="0.63300000000000001"/>
    <m/>
    <m/>
    <s v="12/7"/>
    <s v="Technical Lead"/>
    <s v="NF21-HCS Technical Lead"/>
    <m/>
    <s v="Douglas Lumb"/>
    <n v="14"/>
    <m/>
    <m/>
    <m/>
    <n v="18"/>
    <m/>
    <m/>
  </r>
  <r>
    <x v="446"/>
    <x v="439"/>
    <s v="Kenneally, Niall"/>
    <x v="0"/>
    <x v="0"/>
    <x v="1"/>
    <n v="0"/>
    <s v="Global"/>
    <s v="Global"/>
    <n v="0.63300000000000001"/>
    <m/>
    <m/>
    <s v="12/7"/>
    <s v="Manager"/>
    <s v="NF22-HES Manager"/>
    <s v=""/>
    <s v=""/>
    <n v="14"/>
    <m/>
    <m/>
    <m/>
    <n v="77"/>
    <m/>
    <m/>
  </r>
  <r>
    <x v="447"/>
    <x v="440"/>
    <s v="Kenneally, Niall"/>
    <x v="6"/>
    <x v="0"/>
    <x v="1"/>
    <n v="0"/>
    <s v="EMEA"/>
    <s v="Egypt"/>
    <n v="0.61699999999999999"/>
    <m/>
    <m/>
    <s v="12/7"/>
    <m/>
    <s v="NF23-HES Non-Frontline"/>
    <m/>
    <s v="Miguel Galicia"/>
    <n v="14"/>
    <m/>
    <m/>
    <m/>
    <n v="1"/>
    <m/>
    <m/>
  </r>
  <r>
    <x v="448"/>
    <x v="441"/>
    <s v="No Assigned L6"/>
    <x v="0"/>
    <x v="0"/>
    <x v="1"/>
    <n v="0"/>
    <s v="Global"/>
    <s v="Multiple Countries"/>
    <m/>
    <m/>
    <m/>
    <m/>
    <m/>
    <s v="NF24-HES NR-FLS"/>
    <s v=""/>
    <s v=""/>
    <m/>
    <m/>
    <m/>
    <m/>
    <n v="0"/>
    <m/>
    <m/>
  </r>
  <r>
    <x v="449"/>
    <x v="442"/>
    <s v="Kenneally, Niall"/>
    <x v="0"/>
    <x v="0"/>
    <x v="1"/>
    <n v="0"/>
    <s v="Global"/>
    <s v="Global"/>
    <n v="0.63300000000000001"/>
    <m/>
    <m/>
    <s v="12/7"/>
    <s v="Quality Coach"/>
    <s v="NF25-HES Quality Coach"/>
    <m/>
    <s v="Miguel Galicia"/>
    <n v="14"/>
    <m/>
    <m/>
    <m/>
    <n v="29"/>
    <m/>
    <m/>
  </r>
  <r>
    <x v="450"/>
    <x v="443"/>
    <s v="Kenneally, Niall"/>
    <x v="0"/>
    <x v="0"/>
    <x v="1"/>
    <n v="0"/>
    <s v="NAMER"/>
    <s v="United States"/>
    <n v="0.64800000000000002"/>
    <m/>
    <m/>
    <s v="12/7"/>
    <s v="Technical Lead"/>
    <s v="NF26-HES Technical Lead"/>
    <m/>
    <s v="Miguel Galicia"/>
    <n v="14"/>
    <m/>
    <m/>
    <m/>
    <n v="7"/>
    <m/>
    <m/>
  </r>
  <r>
    <x v="451"/>
    <x v="444"/>
    <s v="Paris, Claudia"/>
    <x v="0"/>
    <x v="0"/>
    <x v="1"/>
    <n v="0"/>
    <s v="LATAM"/>
    <s v="Brazil"/>
    <n v="0.57099999999999995"/>
    <m/>
    <m/>
    <s v="12/7"/>
    <s v="Manager"/>
    <s v="NF27-LATAM Manager"/>
    <s v=""/>
    <s v=""/>
    <n v="14"/>
    <m/>
    <m/>
    <m/>
    <n v="21"/>
    <m/>
    <m/>
  </r>
  <r>
    <x v="452"/>
    <x v="445"/>
    <s v="Paris, Claudia"/>
    <x v="0"/>
    <x v="0"/>
    <x v="1"/>
    <n v="0"/>
    <s v="LATAM"/>
    <s v="Brazil"/>
    <n v="0.57099999999999995"/>
    <m/>
    <m/>
    <s v="12/7"/>
    <m/>
    <s v="NF28-LATAM Non-Frontline"/>
    <s v=""/>
    <s v=""/>
    <n v="14"/>
    <m/>
    <s v="ESG"/>
    <m/>
    <n v="0"/>
    <m/>
    <m/>
  </r>
  <r>
    <x v="453"/>
    <x v="446"/>
    <s v="No Assigned L6"/>
    <x v="0"/>
    <x v="0"/>
    <x v="1"/>
    <n v="0"/>
    <s v="Global"/>
    <s v="Multiple Countries"/>
    <m/>
    <m/>
    <m/>
    <m/>
    <m/>
    <s v="NF29-LATAM NR-FLS"/>
    <s v=""/>
    <s v=""/>
    <m/>
    <m/>
    <m/>
    <m/>
    <n v="0"/>
    <m/>
    <m/>
  </r>
  <r>
    <x v="454"/>
    <x v="447"/>
    <s v="Paris, Claudia"/>
    <x v="0"/>
    <x v="0"/>
    <x v="1"/>
    <n v="0"/>
    <s v="LATAM"/>
    <s v="Brazil"/>
    <n v="0.57099999999999995"/>
    <m/>
    <m/>
    <s v="12/7"/>
    <s v="Quality Coach"/>
    <s v="NF30-LATAM Quality Coach"/>
    <m/>
    <s v="Darrick Nelsen"/>
    <n v="14"/>
    <m/>
    <m/>
    <m/>
    <n v="14"/>
    <m/>
    <m/>
  </r>
  <r>
    <x v="455"/>
    <x v="448"/>
    <s v="Kenneally, Niall"/>
    <x v="0"/>
    <x v="0"/>
    <x v="1"/>
    <n v="0"/>
    <s v="Global"/>
    <s v="Global"/>
    <n v="0.63300000000000001"/>
    <m/>
    <m/>
    <s v="12/7"/>
    <s v="Manager"/>
    <s v="NF31-NAMER Manager"/>
    <s v=""/>
    <s v=""/>
    <n v="14"/>
    <m/>
    <m/>
    <m/>
    <n v="4"/>
    <m/>
    <m/>
  </r>
  <r>
    <x v="456"/>
    <x v="449"/>
    <s v="No Assigned L6"/>
    <x v="0"/>
    <x v="0"/>
    <x v="1"/>
    <n v="0"/>
    <s v="NAMER"/>
    <s v="United States"/>
    <n v="0.64800000000000002"/>
    <m/>
    <m/>
    <s v="12/7"/>
    <m/>
    <s v="NF32-NAMER Non-Frontline"/>
    <s v=""/>
    <s v=""/>
    <n v="14"/>
    <m/>
    <m/>
    <m/>
    <n v="0"/>
    <m/>
    <m/>
  </r>
  <r>
    <x v="457"/>
    <x v="450"/>
    <s v="No Assigned L6"/>
    <x v="0"/>
    <x v="0"/>
    <x v="1"/>
    <n v="0"/>
    <s v="Global"/>
    <s v="Multiple Countries"/>
    <m/>
    <m/>
    <m/>
    <m/>
    <m/>
    <s v="NF33-NAMER NR-FLS"/>
    <s v=""/>
    <s v=""/>
    <m/>
    <m/>
    <m/>
    <m/>
    <n v="0"/>
    <m/>
    <m/>
  </r>
  <r>
    <x v="458"/>
    <x v="451"/>
    <s v="D'Arcy, Mark"/>
    <x v="0"/>
    <x v="0"/>
    <x v="1"/>
    <n v="0"/>
    <s v="Global"/>
    <s v="Global"/>
    <n v="0.63300000000000001"/>
    <m/>
    <m/>
    <s v="12/7"/>
    <s v="Quality Coach"/>
    <s v="NF34-NAMER Quality Coach"/>
    <m/>
    <s v="Miguel Galicia"/>
    <n v="14"/>
    <m/>
    <m/>
    <m/>
    <n v="43"/>
    <m/>
    <m/>
  </r>
  <r>
    <x v="459"/>
    <x v="452"/>
    <s v="Kenneally, Niall"/>
    <x v="0"/>
    <x v="0"/>
    <x v="1"/>
    <n v="0"/>
    <s v="LATAM"/>
    <s v="Panama"/>
    <n v="0.626"/>
    <m/>
    <m/>
    <s v="12/7"/>
    <s v="Technical Lead"/>
    <s v="NF35-NAMER Technical Lead"/>
    <m/>
    <s v="Miguel Galicia"/>
    <n v="14"/>
    <m/>
    <m/>
    <m/>
    <n v="1"/>
    <m/>
    <m/>
  </r>
  <r>
    <x v="460"/>
    <x v="453"/>
    <s v="No Assigned L6"/>
    <x v="0"/>
    <x v="0"/>
    <x v="1"/>
    <n v="0"/>
    <s v="Global"/>
    <s v="Global"/>
    <n v="0.63300000000000001"/>
    <m/>
    <m/>
    <s v="12/7"/>
    <s v="Manager"/>
    <s v="NF36-Service Engineering Manager"/>
    <s v=""/>
    <s v=""/>
    <n v="14"/>
    <m/>
    <m/>
    <m/>
    <n v="0"/>
    <m/>
    <m/>
  </r>
  <r>
    <x v="461"/>
    <x v="454"/>
    <s v="(blank)"/>
    <x v="0"/>
    <x v="0"/>
    <x v="1"/>
    <n v="0"/>
    <s v="Global"/>
    <s v="Global"/>
    <n v="0.63300000000000001"/>
    <m/>
    <m/>
    <s v="12/7"/>
    <m/>
    <s v="NF37-Service Engineering Non-Frontline"/>
    <s v=""/>
    <s v=""/>
    <n v="14"/>
    <m/>
    <m/>
    <m/>
    <n v="0"/>
    <m/>
    <m/>
  </r>
  <r>
    <x v="462"/>
    <x v="455"/>
    <s v="No Assigned L6"/>
    <x v="0"/>
    <x v="0"/>
    <x v="1"/>
    <n v="0"/>
    <s v="Global"/>
    <s v="Multiple Countries"/>
    <m/>
    <m/>
    <m/>
    <m/>
    <s v="Technical Lead"/>
    <s v="NF40-Service Engineering Technical Lead"/>
    <s v=""/>
    <s v=""/>
    <m/>
    <m/>
    <m/>
    <m/>
    <n v="0"/>
    <m/>
    <m/>
  </r>
  <r>
    <x v="463"/>
    <x v="456"/>
    <s v="No Assigned L6"/>
    <x v="0"/>
    <x v="0"/>
    <x v="1"/>
    <n v="0"/>
    <s v="Global"/>
    <s v="Global"/>
    <n v="0.63300000000000001"/>
    <m/>
    <m/>
    <s v="12/7"/>
    <s v="Manager"/>
    <s v="NF41-SSO Manager"/>
    <s v=""/>
    <s v=""/>
    <n v="14"/>
    <m/>
    <m/>
    <m/>
    <n v="1"/>
    <m/>
    <m/>
  </r>
  <r>
    <x v="464"/>
    <x v="457"/>
    <s v="No Assigned L6"/>
    <x v="0"/>
    <x v="0"/>
    <x v="1"/>
    <n v="0"/>
    <s v="Global"/>
    <s v="Global"/>
    <n v="0.63300000000000001"/>
    <m/>
    <m/>
    <s v="12/7"/>
    <m/>
    <s v="NF42-SSO Non-Frontline"/>
    <m/>
    <s v="Miguel Galicia"/>
    <n v="14"/>
    <m/>
    <m/>
    <m/>
    <n v="2"/>
    <m/>
    <m/>
  </r>
  <r>
    <x v="465"/>
    <x v="458"/>
    <s v="Brown, Dexter"/>
    <x v="0"/>
    <x v="0"/>
    <x v="1"/>
    <n v="0"/>
    <s v="Global"/>
    <s v="Global"/>
    <n v="0.63300000000000001"/>
    <m/>
    <m/>
    <s v="12/7"/>
    <m/>
    <s v="NF43-SSO NR-FLS"/>
    <m/>
    <s v="Miguel Galicia"/>
    <n v="14"/>
    <m/>
    <m/>
    <m/>
    <n v="14"/>
    <m/>
    <m/>
  </r>
  <r>
    <x v="466"/>
    <x v="459"/>
    <s v="No Assigned L6"/>
    <x v="0"/>
    <x v="0"/>
    <x v="1"/>
    <n v="0"/>
    <s v="EMEA"/>
    <s v="Egypt"/>
    <n v="0.61699999999999999"/>
    <m/>
    <m/>
    <s v="12/7"/>
    <s v="Quality Coach"/>
    <s v="NF44-SSO Quality Coach"/>
    <m/>
    <s v="Miguel Galicia"/>
    <n v="14"/>
    <m/>
    <m/>
    <m/>
    <n v="0"/>
    <m/>
    <m/>
  </r>
  <r>
    <x v="467"/>
    <x v="460"/>
    <s v="No Assigned L6"/>
    <x v="0"/>
    <x v="0"/>
    <x v="1"/>
    <n v="0"/>
    <s v="Global"/>
    <s v="Multiple Countries"/>
    <m/>
    <m/>
    <m/>
    <m/>
    <m/>
    <s v="NF45-STRATEGY Non-Frontline"/>
    <s v=""/>
    <s v=""/>
    <m/>
    <m/>
    <m/>
    <m/>
    <n v="0"/>
    <m/>
    <m/>
  </r>
  <r>
    <x v="468"/>
    <x v="461"/>
    <s v="(blank)"/>
    <x v="0"/>
    <x v="0"/>
    <x v="1"/>
    <n v="0"/>
    <s v="Global"/>
    <s v="Global"/>
    <n v="0.63300000000000001"/>
    <m/>
    <m/>
    <s v="12/7"/>
    <m/>
    <s v="NF46-WHITLOW ELT"/>
    <s v=""/>
    <s v=""/>
    <n v="14"/>
    <m/>
    <m/>
    <m/>
    <n v="0"/>
    <m/>
    <m/>
  </r>
  <r>
    <x v="469"/>
    <x v="462"/>
    <s v="No Assigned L6"/>
    <x v="0"/>
    <x v="0"/>
    <x v="1"/>
    <n v="0"/>
    <s v="Global"/>
    <s v="Multiple Countries"/>
    <m/>
    <m/>
    <m/>
    <m/>
    <s v="WFM"/>
    <s v="NF47-SSO WFM"/>
    <s v=""/>
    <s v=""/>
    <m/>
    <m/>
    <m/>
    <m/>
    <n v="0"/>
    <m/>
    <m/>
  </r>
  <r>
    <x v="470"/>
    <x v="463"/>
    <s v="No Assigned L6"/>
    <x v="0"/>
    <x v="0"/>
    <x v="1"/>
    <n v="0"/>
    <s v="Global"/>
    <s v="Multiple Countries"/>
    <m/>
    <m/>
    <m/>
    <m/>
    <s v="Manager"/>
    <s v="NF48-RM Manager"/>
    <s v=""/>
    <s v=""/>
    <m/>
    <m/>
    <m/>
    <m/>
    <n v="0"/>
    <m/>
    <m/>
  </r>
  <r>
    <x v="471"/>
    <x v="464"/>
    <s v="No Assigned L6"/>
    <x v="0"/>
    <x v="0"/>
    <x v="1"/>
    <n v="0"/>
    <s v="Global"/>
    <s v="Multiple Countries"/>
    <m/>
    <m/>
    <m/>
    <m/>
    <m/>
    <s v="NF49-RM NR-FLS"/>
    <s v=""/>
    <s v=""/>
    <m/>
    <m/>
    <m/>
    <m/>
    <n v="0"/>
    <m/>
    <m/>
  </r>
  <r>
    <x v="472"/>
    <x v="465"/>
    <s v="No Assigned L6"/>
    <x v="0"/>
    <x v="0"/>
    <x v="1"/>
    <n v="0"/>
    <s v="Global"/>
    <s v="Multiple Countries"/>
    <m/>
    <m/>
    <m/>
    <m/>
    <s v="WFM"/>
    <s v="NF50-Service Engineering WFM"/>
    <s v=""/>
    <s v=""/>
    <m/>
    <m/>
    <m/>
    <m/>
    <n v="0"/>
    <m/>
    <m/>
  </r>
  <r>
    <x v="473"/>
    <x v="466"/>
    <s v="No Assigned L6"/>
    <x v="0"/>
    <x v="1"/>
    <x v="1"/>
    <n v="0"/>
    <s v="Global"/>
    <s v="Global"/>
    <n v="0.63300000000000001"/>
    <m/>
    <m/>
    <s v="12/7"/>
    <m/>
    <s v="NF53-Global TELCO Networking"/>
    <s v=""/>
    <s v=""/>
    <n v="14"/>
    <m/>
    <m/>
    <m/>
    <n v="0"/>
    <m/>
    <m/>
  </r>
  <r>
    <x v="474"/>
    <x v="467"/>
    <s v="No Assigned L6"/>
    <x v="0"/>
    <x v="17"/>
    <x v="1"/>
    <n v="0"/>
    <s v="Global"/>
    <s v="Multiple Countries"/>
    <m/>
    <m/>
    <m/>
    <m/>
    <m/>
    <s v="NF54-Global TELCO - Server"/>
    <s v=""/>
    <s v=""/>
    <m/>
    <m/>
    <m/>
    <m/>
    <n v="0"/>
    <m/>
    <m/>
  </r>
  <r>
    <x v="475"/>
    <x v="468"/>
    <s v="D'Arcy, Mark"/>
    <x v="0"/>
    <x v="0"/>
    <x v="1"/>
    <n v="0"/>
    <s v="EMEA"/>
    <s v="Egypt"/>
    <n v="0.61699999999999999"/>
    <m/>
    <m/>
    <s v="12/7"/>
    <s v="Quality Coach"/>
    <s v="NF56-HCS Quality Coach"/>
    <m/>
    <s v="Douglas Lumb"/>
    <n v="14"/>
    <m/>
    <m/>
    <m/>
    <n v="14"/>
    <m/>
    <m/>
  </r>
  <r>
    <x v="476"/>
    <x v="469"/>
    <s v="D'Arcy, Mark"/>
    <x v="0"/>
    <x v="0"/>
    <x v="1"/>
    <n v="0"/>
    <s v="Global"/>
    <s v="Global"/>
    <n v="0.63300000000000001"/>
    <m/>
    <m/>
    <s v="12/7"/>
    <m/>
    <s v="NF57-Global TELCO"/>
    <m/>
    <s v="Douglas Lumb"/>
    <n v="14"/>
    <m/>
    <m/>
    <m/>
    <n v="28"/>
    <m/>
    <m/>
  </r>
  <r>
    <x v="477"/>
    <x v="470"/>
    <s v="Not Assigned"/>
    <x v="0"/>
    <x v="21"/>
    <x v="1"/>
    <n v="0"/>
    <s v="APJ"/>
    <s v="Australia"/>
    <n v="0.629"/>
    <m/>
    <m/>
    <m/>
    <m/>
    <s v="Not Assigned-Not Assigned"/>
    <s v=""/>
    <s v=""/>
    <m/>
    <m/>
    <m/>
    <m/>
    <n v="20"/>
    <m/>
    <m/>
  </r>
  <r>
    <x v="478"/>
    <x v="471"/>
    <s v="D'Arcy, Mark"/>
    <x v="8"/>
    <x v="17"/>
    <x v="0"/>
    <n v="0"/>
    <s v="NAMER"/>
    <s v="United States"/>
    <n v="0.64800000000000002"/>
    <n v="1.621972640860141E-2"/>
    <m/>
    <s v="12/7"/>
    <m/>
    <s v="PF01-PS One Field Consultant"/>
    <m/>
    <s v="Douglas Lumb"/>
    <n v="14"/>
    <m/>
    <s v="ESG"/>
    <m/>
    <n v="8"/>
    <m/>
    <m/>
  </r>
  <r>
    <x v="479"/>
    <x v="472"/>
    <s v="D'Arcy, Mark"/>
    <x v="8"/>
    <x v="17"/>
    <x v="0"/>
    <n v="0"/>
    <s v="EMEA"/>
    <s v="SER"/>
    <n v="0.61699999999999999"/>
    <n v="2.0281420527295535E-2"/>
    <m/>
    <s v="8/5"/>
    <s v="L1"/>
    <s v="PG01-POR ProSupp Server (MTP)"/>
    <s v="Vikesh Gupta"/>
    <s v="Douglas Lumb"/>
    <n v="4"/>
    <m/>
    <s v="ESG"/>
    <m/>
    <n v="3"/>
    <m/>
    <n v="4"/>
  </r>
  <r>
    <x v="480"/>
    <x v="473"/>
    <s v="Yap, Diane"/>
    <x v="8"/>
    <x v="17"/>
    <x v="0"/>
    <n v="0"/>
    <s v="APJ"/>
    <s v="South Asia"/>
    <n v="0.629"/>
    <n v="1.2017588546390416E-2"/>
    <m/>
    <s v="9/5"/>
    <s v="L1"/>
    <s v="PH08-Enterprise Pro/Core PH"/>
    <s v="Tiani Liang (Joey) "/>
    <s v="Chen Zhou"/>
    <n v="4"/>
    <m/>
    <s v="ESG"/>
    <m/>
    <n v="5"/>
    <m/>
    <n v="4"/>
  </r>
  <r>
    <x v="481"/>
    <x v="474"/>
    <s v="No Assigned L6"/>
    <x v="0"/>
    <x v="20"/>
    <x v="0"/>
    <m/>
    <m/>
    <m/>
    <m/>
    <m/>
    <m/>
    <m/>
    <m/>
    <s v="PHSS-NA Premium Support"/>
    <s v=""/>
    <s v=""/>
    <m/>
    <m/>
    <s v="ESG"/>
    <m/>
    <n v="0"/>
    <m/>
    <m/>
  </r>
  <r>
    <x v="482"/>
    <x v="475"/>
    <s v="Yap, Diane"/>
    <x v="0"/>
    <x v="20"/>
    <x v="1"/>
    <m/>
    <m/>
    <m/>
    <m/>
    <m/>
    <m/>
    <m/>
    <m/>
    <s v="PM01-Partner Management"/>
    <m/>
    <s v="Chen Zhou"/>
    <m/>
    <m/>
    <m/>
    <m/>
    <n v="1"/>
    <m/>
    <m/>
  </r>
  <r>
    <x v="483"/>
    <x v="476"/>
    <s v="No Assigned L6"/>
    <x v="4"/>
    <x v="36"/>
    <x v="0"/>
    <n v="0"/>
    <s v="NAMER"/>
    <m/>
    <n v="0.64800000000000002"/>
    <n v="1.621972640860141E-2"/>
    <m/>
    <s v="12/7"/>
    <s v="L1"/>
    <s v="PowerProtect-NAMER DPD PowerProtect"/>
    <s v=""/>
    <s v=""/>
    <n v="14"/>
    <m/>
    <s v="HES"/>
    <n v="13"/>
    <n v="0"/>
    <m/>
    <m/>
  </r>
  <r>
    <x v="484"/>
    <x v="477"/>
    <s v="No Assigned L6"/>
    <x v="8"/>
    <x v="30"/>
    <x v="1"/>
    <n v="0"/>
    <s v="Asia"/>
    <s v="Philippines"/>
    <m/>
    <m/>
    <m/>
    <m/>
    <s v="CTE"/>
    <s v="PP21-APJ English CTE"/>
    <s v=""/>
    <s v=""/>
    <m/>
    <m/>
    <m/>
    <m/>
    <n v="0"/>
    <m/>
    <m/>
  </r>
  <r>
    <x v="485"/>
    <x v="478"/>
    <s v="Paris, Claudia"/>
    <x v="12"/>
    <x v="23"/>
    <x v="0"/>
    <n v="0"/>
    <s v="LATAM"/>
    <s v="Brazil"/>
    <n v="0.57099999999999995"/>
    <n v="1.0983368455756886E-2"/>
    <m/>
    <s v="12/6"/>
    <s v="CTE"/>
    <s v="PS03-Brazil ESG CTE"/>
    <m/>
    <s v="Darrick Nelsen"/>
    <n v="10"/>
    <m/>
    <s v="ESG"/>
    <m/>
    <n v="8"/>
    <m/>
    <m/>
  </r>
  <r>
    <x v="486"/>
    <x v="479"/>
    <s v="No Assigned L6"/>
    <x v="9"/>
    <x v="18"/>
    <x v="0"/>
    <n v="0"/>
    <s v="NAMER"/>
    <s v="United States"/>
    <n v="0.64800000000000002"/>
    <n v="1.621972640860141E-2"/>
    <m/>
    <s v="12/5"/>
    <s v="L1"/>
    <s v="PS10-Powerstore US"/>
    <s v=""/>
    <s v=""/>
    <n v="8"/>
    <m/>
    <s v="ESG"/>
    <m/>
    <n v="0"/>
    <m/>
    <m/>
  </r>
  <r>
    <x v="487"/>
    <x v="480"/>
    <s v="Yap, Diane"/>
    <x v="0"/>
    <x v="20"/>
    <x v="1"/>
    <m/>
    <m/>
    <m/>
    <m/>
    <m/>
    <m/>
    <m/>
    <s v="Quality Coach"/>
    <s v="QCE1-EMEA Quality Coach Compute"/>
    <m/>
    <s v="Chen Zhou"/>
    <m/>
    <m/>
    <s v="ESG"/>
    <m/>
    <n v="1"/>
    <m/>
    <m/>
  </r>
  <r>
    <x v="488"/>
    <x v="481"/>
    <s v="Paris, Claudia"/>
    <x v="8"/>
    <x v="17"/>
    <x v="0"/>
    <n v="0"/>
    <s v="LATAM"/>
    <s v="ROLA"/>
    <n v="0.626"/>
    <n v="1.0983368455756886E-2"/>
    <m/>
    <s v="12/5"/>
    <s v="L1"/>
    <s v="RAH1-ROLA Enterprise AH"/>
    <s v="Prachi Gupta"/>
    <s v="Darrick Nelsen"/>
    <n v="8"/>
    <m/>
    <s v="ESG"/>
    <m/>
    <n v="6"/>
    <m/>
    <n v="8"/>
  </r>
  <r>
    <x v="489"/>
    <x v="482"/>
    <s v="No Assigned L6"/>
    <x v="0"/>
    <x v="0"/>
    <x v="0"/>
    <n v="0"/>
    <s v="APJ"/>
    <s v="China"/>
    <n v="0.629"/>
    <n v="1.2017588546390416E-2"/>
    <m/>
    <m/>
    <m/>
    <s v="RE03-APJ Support Resolution Team"/>
    <s v=""/>
    <s v=""/>
    <m/>
    <m/>
    <s v="ESG"/>
    <m/>
    <n v="0"/>
    <m/>
    <m/>
  </r>
  <r>
    <x v="490"/>
    <x v="483"/>
    <s v="No Assigned L6"/>
    <x v="0"/>
    <x v="20"/>
    <x v="0"/>
    <m/>
    <m/>
    <m/>
    <m/>
    <m/>
    <m/>
    <m/>
    <m/>
    <s v="RL02-CPS Chat ROLA"/>
    <s v=""/>
    <s v=""/>
    <m/>
    <m/>
    <s v="ESG"/>
    <m/>
    <n v="0"/>
    <m/>
    <m/>
  </r>
  <r>
    <x v="491"/>
    <x v="484"/>
    <s v="Paris, Claudia"/>
    <x v="9"/>
    <x v="18"/>
    <x v="0"/>
    <n v="0"/>
    <s v="LATAM"/>
    <s v="ROLA"/>
    <n v="0.626"/>
    <n v="1.0983368455756886E-2"/>
    <m/>
    <s v="12/5"/>
    <s v="L1"/>
    <s v="RL05-Storage ROLA"/>
    <s v="Prachi Gupta"/>
    <s v="Darrick Nelsen"/>
    <n v="8"/>
    <m/>
    <s v="ESG"/>
    <m/>
    <n v="7"/>
    <m/>
    <n v="8"/>
  </r>
  <r>
    <x v="492"/>
    <x v="485"/>
    <s v="No Assigned L6"/>
    <x v="0"/>
    <x v="17"/>
    <x v="0"/>
    <n v="0"/>
    <s v="LATAM"/>
    <s v="ROLA"/>
    <n v="0.626"/>
    <n v="1.0983368455756886E-2"/>
    <m/>
    <m/>
    <m/>
    <s v="RL09-Server ProSupport ROLA"/>
    <s v=""/>
    <s v=""/>
    <m/>
    <m/>
    <s v="ESG"/>
    <m/>
    <n v="0"/>
    <m/>
    <m/>
  </r>
  <r>
    <x v="493"/>
    <x v="486"/>
    <s v="No Assigned L6"/>
    <x v="0"/>
    <x v="17"/>
    <x v="1"/>
    <n v="0"/>
    <s v="Americas"/>
    <s v="ROLA"/>
    <m/>
    <m/>
    <m/>
    <m/>
    <m/>
    <s v="RL10-Triage Enterprise Support Panama"/>
    <s v=""/>
    <s v=""/>
    <m/>
    <m/>
    <m/>
    <m/>
    <n v="0"/>
    <m/>
    <m/>
  </r>
  <r>
    <x v="494"/>
    <x v="487"/>
    <s v="No Assigned L6"/>
    <x v="0"/>
    <x v="20"/>
    <x v="0"/>
    <m/>
    <m/>
    <m/>
    <m/>
    <m/>
    <m/>
    <m/>
    <m/>
    <s v="RL11-Proactive Systems Maintenance ROLA"/>
    <s v=""/>
    <s v=""/>
    <m/>
    <m/>
    <s v="ESG"/>
    <m/>
    <n v="0"/>
    <m/>
    <m/>
  </r>
  <r>
    <x v="495"/>
    <x v="488"/>
    <s v="No Assigned L6"/>
    <x v="0"/>
    <x v="0"/>
    <x v="0"/>
    <n v="0"/>
    <s v="LATAM"/>
    <s v="ROLA"/>
    <n v="0.626"/>
    <n v="1.0983368455756886E-2"/>
    <m/>
    <m/>
    <m/>
    <s v="RL12-RM ROLA"/>
    <s v=""/>
    <s v=""/>
    <m/>
    <m/>
    <s v="ESG"/>
    <m/>
    <n v="0"/>
    <m/>
    <m/>
  </r>
  <r>
    <x v="496"/>
    <x v="489"/>
    <s v="No Assigned L6"/>
    <x v="0"/>
    <x v="2"/>
    <x v="0"/>
    <n v="0"/>
    <s v="LATAM"/>
    <s v="ROLA"/>
    <n v="0.626"/>
    <n v="1.0983368455756886E-2"/>
    <m/>
    <m/>
    <m/>
    <s v="RL14-MMCLA Midrange Storage VNX/e"/>
    <s v=""/>
    <s v=""/>
    <m/>
    <m/>
    <s v="HES"/>
    <n v="13"/>
    <n v="0"/>
    <m/>
    <m/>
  </r>
  <r>
    <x v="497"/>
    <x v="490"/>
    <s v="Paris, Claudia"/>
    <x v="6"/>
    <x v="9"/>
    <x v="0"/>
    <n v="0"/>
    <s v="LATAM"/>
    <s v="Panama"/>
    <n v="0.626"/>
    <n v="8.1871345029239762E-2"/>
    <s v="High Attrition"/>
    <n v="0"/>
    <s v="L1"/>
    <s v="RL15-HCS LATAM MMCLA VxRail"/>
    <s v="Komal Chhabra"/>
    <s v="Darrick Nelsen"/>
    <n v="0"/>
    <n v="-0.11497399519695853"/>
    <s v="HES"/>
    <n v="13"/>
    <n v="18"/>
    <m/>
    <m/>
  </r>
  <r>
    <x v="498"/>
    <x v="491"/>
    <s v="Paris, Claudia"/>
    <x v="1"/>
    <x v="1"/>
    <x v="0"/>
    <n v="0"/>
    <s v="LATAM"/>
    <s v="ROLA"/>
    <n v="0.626"/>
    <n v="1.0983368455756886E-2"/>
    <m/>
    <s v="10/6"/>
    <s v="L1"/>
    <s v="RL16-Networking ProSupport ROLA"/>
    <s v="Prachi Gupta"/>
    <s v="Darrick Nelsen"/>
    <n v="8"/>
    <m/>
    <s v="ESG"/>
    <m/>
    <n v="8"/>
    <m/>
    <n v="8"/>
  </r>
  <r>
    <x v="499"/>
    <x v="492"/>
    <s v="No Assigned L6"/>
    <x v="8"/>
    <x v="17"/>
    <x v="0"/>
    <n v="0"/>
    <s v="LATAM"/>
    <s v="ROLA"/>
    <n v="0.626"/>
    <n v="1.0983368455756886E-2"/>
    <m/>
    <s v="15/6"/>
    <s v="L1"/>
    <s v="RL18-MMCLA LC Server Voice (PAN)"/>
    <s v=""/>
    <s v=""/>
    <n v="12"/>
    <m/>
    <s v="ESG"/>
    <m/>
    <n v="0"/>
    <m/>
    <m/>
  </r>
  <r>
    <x v="500"/>
    <x v="493"/>
    <s v="No Assigned L6"/>
    <x v="8"/>
    <x v="17"/>
    <x v="0"/>
    <n v="0"/>
    <s v="LATAM"/>
    <s v="ROLA"/>
    <n v="0.626"/>
    <n v="1.0983368455756886E-2"/>
    <m/>
    <s v="15/6"/>
    <s v="L1"/>
    <s v="RL19-MMCLA HC Server Voice (PAN)"/>
    <s v=""/>
    <s v=""/>
    <n v="12"/>
    <m/>
    <s v="ESG"/>
    <m/>
    <n v="0"/>
    <m/>
    <m/>
  </r>
  <r>
    <x v="501"/>
    <x v="494"/>
    <s v="No Assigned L6"/>
    <x v="0"/>
    <x v="0"/>
    <x v="0"/>
    <n v="0"/>
    <s v="NAMER"/>
    <s v="United States"/>
    <n v="0.64800000000000002"/>
    <n v="1.621972640860141E-2"/>
    <m/>
    <s v="12/7"/>
    <m/>
    <s v="RM02-RM NA Enterprise"/>
    <s v=""/>
    <s v=""/>
    <n v="14"/>
    <m/>
    <s v="ESG"/>
    <m/>
    <n v="0"/>
    <m/>
    <m/>
  </r>
  <r>
    <x v="502"/>
    <x v="495"/>
    <s v="D'Arcy, Mark"/>
    <x v="1"/>
    <x v="1"/>
    <x v="0"/>
    <n v="0"/>
    <s v="EMEA"/>
    <s v="SER"/>
    <n v="0.61699999999999999"/>
    <n v="2.0281420527295535E-2"/>
    <m/>
    <s v="10/5"/>
    <m/>
    <s v="ROEN-ROE Networking (MULTI)"/>
    <s v="Vikesh Gupta"/>
    <s v="Douglas Lumb"/>
    <n v="7"/>
    <m/>
    <s v="ESG"/>
    <m/>
    <n v="6"/>
    <m/>
    <n v="7"/>
  </r>
  <r>
    <x v="503"/>
    <x v="496"/>
    <s v="Brown, Dexter"/>
    <x v="16"/>
    <x v="17"/>
    <x v="1"/>
    <n v="0"/>
    <s v="Global"/>
    <s v="Global"/>
    <n v="0.63300000000000001"/>
    <m/>
    <m/>
    <s v="12/7"/>
    <s v="Manager"/>
    <s v="RP01-RPS Manager"/>
    <m/>
    <s v="Miguel Galicia"/>
    <n v="14"/>
    <m/>
    <m/>
    <m/>
    <n v="20"/>
    <m/>
    <m/>
  </r>
  <r>
    <x v="503"/>
    <x v="496"/>
    <s v="Brown, Dexter"/>
    <x v="16"/>
    <x v="17"/>
    <x v="1"/>
    <n v="0"/>
    <s v="Global"/>
    <s v="Global"/>
    <n v="0.63300000000000001"/>
    <m/>
    <m/>
    <s v="12/7"/>
    <s v="Manager"/>
    <s v="RP01-RPS Manager"/>
    <m/>
    <s v="Miguel Galicia"/>
    <n v="14"/>
    <m/>
    <m/>
    <m/>
    <n v="20"/>
    <m/>
    <m/>
  </r>
  <r>
    <x v="504"/>
    <x v="497"/>
    <s v="Brown, Dexter"/>
    <x v="16"/>
    <x v="17"/>
    <x v="1"/>
    <n v="0"/>
    <s v="Global"/>
    <s v="Global"/>
    <n v="0.63300000000000001"/>
    <m/>
    <m/>
    <s v="12/7"/>
    <s v="WFM"/>
    <s v="RP02-RPS WFM"/>
    <m/>
    <s v="Miguel Galicia"/>
    <n v="14"/>
    <m/>
    <m/>
    <m/>
    <n v="3"/>
    <m/>
    <m/>
  </r>
  <r>
    <x v="505"/>
    <x v="498"/>
    <s v="Brown, Dexter"/>
    <x v="16"/>
    <x v="17"/>
    <x v="1"/>
    <n v="0"/>
    <s v="Global"/>
    <s v="Global"/>
    <n v="0.63300000000000001"/>
    <m/>
    <m/>
    <s v="12/7"/>
    <m/>
    <s v="RP03-RPS Non-Frontline"/>
    <s v=""/>
    <s v=""/>
    <n v="14"/>
    <m/>
    <m/>
    <m/>
    <n v="0"/>
    <m/>
    <m/>
  </r>
  <r>
    <x v="506"/>
    <x v="499"/>
    <s v="Paris, Claudia"/>
    <x v="9"/>
    <x v="18"/>
    <x v="0"/>
    <n v="0"/>
    <s v="LATAM"/>
    <s v="ROLA"/>
    <n v="0.626"/>
    <n v="1.0983368455756886E-2"/>
    <m/>
    <s v="12/5"/>
    <s v="L1"/>
    <s v="RPS1-MMCLA Powerstore"/>
    <s v="Prachi Gupta"/>
    <s v="Darrick Nelsen"/>
    <n v="8"/>
    <m/>
    <s v="ESG"/>
    <m/>
    <n v="6"/>
    <m/>
    <n v="8"/>
  </r>
  <r>
    <x v="507"/>
    <x v="500"/>
    <s v="No Assigned L6"/>
    <x v="0"/>
    <x v="0"/>
    <x v="0"/>
    <n v="0"/>
    <s v="LATAM"/>
    <s v="ROLA"/>
    <n v="0.626"/>
    <n v="1.0983368455756886E-2"/>
    <m/>
    <m/>
    <m/>
    <s v="RR02-ROLA Senior and Master Engineer"/>
    <s v=""/>
    <s v=""/>
    <m/>
    <m/>
    <s v="ESG"/>
    <m/>
    <n v="0"/>
    <m/>
    <m/>
  </r>
  <r>
    <x v="508"/>
    <x v="501"/>
    <s v="No Assigned L6"/>
    <x v="2"/>
    <x v="4"/>
    <x v="0"/>
    <n v="0"/>
    <s v="LATAM"/>
    <s v="Brazil"/>
    <n v="0.57099999999999995"/>
    <n v="1.0983368455756886E-2"/>
    <m/>
    <s v="12/7"/>
    <m/>
    <s v="RR03-Support Ops ROLA"/>
    <s v=""/>
    <s v=""/>
    <n v="14"/>
    <m/>
    <s v="ESG"/>
    <m/>
    <n v="0"/>
    <m/>
    <m/>
  </r>
  <r>
    <x v="509"/>
    <x v="502"/>
    <s v="Paris, Claudia"/>
    <x v="8"/>
    <x v="17"/>
    <x v="0"/>
    <n v="0"/>
    <s v="LATAM"/>
    <s v="ROLA"/>
    <n v="0.626"/>
    <n v="1.0983368455756886E-2"/>
    <m/>
    <s v="12/5"/>
    <s v="L1"/>
    <s v="RTC1-ROLA Enterprise Top Customers"/>
    <s v="Prachi Gupta"/>
    <s v="Darrick Nelsen"/>
    <n v="8"/>
    <m/>
    <s v="ESG"/>
    <m/>
    <n v="4"/>
    <m/>
    <n v="8"/>
  </r>
  <r>
    <x v="510"/>
    <x v="503"/>
    <s v="Yap, Diane"/>
    <x v="8"/>
    <x v="17"/>
    <x v="0"/>
    <n v="0"/>
    <s v="APJ"/>
    <s v="South Asia"/>
    <n v="0.629"/>
    <n v="5.9771309771309768E-2"/>
    <s v="High Attrition"/>
    <s v="12/5"/>
    <s v="L1"/>
    <s v="SA10-Enterprise SA"/>
    <s v="Tiani Liang (Joey) "/>
    <s v="Chen Zhou"/>
    <n v="8"/>
    <m/>
    <s v="ESG"/>
    <m/>
    <n v="26"/>
    <m/>
    <n v="8"/>
  </r>
  <r>
    <x v="511"/>
    <x v="504"/>
    <s v="No Assigned L6"/>
    <x v="0"/>
    <x v="17"/>
    <x v="0"/>
    <n v="0"/>
    <s v="APJ"/>
    <s v="Malaysia"/>
    <n v="0.629"/>
    <n v="1.2017588546390416E-2"/>
    <m/>
    <m/>
    <m/>
    <s v="SE02-Enterprise SA Email"/>
    <s v=""/>
    <s v=""/>
    <m/>
    <m/>
    <s v="ESG"/>
    <m/>
    <n v="0"/>
    <m/>
    <m/>
  </r>
  <r>
    <x v="512"/>
    <x v="505"/>
    <s v="D'Arcy, Mark"/>
    <x v="10"/>
    <x v="0"/>
    <x v="1"/>
    <n v="0"/>
    <s v="APJ"/>
    <s v="India"/>
    <n v="0.629"/>
    <m/>
    <m/>
    <s v="12/7"/>
    <s v="L1"/>
    <s v="SM02-Social Media English (APJ)"/>
    <m/>
    <s v="Douglas Lumb"/>
    <n v="14"/>
    <m/>
    <s v="ESG"/>
    <m/>
    <n v="3"/>
    <m/>
    <m/>
  </r>
  <r>
    <x v="513"/>
    <x v="506"/>
    <s v="No Assigned L6"/>
    <x v="0"/>
    <x v="0"/>
    <x v="1"/>
    <n v="0"/>
    <s v="Americas"/>
    <s v="United States"/>
    <m/>
    <m/>
    <m/>
    <m/>
    <m/>
    <s v="SMP1-SMPE English Storage SC"/>
    <s v=""/>
    <s v=""/>
    <m/>
    <m/>
    <m/>
    <m/>
    <n v="0"/>
    <m/>
    <m/>
  </r>
  <r>
    <x v="514"/>
    <x v="507"/>
    <s v="No Assigned L6"/>
    <x v="0"/>
    <x v="0"/>
    <x v="1"/>
    <n v="0"/>
    <s v="Americas"/>
    <s v="United States"/>
    <m/>
    <m/>
    <m/>
    <m/>
    <m/>
    <s v="SMP2-SMPE English Storage MD"/>
    <s v=""/>
    <s v=""/>
    <m/>
    <m/>
    <m/>
    <m/>
    <n v="0"/>
    <m/>
    <m/>
  </r>
  <r>
    <x v="515"/>
    <x v="508"/>
    <s v="No Assigned L6"/>
    <x v="0"/>
    <x v="1"/>
    <x v="1"/>
    <n v="0"/>
    <s v="Americas"/>
    <s v="United States"/>
    <m/>
    <m/>
    <m/>
    <m/>
    <m/>
    <s v="SMP3-SMPE English Networking"/>
    <s v=""/>
    <s v=""/>
    <m/>
    <m/>
    <m/>
    <m/>
    <n v="0"/>
    <m/>
    <m/>
  </r>
  <r>
    <x v="516"/>
    <x v="509"/>
    <s v="No Assigned L6"/>
    <x v="0"/>
    <x v="17"/>
    <x v="1"/>
    <n v="0"/>
    <s v="Americas"/>
    <s v="United States"/>
    <m/>
    <m/>
    <m/>
    <m/>
    <m/>
    <s v="SMP4-SMPE English Server"/>
    <s v=""/>
    <s v=""/>
    <m/>
    <m/>
    <m/>
    <m/>
    <n v="0"/>
    <m/>
    <m/>
  </r>
  <r>
    <x v="517"/>
    <x v="510"/>
    <s v="No Assigned L6"/>
    <x v="0"/>
    <x v="0"/>
    <x v="1"/>
    <n v="0"/>
    <s v="Americas"/>
    <s v="United States"/>
    <m/>
    <m/>
    <m/>
    <m/>
    <m/>
    <s v="SMP5-SMPE English Storage PS"/>
    <s v=""/>
    <s v=""/>
    <m/>
    <m/>
    <m/>
    <m/>
    <n v="0"/>
    <m/>
    <m/>
  </r>
  <r>
    <x v="518"/>
    <x v="511"/>
    <s v="No Assigned L6"/>
    <x v="0"/>
    <x v="0"/>
    <x v="1"/>
    <n v="0"/>
    <s v="Americas"/>
    <s v="United States"/>
    <m/>
    <m/>
    <m/>
    <m/>
    <m/>
    <s v="SMP6-SMPE English LVTS"/>
    <s v=""/>
    <s v=""/>
    <m/>
    <m/>
    <m/>
    <m/>
    <n v="0"/>
    <m/>
    <m/>
  </r>
  <r>
    <x v="519"/>
    <x v="512"/>
    <s v="No Assigned L6"/>
    <x v="0"/>
    <x v="0"/>
    <x v="1"/>
    <n v="0"/>
    <s v="Americas"/>
    <s v="United States"/>
    <m/>
    <m/>
    <m/>
    <m/>
    <m/>
    <s v="SMP7-SMPE English Nutanix"/>
    <s v=""/>
    <s v=""/>
    <m/>
    <m/>
    <m/>
    <m/>
    <n v="0"/>
    <m/>
    <m/>
  </r>
  <r>
    <x v="520"/>
    <x v="513"/>
    <s v="No Assigned L6"/>
    <x v="0"/>
    <x v="0"/>
    <x v="1"/>
    <n v="0"/>
    <s v="Americas"/>
    <s v="United States"/>
    <m/>
    <m/>
    <m/>
    <m/>
    <m/>
    <s v="SMP8-SMPE English Microsoft"/>
    <s v=""/>
    <s v=""/>
    <m/>
    <m/>
    <m/>
    <m/>
    <n v="0"/>
    <m/>
    <m/>
  </r>
  <r>
    <x v="521"/>
    <x v="514"/>
    <s v="D'Arcy, Mark"/>
    <x v="8"/>
    <x v="17"/>
    <x v="0"/>
    <n v="0"/>
    <s v="EMEA"/>
    <s v="SER"/>
    <n v="0.61699999999999999"/>
    <n v="2.0281420527295535E-2"/>
    <m/>
    <s v="9/5"/>
    <s v="L1"/>
    <s v="SP04-SPA Basic Enterprise (CAS)"/>
    <s v="Vikesh Gupta"/>
    <s v="Douglas Lumb"/>
    <n v="4"/>
    <m/>
    <s v="ESG"/>
    <m/>
    <n v="3"/>
    <m/>
    <n v="4"/>
  </r>
  <r>
    <x v="522"/>
    <x v="515"/>
    <s v="D'Arcy, Mark"/>
    <x v="8"/>
    <x v="17"/>
    <x v="0"/>
    <n v="0"/>
    <s v="EMEA"/>
    <s v="SER"/>
    <n v="0.61699999999999999"/>
    <n v="2.0281420527295535E-2"/>
    <m/>
    <s v="9/5"/>
    <s v="L1"/>
    <s v="SP09-SPA ProSupp Server (MTP)"/>
    <s v="Vikesh Gupta"/>
    <s v="Douglas Lumb"/>
    <n v="4"/>
    <m/>
    <s v="ESG"/>
    <m/>
    <n v="7.8"/>
    <m/>
    <n v="4"/>
  </r>
  <r>
    <x v="523"/>
    <x v="516"/>
    <s v="No Assigned L6"/>
    <x v="10"/>
    <x v="0"/>
    <x v="1"/>
    <n v="0"/>
    <s v="EMEA"/>
    <s v="France"/>
    <n v="0.61699999999999999"/>
    <m/>
    <m/>
    <s v="12/7"/>
    <s v="L1"/>
    <s v="SP10-SPA Social Media (MTP)"/>
    <s v=""/>
    <s v=""/>
    <n v="14"/>
    <m/>
    <m/>
    <m/>
    <n v="0"/>
    <m/>
    <m/>
  </r>
  <r>
    <x v="524"/>
    <x v="517"/>
    <s v="Paris, Claudia"/>
    <x v="12"/>
    <x v="23"/>
    <x v="0"/>
    <n v="0"/>
    <s v="LATAM"/>
    <s v="ROLA"/>
    <n v="0.626"/>
    <n v="1.0983368455756886E-2"/>
    <m/>
    <s v="12/6"/>
    <s v="CTE"/>
    <s v="SS03-MMCLA ESG CTE"/>
    <m/>
    <s v="Darrick Nelsen"/>
    <n v="10"/>
    <m/>
    <s v="ESG"/>
    <m/>
    <n v="4"/>
    <m/>
    <m/>
  </r>
  <r>
    <x v="525"/>
    <x v="518"/>
    <s v="No Assigned L6"/>
    <x v="0"/>
    <x v="20"/>
    <x v="0"/>
    <m/>
    <m/>
    <m/>
    <m/>
    <m/>
    <m/>
    <m/>
    <m/>
    <s v="SW02-SWE Client ProSupp (TUR)"/>
    <s v=""/>
    <s v=""/>
    <m/>
    <m/>
    <s v="ESG"/>
    <m/>
    <n v="0"/>
    <m/>
    <m/>
  </r>
  <r>
    <x v="526"/>
    <x v="519"/>
    <s v="Yap, Diane"/>
    <x v="0"/>
    <x v="0"/>
    <x v="0"/>
    <n v="0"/>
    <s v="APJ"/>
    <s v="Indonesia"/>
    <n v="0.629"/>
    <n v="1.2017588546390416E-2"/>
    <m/>
    <s v="12/7"/>
    <m/>
    <s v="SY01-Skytech Enterprise SA"/>
    <m/>
    <s v="Chen Zhou"/>
    <n v="14"/>
    <m/>
    <s v="ESG"/>
    <m/>
    <n v="2"/>
    <m/>
    <m/>
  </r>
  <r>
    <x v="527"/>
    <x v="520"/>
    <s v="No Assigned L6"/>
    <x v="0"/>
    <x v="19"/>
    <x v="1"/>
    <n v="0"/>
    <s v="APJ"/>
    <s v="Thailand"/>
    <m/>
    <m/>
    <m/>
    <m/>
    <m/>
    <s v="TH04-Client Prosupport TH (CTX)"/>
    <s v=""/>
    <s v=""/>
    <m/>
    <m/>
    <m/>
    <m/>
    <n v="0"/>
    <m/>
    <m/>
  </r>
  <r>
    <x v="528"/>
    <x v="521"/>
    <s v="Yap, Diane"/>
    <x v="8"/>
    <x v="17"/>
    <x v="0"/>
    <n v="0"/>
    <s v="APJ"/>
    <s v="South Asia"/>
    <n v="0.629"/>
    <n v="1.2017588546390416E-2"/>
    <m/>
    <s v="12/5"/>
    <s v="L1"/>
    <s v="TH07-Enterprise Pro/Core TH"/>
    <s v="Tiani Liang (Joey) "/>
    <s v="Chen Zhou"/>
    <n v="8"/>
    <m/>
    <s v="ESG"/>
    <m/>
    <n v="19"/>
    <m/>
    <n v="8"/>
  </r>
  <r>
    <x v="529"/>
    <x v="522"/>
    <s v="No Assigned L6"/>
    <x v="0"/>
    <x v="51"/>
    <x v="1"/>
    <n v="0"/>
    <s v="APJ"/>
    <s v="China"/>
    <m/>
    <m/>
    <m/>
    <m/>
    <m/>
    <s v="THBW-CCC Workstation BW"/>
    <s v=""/>
    <s v=""/>
    <m/>
    <m/>
    <m/>
    <m/>
    <n v="0"/>
    <m/>
    <m/>
  </r>
  <r>
    <x v="530"/>
    <x v="523"/>
    <s v="Yap, Diane"/>
    <x v="8"/>
    <x v="17"/>
    <x v="0"/>
    <n v="0"/>
    <s v="APJ"/>
    <s v="India"/>
    <n v="0.629"/>
    <n v="1.2017588546390416E-2"/>
    <m/>
    <s v="24/5"/>
    <s v="CST"/>
    <s v="UK03-BLR Ent Basic (Alternate)"/>
    <s v="Vikesh Gupta"/>
    <s v="Chen Zhou"/>
    <n v="16"/>
    <m/>
    <s v="ESG"/>
    <m/>
    <n v="11"/>
    <m/>
    <n v="16"/>
  </r>
  <r>
    <x v="531"/>
    <x v="524"/>
    <s v="No Assigned L6"/>
    <x v="0"/>
    <x v="20"/>
    <x v="0"/>
    <m/>
    <m/>
    <m/>
    <m/>
    <m/>
    <m/>
    <m/>
    <m/>
    <s v="UK05-UKISA Basic Enterprise (Concentrix)"/>
    <s v=""/>
    <s v=""/>
    <m/>
    <m/>
    <s v="ESG"/>
    <m/>
    <n v="0"/>
    <m/>
    <m/>
  </r>
  <r>
    <x v="532"/>
    <x v="525"/>
    <s v="Kenneally, Niall"/>
    <x v="9"/>
    <x v="18"/>
    <x v="0"/>
    <m/>
    <s v="EMEA"/>
    <s v="UKI"/>
    <n v="0.61699999999999999"/>
    <n v="2.0281420527295535E-2"/>
    <m/>
    <m/>
    <s v="L1"/>
    <s v="UK06-EMEA ProSupport Compellent"/>
    <m/>
    <s v="Miguel Galicia"/>
    <m/>
    <m/>
    <s v="ESG"/>
    <m/>
    <n v="23"/>
    <m/>
    <n v="0"/>
  </r>
  <r>
    <x v="533"/>
    <x v="526"/>
    <s v="Kenneally, Niall"/>
    <x v="9"/>
    <x v="18"/>
    <x v="0"/>
    <m/>
    <s v="EMEA"/>
    <s v="UKI"/>
    <n v="0.61699999999999999"/>
    <n v="2.0281420527295535E-2"/>
    <m/>
    <m/>
    <s v="L1"/>
    <s v="UK07-EMEA ProSupport Powervault"/>
    <m/>
    <s v="Miguel Galicia"/>
    <m/>
    <m/>
    <s v="ESG"/>
    <m/>
    <n v="30"/>
    <m/>
    <n v="0"/>
  </r>
  <r>
    <x v="534"/>
    <x v="527"/>
    <s v="No Assigned L6"/>
    <x v="0"/>
    <x v="20"/>
    <x v="1"/>
    <m/>
    <m/>
    <m/>
    <m/>
    <m/>
    <m/>
    <m/>
    <m/>
    <s v="UNOP-NA OOP Resolver"/>
    <s v=""/>
    <s v=""/>
    <m/>
    <m/>
    <m/>
    <m/>
    <n v="0"/>
    <m/>
    <m/>
  </r>
  <r>
    <x v="535"/>
    <x v="528"/>
    <s v="D'Arcy, Mark"/>
    <x v="8"/>
    <x v="17"/>
    <x v="0"/>
    <n v="0"/>
    <s v="EMEA"/>
    <s v="UKI"/>
    <n v="0.61699999999999999"/>
    <n v="2.0281420527295535E-2"/>
    <m/>
    <s v="11/5"/>
    <s v="L1"/>
    <s v="UPP1-ENG ProSupport Plus Server"/>
    <s v="Vikesh Gupta"/>
    <s v="Douglas Lumb"/>
    <n v="8"/>
    <m/>
    <s v="ESG"/>
    <m/>
    <n v="13.8"/>
    <m/>
    <n v="8"/>
  </r>
  <r>
    <x v="536"/>
    <x v="529"/>
    <s v="No Assigned L6"/>
    <x v="0"/>
    <x v="19"/>
    <x v="1"/>
    <n v="0"/>
    <s v="APJ"/>
    <s v="Vietnam"/>
    <m/>
    <m/>
    <m/>
    <m/>
    <m/>
    <s v="VN02-Client Prosupport VN (CTX)"/>
    <s v=""/>
    <s v=""/>
    <m/>
    <m/>
    <m/>
    <m/>
    <n v="0"/>
    <m/>
    <m/>
  </r>
  <r>
    <x v="537"/>
    <x v="530"/>
    <s v="Yap, Diane"/>
    <x v="8"/>
    <x v="17"/>
    <x v="0"/>
    <n v="0"/>
    <s v="APJ"/>
    <s v="South Asia"/>
    <n v="0.629"/>
    <n v="7.5046904315197005E-2"/>
    <s v="High Attrition"/>
    <s v="12/5"/>
    <s v="L1"/>
    <s v="VN03-Enterprise Pro/Core VN"/>
    <s v="Tiani Liang (Joey) "/>
    <s v="Chen Zhou"/>
    <n v="8"/>
    <m/>
    <s v="ESG"/>
    <m/>
    <n v="13"/>
    <m/>
    <n v="8"/>
  </r>
  <r>
    <x v="538"/>
    <x v="531"/>
    <s v="No Assigned L6"/>
    <x v="0"/>
    <x v="20"/>
    <x v="0"/>
    <m/>
    <m/>
    <m/>
    <m/>
    <m/>
    <m/>
    <m/>
    <m/>
    <s v="VN04-Client Pro/Core VN"/>
    <s v=""/>
    <s v=""/>
    <m/>
    <m/>
    <s v="ESG"/>
    <m/>
    <n v="0"/>
    <m/>
    <m/>
  </r>
  <r>
    <x v="539"/>
    <x v="532"/>
    <s v="No Assigned L6"/>
    <x v="7"/>
    <x v="2"/>
    <x v="0"/>
    <n v="0"/>
    <s v="NAMER"/>
    <e v="#N/A"/>
    <n v="0.64800000000000002"/>
    <n v="1.621972640860141E-2"/>
    <m/>
    <s v="12/7"/>
    <m/>
    <s v="VX01-NA Midrange Storage VNX/e"/>
    <s v=""/>
    <s v=""/>
    <n v="14"/>
    <m/>
    <s v="HES"/>
    <n v="13"/>
    <n v="0"/>
    <m/>
    <m/>
  </r>
  <r>
    <x v="540"/>
    <x v="533"/>
    <s v="No Assigned L6"/>
    <x v="6"/>
    <x v="9"/>
    <x v="0"/>
    <n v="0"/>
    <s v="NAMER"/>
    <e v="#N/A"/>
    <n v="0.64800000000000002"/>
    <n v="1.621972640860141E-2"/>
    <m/>
    <s v="12/7"/>
    <m/>
    <s v="VX02-NA VX Rail Storage"/>
    <s v=""/>
    <s v=""/>
    <n v="14"/>
    <m/>
    <s v="HES"/>
    <n v="13"/>
    <n v="0"/>
    <m/>
    <m/>
  </r>
  <r>
    <x v="541"/>
    <x v="534"/>
    <s v="No Assigned L6"/>
    <x v="6"/>
    <x v="9"/>
    <x v="0"/>
    <n v="0"/>
    <s v="NAMER"/>
    <e v="#N/A"/>
    <n v="0.64800000000000002"/>
    <n v="1.621972640860141E-2"/>
    <m/>
    <s v="12/7"/>
    <m/>
    <s v="VX03-VXRail"/>
    <s v=""/>
    <s v=""/>
    <n v="14"/>
    <m/>
    <s v="HES"/>
    <n v="13"/>
    <n v="0"/>
    <m/>
    <m/>
  </r>
  <r>
    <x v="542"/>
    <x v="535"/>
    <s v="No Assigned L6"/>
    <x v="7"/>
    <x v="2"/>
    <x v="0"/>
    <n v="0"/>
    <s v="NAMER"/>
    <e v="#N/A"/>
    <m/>
    <n v="1.621972640860141E-2"/>
    <m/>
    <e v="#N/A"/>
    <m/>
    <s v="VX04-Midrange Storage VNX/e"/>
    <s v=""/>
    <s v=""/>
    <m/>
    <m/>
    <s v="HES"/>
    <n v="13"/>
    <n v="0"/>
    <m/>
    <m/>
  </r>
  <r>
    <x v="543"/>
    <x v="536"/>
    <s v="No Assigned L6"/>
    <x v="0"/>
    <x v="22"/>
    <x v="1"/>
    <n v="0"/>
    <s v="Global"/>
    <s v="Multiple Countries"/>
    <m/>
    <m/>
    <m/>
    <m/>
    <m/>
    <s v="WM01-Workflow Management"/>
    <s v=""/>
    <s v=""/>
    <m/>
    <m/>
    <m/>
    <m/>
    <n v="0"/>
    <m/>
    <m/>
  </r>
  <r>
    <x v="544"/>
    <x v="537"/>
    <s v="Brown, Dexter"/>
    <x v="20"/>
    <x v="22"/>
    <x v="1"/>
    <n v="0"/>
    <s v="NAMER"/>
    <s v="United States"/>
    <n v="0.64800000000000002"/>
    <m/>
    <m/>
    <s v="12/7"/>
    <s v="WFM"/>
    <s v="WM02-NAMER WFM"/>
    <m/>
    <s v="Miguel Galicia"/>
    <n v="14"/>
    <m/>
    <m/>
    <m/>
    <n v="28"/>
    <m/>
    <m/>
  </r>
  <r>
    <x v="545"/>
    <x v="538"/>
    <s v="Brown, Dexter"/>
    <x v="20"/>
    <x v="22"/>
    <x v="1"/>
    <n v="0"/>
    <s v="APJ"/>
    <s v="India"/>
    <n v="0.629"/>
    <m/>
    <m/>
    <s v="12/7"/>
    <s v="WFM"/>
    <s v="WM03-EMEA WFM"/>
    <m/>
    <s v="Miguel Galicia"/>
    <n v="14"/>
    <m/>
    <m/>
    <m/>
    <n v="23"/>
    <m/>
    <m/>
  </r>
  <r>
    <x v="546"/>
    <x v="539"/>
    <s v="No Assigned L6"/>
    <x v="20"/>
    <x v="22"/>
    <x v="1"/>
    <n v="0"/>
    <s v="LATAM"/>
    <s v="Brazil"/>
    <n v="0.57099999999999995"/>
    <m/>
    <m/>
    <s v="12/7"/>
    <s v="WFM"/>
    <s v="WM04-LATAM WFM"/>
    <s v=""/>
    <s v=""/>
    <n v="14"/>
    <m/>
    <m/>
    <m/>
    <n v="0"/>
    <m/>
    <m/>
  </r>
  <r>
    <x v="547"/>
    <x v="540"/>
    <s v="Brown, Dexter"/>
    <x v="20"/>
    <x v="22"/>
    <x v="1"/>
    <n v="0"/>
    <s v="APJ"/>
    <s v="Australia"/>
    <n v="0.629"/>
    <m/>
    <m/>
    <s v="12/7"/>
    <s v="WFM"/>
    <s v="WM05-APJ HES CST WFM"/>
    <m/>
    <s v="Miguel Galicia"/>
    <n v="14"/>
    <m/>
    <m/>
    <m/>
    <n v="18"/>
    <m/>
    <m/>
  </r>
  <r>
    <x v="548"/>
    <x v="541"/>
    <s v="No Assigned L6"/>
    <x v="0"/>
    <x v="48"/>
    <x v="0"/>
    <n v="0"/>
    <s v="APJ"/>
    <s v="India"/>
    <n v="0.629"/>
    <n v="1.2017588546390416E-2"/>
    <m/>
    <e v="#N/A"/>
    <m/>
    <s v="WP01-GLOBAL HES Wipro"/>
    <s v=""/>
    <s v=""/>
    <m/>
    <m/>
    <s v="HES"/>
    <n v="13"/>
    <n v="0"/>
    <m/>
    <m/>
  </r>
  <r>
    <x v="549"/>
    <x v="542"/>
    <s v="D'Arcy, Mark"/>
    <x v="8"/>
    <x v="17"/>
    <x v="0"/>
    <n v="0"/>
    <s v="Global"/>
    <m/>
    <n v="0.63300000000000001"/>
    <m/>
    <m/>
    <m/>
    <s v="L1"/>
    <m/>
    <s v="Prachi Gupta"/>
    <s v="Bethany Rana"/>
    <m/>
    <m/>
    <s v="ESG"/>
    <m/>
    <m/>
    <m/>
    <m/>
  </r>
  <r>
    <x v="550"/>
    <x v="543"/>
    <s v="D'Arcy, Mark"/>
    <x v="8"/>
    <x v="17"/>
    <x v="0"/>
    <n v="0"/>
    <s v="EMEA"/>
    <m/>
    <n v="0.61699999999999999"/>
    <m/>
    <m/>
    <m/>
    <s v="L1"/>
    <m/>
    <s v="Prachi Gupta"/>
    <s v="Bethany Rana"/>
    <m/>
    <m/>
    <s v="ESG"/>
    <m/>
    <m/>
    <m/>
    <m/>
  </r>
  <r>
    <x v="551"/>
    <x v="544"/>
    <s v="D'Arcy, Mark"/>
    <x v="8"/>
    <x v="17"/>
    <x v="0"/>
    <n v="0"/>
    <s v="EMEA"/>
    <m/>
    <n v="0.61699999999999999"/>
    <m/>
    <m/>
    <m/>
    <s v="L1"/>
    <m/>
    <s v="Prachi Gupta"/>
    <s v="Bethany Rana"/>
    <m/>
    <m/>
    <s v="ESG"/>
    <m/>
    <m/>
    <m/>
    <m/>
  </r>
  <r>
    <x v="552"/>
    <x v="545"/>
    <s v="D'Arcy, Mark"/>
    <x v="8"/>
    <x v="17"/>
    <x v="0"/>
    <n v="0"/>
    <s v="EMEA"/>
    <m/>
    <n v="0.61699999999999999"/>
    <m/>
    <m/>
    <m/>
    <s v="L1"/>
    <m/>
    <s v="Prachi Gupta"/>
    <s v="Bethany Rana"/>
    <m/>
    <m/>
    <s v="ESG"/>
    <m/>
    <m/>
    <m/>
    <m/>
  </r>
  <r>
    <x v="553"/>
    <x v="546"/>
    <s v="D'Arcy, Mark"/>
    <x v="8"/>
    <x v="17"/>
    <x v="0"/>
    <n v="0"/>
    <s v="Global"/>
    <m/>
    <n v="0.63300000000000001"/>
    <m/>
    <m/>
    <m/>
    <s v="L1"/>
    <m/>
    <s v="Vikesh Gupta"/>
    <s v="Bethany Rana"/>
    <m/>
    <m/>
    <s v="ESG"/>
    <m/>
    <m/>
    <m/>
    <m/>
  </r>
  <r>
    <x v="554"/>
    <x v="547"/>
    <s v="Brown, Dexter"/>
    <x v="21"/>
    <x v="52"/>
    <x v="1"/>
    <n v="0"/>
    <s v="Global"/>
    <m/>
    <n v="0.63300000000000001"/>
    <m/>
    <m/>
    <m/>
    <s v="L1"/>
    <m/>
    <s v="Komal Chhabra"/>
    <s v="Miguel Galicia"/>
    <m/>
    <m/>
    <s v="HES"/>
    <m/>
    <m/>
    <m/>
    <m/>
  </r>
  <r>
    <x v="555"/>
    <x v="548"/>
    <s v="D'Arcy, Mark"/>
    <x v="8"/>
    <x v="17"/>
    <x v="0"/>
    <n v="0"/>
    <s v="Global"/>
    <m/>
    <n v="0.63300000000000001"/>
    <m/>
    <m/>
    <m/>
    <s v="L1"/>
    <m/>
    <s v="Komal Chhabra"/>
    <s v="Bethany Rana"/>
    <m/>
    <m/>
    <s v="HES"/>
    <m/>
    <m/>
    <m/>
    <m/>
  </r>
  <r>
    <x v="556"/>
    <x v="549"/>
    <s v="D'Arcy, Mark"/>
    <x v="8"/>
    <x v="17"/>
    <x v="0"/>
    <n v="0"/>
    <s v="Global"/>
    <m/>
    <n v="0.63300000000000001"/>
    <m/>
    <m/>
    <m/>
    <s v="L2"/>
    <m/>
    <s v="Komal Chhabra"/>
    <s v="Bethany Rana"/>
    <m/>
    <m/>
    <s v="HES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1">
  <r>
    <x v="0"/>
    <x v="0"/>
    <s v="D'Arcy, Mark"/>
    <s v="GNCS"/>
    <s v="Powerflex"/>
    <s v="Y"/>
    <s v="Combined"/>
    <s v="NAMER"/>
    <m/>
    <n v="0.64800000000000002"/>
    <n v="2.0441445869264104E-2"/>
    <m/>
    <s v="12/7"/>
    <s v="L1"/>
    <x v="0"/>
    <s v="Douglas Lumb"/>
    <s v="Bethany Rana"/>
    <n v="14"/>
    <m/>
    <s v="Custom Model"/>
    <n v="13"/>
    <x v="0"/>
    <n v="0"/>
    <m/>
    <s v="08:30-18:00 CST"/>
    <s v="Sat-Fri"/>
    <m/>
    <s v="English"/>
    <e v="#N/A"/>
  </r>
  <r>
    <x v="1"/>
    <x v="1"/>
    <s v="D'Arcy, Mark"/>
    <s v="GNCS"/>
    <s v="Powerflex"/>
    <s v="Y"/>
    <s v="Combined"/>
    <s v="APJ"/>
    <m/>
    <n v="0.629"/>
    <n v="2.278539874447803E-2"/>
    <m/>
    <s v="12/7"/>
    <s v="L1"/>
    <x v="1"/>
    <s v="Douglas Lumb"/>
    <s v="Bethany Rana"/>
    <n v="14"/>
    <m/>
    <s v="Custom Model"/>
    <n v="13"/>
    <x v="0"/>
    <n v="0"/>
    <m/>
    <s v="06:00-21:00 IST"/>
    <s v="Sat-Fri"/>
    <m/>
    <s v="English"/>
    <e v="#N/A"/>
  </r>
  <r>
    <x v="2"/>
    <x v="2"/>
    <s v="D'Arcy, Mark"/>
    <s v="GNCS"/>
    <s v="Powerflex"/>
    <s v="Y"/>
    <s v="Combined"/>
    <s v="EMEA"/>
    <m/>
    <n v="0.61699999999999999"/>
    <n v="3.8967379973253502E-2"/>
    <m/>
    <s v="12/7"/>
    <s v="L1"/>
    <x v="2"/>
    <s v="Douglas Lumb"/>
    <s v="Bethany Rana"/>
    <n v="14"/>
    <m/>
    <s v="Custom Model"/>
    <n v="13"/>
    <x v="0"/>
    <n v="0"/>
    <m/>
    <s v="01:00-09:00 CST"/>
    <s v="Sat- Fri"/>
    <m/>
    <s v="English"/>
    <e v="#N/A"/>
  </r>
  <r>
    <x v="3"/>
    <x v="3"/>
    <s v="D'Arcy, Mark"/>
    <s v="GNCS"/>
    <s v="Powerflex"/>
    <s v="Y"/>
    <s v="Combined"/>
    <s v="Global"/>
    <m/>
    <n v="0.63300000000000001"/>
    <n v="1.8670169726832081E-2"/>
    <m/>
    <s v="24/7"/>
    <s v="Non-L1"/>
    <x v="3"/>
    <s v="Douglas Lumb"/>
    <s v="Bethany Rana"/>
    <n v="24"/>
    <m/>
    <s v="Custom Model"/>
    <n v="13"/>
    <x v="0"/>
    <n v="0"/>
    <m/>
    <s v="24*7"/>
    <s v="Sat- Fri"/>
    <m/>
    <s v="English"/>
    <e v="#N/A"/>
  </r>
  <r>
    <x v="4"/>
    <x v="4"/>
    <s v="Kenneally, Niall"/>
    <s v="Midrange"/>
    <s v="Midrange"/>
    <s v="Y"/>
    <s v="Front Line"/>
    <s v="LATAM"/>
    <s v="Brazil"/>
    <n v="0.626"/>
    <n v="1.5604681404421327E-2"/>
    <m/>
    <n v="0"/>
    <s v="L1"/>
    <x v="4"/>
    <s v="Vikesh Gupta - Dellteam"/>
    <s v="Lucas Serafim"/>
    <m/>
    <m/>
    <s v="Custom Model"/>
    <n v="13"/>
    <x v="0"/>
    <n v="0"/>
    <m/>
    <e v="#N/A"/>
    <e v="#N/A"/>
    <m/>
    <s v="Portuguese"/>
    <e v="#N/A"/>
  </r>
  <r>
    <x v="5"/>
    <x v="5"/>
    <s v="Kenneally, Niall"/>
    <s v="Midrange"/>
    <s v="Midrange"/>
    <s v="Y"/>
    <s v="Front Line"/>
    <s v="LATAM"/>
    <s v="MMCLA"/>
    <n v="0.626"/>
    <n v="1.5604681404421327E-2"/>
    <m/>
    <n v="0"/>
    <s v="L1"/>
    <x v="5"/>
    <s v="Vikesh Gupta - Dellteam"/>
    <s v="Lucas Serafim"/>
    <m/>
    <m/>
    <s v="Custom Model"/>
    <n v="13"/>
    <x v="0"/>
    <n v="0"/>
    <m/>
    <e v="#N/A"/>
    <e v="#N/A"/>
    <m/>
    <s v="Spanish"/>
    <e v="#N/A"/>
  </r>
  <r>
    <x v="6"/>
    <x v="6"/>
    <s v="Brown, Dexter"/>
    <s v="GIST"/>
    <s v="GIST"/>
    <s v="N"/>
    <s v="Backline"/>
    <s v="EMEA"/>
    <s v="Egypt"/>
    <n v="0.63300000000000001"/>
    <m/>
    <m/>
    <s v="12/7"/>
    <s v="L1"/>
    <x v="6"/>
    <s v="Zhuo Chen"/>
    <s v="StephenRaj  Kumar / CZ"/>
    <n v="14"/>
    <m/>
    <s v="Custom Model"/>
    <n v="13"/>
    <x v="0"/>
    <n v="28"/>
    <m/>
    <s v="Sat: 08:00-17:00, Sun-Fri 24/6 CST"/>
    <s v="Sat- Fri"/>
    <m/>
    <s v="English"/>
    <s v="Bansode, Mahendra - Dell Team"/>
  </r>
  <r>
    <x v="7"/>
    <x v="7"/>
    <s v="Yap, Diane"/>
    <s v="Server"/>
    <s v="Server"/>
    <s v="Y"/>
    <s v="Front Line"/>
    <s v="APJ"/>
    <s v="China"/>
    <n v="0.629"/>
    <n v="7.8864353312302835E-3"/>
    <m/>
    <m/>
    <s v="L1"/>
    <x v="7"/>
    <s v="Sarthak Shahir - Dellteam"/>
    <s v="StephenRaj  Kumar"/>
    <n v="24"/>
    <m/>
    <s v="ESG"/>
    <n v="13"/>
    <x v="0"/>
    <n v="59"/>
    <m/>
    <m/>
    <m/>
    <s v=""/>
    <s v="Mandarin"/>
    <s v="Wei Han, Ying - Dell Team"/>
  </r>
  <r>
    <x v="8"/>
    <x v="8"/>
    <s v="Yap, Diane"/>
    <s v="Server"/>
    <s v="Server"/>
    <s v="Y"/>
    <s v="Front Line"/>
    <s v="APJ"/>
    <s v="China"/>
    <n v="0.629"/>
    <n v="2.278539874447803E-2"/>
    <m/>
    <s v="12/5"/>
    <s v="L1"/>
    <x v="8"/>
    <s v="Sarthak Shahir - Dellteam"/>
    <s v="StephenRaj  Kumar"/>
    <n v="8"/>
    <m/>
    <s v="ESG"/>
    <n v="13"/>
    <x v="0"/>
    <n v="11"/>
    <m/>
    <s v="Email &amp; Voice: 24*7, Chat: Mon-Fri 09:00-18:00 (GMT+8)"/>
    <s v="Sat- Fri"/>
    <s v=""/>
    <s v="Cantonese"/>
    <e v="#N/A"/>
  </r>
  <r>
    <x v="9"/>
    <x v="9"/>
    <s v="Yap, Diane"/>
    <s v="Server"/>
    <s v="Server"/>
    <s v="Y"/>
    <s v="Front Line"/>
    <s v="APJ"/>
    <s v="China"/>
    <n v="0.629"/>
    <n v="2.278539874447803E-2"/>
    <m/>
    <s v="12/5"/>
    <s v="L1"/>
    <x v="9"/>
    <s v="Sarthak Shahir - Dellteam"/>
    <s v="StephenRaj  Kumar"/>
    <n v="8"/>
    <m/>
    <s v="ESG"/>
    <n v="13"/>
    <x v="0"/>
    <n v="9"/>
    <m/>
    <s v="Email: 24*7, Chat: Mon-Fri 8:30-17:30 (GMT+8)"/>
    <s v="Sat- Fri"/>
    <s v=""/>
    <s v="Mandarin"/>
    <e v="#N/A"/>
  </r>
  <r>
    <x v="10"/>
    <x v="10"/>
    <s v="No Assigned L6"/>
    <m/>
    <s v="Enterprise"/>
    <s v="Y"/>
    <e v="#N/A"/>
    <s v="NAMER"/>
    <s v="United States"/>
    <n v="0.64800000000000002"/>
    <m/>
    <m/>
    <s v="12/7"/>
    <m/>
    <x v="10"/>
    <s v="Zhuo Chen"/>
    <s v=""/>
    <n v="14"/>
    <m/>
    <s v="ESG"/>
    <m/>
    <x v="0"/>
    <n v="0"/>
    <m/>
    <e v="#N/A"/>
    <e v="#N/A"/>
    <m/>
    <s v="English"/>
    <e v="#N/A"/>
  </r>
  <r>
    <x v="11"/>
    <x v="11"/>
    <s v="No Assigned L6"/>
    <s v="Networking"/>
    <s v="Networking"/>
    <s v="Y"/>
    <e v="#N/A"/>
    <s v="NAMER"/>
    <s v="United States"/>
    <n v="0.64800000000000002"/>
    <m/>
    <m/>
    <s v="12/7"/>
    <m/>
    <x v="11"/>
    <s v="Zhuo Chen"/>
    <s v=""/>
    <n v="14"/>
    <m/>
    <s v="ESG"/>
    <m/>
    <x v="0"/>
    <n v="0"/>
    <m/>
    <e v="#N/A"/>
    <e v="#N/A"/>
    <m/>
    <s v="English"/>
    <e v="#N/A"/>
  </r>
  <r>
    <x v="12"/>
    <x v="12"/>
    <s v="No Assigned L6"/>
    <s v="Networking"/>
    <s v="Networking"/>
    <s v="Y"/>
    <e v="#N/A"/>
    <s v="NAMER"/>
    <s v="United States"/>
    <n v="0.64800000000000002"/>
    <m/>
    <m/>
    <s v="12/7"/>
    <m/>
    <x v="12"/>
    <s v="Zhuo Chen"/>
    <s v=""/>
    <n v="14"/>
    <m/>
    <s v="ESG"/>
    <m/>
    <x v="0"/>
    <n v="0"/>
    <m/>
    <e v="#N/A"/>
    <e v="#N/A"/>
    <m/>
    <s v="English"/>
    <e v="#N/A"/>
  </r>
  <r>
    <x v="13"/>
    <x v="13"/>
    <s v="No Assigned L6"/>
    <s v="All"/>
    <s v="All"/>
    <s v="Y"/>
    <e v="#N/A"/>
    <s v="APJ"/>
    <s v="India"/>
    <n v="0.629"/>
    <m/>
    <m/>
    <s v="12/7"/>
    <m/>
    <x v="13"/>
    <s v="Zhuo Chen"/>
    <s v=""/>
    <n v="14"/>
    <m/>
    <s v="ESG"/>
    <m/>
    <x v="0"/>
    <n v="0"/>
    <m/>
    <e v="#N/A"/>
    <e v="#N/A"/>
    <m/>
    <s v="Multiple Languages"/>
    <e v="#N/A"/>
  </r>
  <r>
    <x v="14"/>
    <x v="14"/>
    <s v="No Assigned L6"/>
    <s v="Server"/>
    <s v="Enterprise"/>
    <s v="N"/>
    <e v="#N/A"/>
    <s v="LATAM"/>
    <s v="Brazil"/>
    <n v="0.57099999999999995"/>
    <m/>
    <m/>
    <s v="12/7"/>
    <m/>
    <x v="14"/>
    <s v="Zhuo Chen"/>
    <s v=""/>
    <n v="14"/>
    <m/>
    <s v="ESG"/>
    <m/>
    <x v="0"/>
    <n v="0"/>
    <m/>
    <e v="#N/A"/>
    <e v="#N/A"/>
    <m/>
    <s v="Portuguese"/>
    <e v="#N/A"/>
  </r>
  <r>
    <x v="15"/>
    <x v="15"/>
    <s v="No Assigned L6"/>
    <s v="Server"/>
    <s v="Server"/>
    <s v="Y"/>
    <e v="#N/A"/>
    <s v="APJ"/>
    <s v="China"/>
    <n v="0.629"/>
    <m/>
    <m/>
    <s v="12/7"/>
    <m/>
    <x v="15"/>
    <s v="Zhuo Chen"/>
    <s v=""/>
    <n v="14"/>
    <m/>
    <s v="ESG"/>
    <m/>
    <x v="0"/>
    <n v="0"/>
    <m/>
    <e v="#N/A"/>
    <e v="#N/A"/>
    <m/>
    <s v="Mandarin"/>
    <e v="#N/A"/>
  </r>
  <r>
    <x v="16"/>
    <x v="16"/>
    <s v="No Assigned L6"/>
    <m/>
    <m/>
    <s v="Y"/>
    <e v="#N/A"/>
    <m/>
    <m/>
    <m/>
    <m/>
    <m/>
    <m/>
    <m/>
    <x v="16"/>
    <s v="Zhuo Chen"/>
    <s v=""/>
    <m/>
    <m/>
    <s v="ESG"/>
    <m/>
    <x v="0"/>
    <n v="0"/>
    <m/>
    <e v="#N/A"/>
    <e v="#N/A"/>
    <m/>
    <s v="Mandarin"/>
    <e v="#N/A"/>
  </r>
  <r>
    <x v="17"/>
    <x v="17"/>
    <s v="No Assigned L6"/>
    <m/>
    <m/>
    <s v="Y"/>
    <e v="#N/A"/>
    <m/>
    <m/>
    <m/>
    <m/>
    <m/>
    <m/>
    <m/>
    <x v="17"/>
    <s v="Zhuo Chen"/>
    <s v=""/>
    <m/>
    <m/>
    <s v="ESG"/>
    <m/>
    <x v="0"/>
    <n v="0"/>
    <m/>
    <e v="#N/A"/>
    <e v="#N/A"/>
    <m/>
    <s v="Mandarin"/>
    <e v="#N/A"/>
  </r>
  <r>
    <x v="18"/>
    <x v="18"/>
    <s v="No Assigned L6"/>
    <m/>
    <m/>
    <s v="Y"/>
    <e v="#N/A"/>
    <m/>
    <m/>
    <m/>
    <m/>
    <m/>
    <m/>
    <m/>
    <x v="18"/>
    <s v="Zhuo Chen"/>
    <s v=""/>
    <m/>
    <m/>
    <s v="ESG"/>
    <m/>
    <x v="0"/>
    <n v="0"/>
    <m/>
    <e v="#N/A"/>
    <e v="#N/A"/>
    <m/>
    <s v="Mandarin"/>
    <e v="#N/A"/>
  </r>
  <r>
    <x v="19"/>
    <x v="19"/>
    <s v="No Assigned L6"/>
    <m/>
    <s v="Server"/>
    <s v="Y"/>
    <e v="#N/A"/>
    <s v="APJ"/>
    <s v="China"/>
    <n v="0.629"/>
    <m/>
    <m/>
    <s v="12/7"/>
    <m/>
    <x v="19"/>
    <s v="Zhuo Chen"/>
    <s v=""/>
    <n v="14"/>
    <m/>
    <s v="ESG"/>
    <m/>
    <x v="0"/>
    <n v="0"/>
    <m/>
    <e v="#N/A"/>
    <e v="#N/A"/>
    <m/>
    <s v="Mandarin"/>
    <e v="#N/A"/>
  </r>
  <r>
    <x v="20"/>
    <x v="20"/>
    <s v="No Assigned L6"/>
    <m/>
    <m/>
    <s v="Y"/>
    <e v="#N/A"/>
    <m/>
    <m/>
    <m/>
    <m/>
    <m/>
    <m/>
    <m/>
    <x v="20"/>
    <e v="#N/A"/>
    <s v=""/>
    <m/>
    <m/>
    <s v="ESG"/>
    <m/>
    <x v="0"/>
    <n v="0"/>
    <m/>
    <e v="#N/A"/>
    <e v="#N/A"/>
    <m/>
    <e v="#N/A"/>
    <e v="#N/A"/>
  </r>
  <r>
    <x v="21"/>
    <x v="21"/>
    <s v="No Assigned L6"/>
    <s v="CTE"/>
    <s v="CTE"/>
    <s v="Y"/>
    <e v="#N/A"/>
    <s v="Global"/>
    <s v="Global"/>
    <n v="0.63300000000000001"/>
    <m/>
    <m/>
    <s v="12/7"/>
    <s v="CTE"/>
    <x v="21"/>
    <s v="Zhuo Chen"/>
    <s v=""/>
    <n v="14"/>
    <m/>
    <s v="ESG"/>
    <m/>
    <x v="0"/>
    <n v="0"/>
    <m/>
    <e v="#N/A"/>
    <e v="#N/A"/>
    <m/>
    <s v="Korean"/>
    <e v="#N/A"/>
  </r>
  <r>
    <x v="22"/>
    <x v="22"/>
    <s v="No Assigned L6"/>
    <m/>
    <m/>
    <s v="Y"/>
    <e v="#N/A"/>
    <m/>
    <m/>
    <m/>
    <m/>
    <m/>
    <m/>
    <m/>
    <x v="22"/>
    <s v="Zhuo Chen"/>
    <s v=""/>
    <m/>
    <m/>
    <s v="ESG"/>
    <m/>
    <x v="0"/>
    <n v="0"/>
    <m/>
    <e v="#N/A"/>
    <e v="#N/A"/>
    <m/>
    <s v="English"/>
    <e v="#N/A"/>
  </r>
  <r>
    <x v="23"/>
    <x v="23"/>
    <s v="No Assigned L6"/>
    <s v="Server"/>
    <s v="Server"/>
    <s v="Y"/>
    <e v="#N/A"/>
    <s v="EMEA"/>
    <s v="Germany"/>
    <n v="0.61699999999999999"/>
    <m/>
    <m/>
    <s v="12/7"/>
    <m/>
    <x v="23"/>
    <s v="Zhuo Chen"/>
    <s v=""/>
    <n v="14"/>
    <m/>
    <s v="ESG"/>
    <m/>
    <x v="0"/>
    <n v="0"/>
    <m/>
    <e v="#N/A"/>
    <e v="#N/A"/>
    <m/>
    <s v="German"/>
    <e v="#N/A"/>
  </r>
  <r>
    <x v="24"/>
    <x v="24"/>
    <s v="No Assigned L6"/>
    <m/>
    <s v="Enterprise"/>
    <s v="Y"/>
    <e v="#N/A"/>
    <s v="NAMER"/>
    <s v="United States"/>
    <n v="0.64800000000000002"/>
    <m/>
    <m/>
    <s v="12/7"/>
    <m/>
    <x v="24"/>
    <s v="Zhuo Chen"/>
    <s v=""/>
    <n v="14"/>
    <m/>
    <s v="ESG"/>
    <m/>
    <x v="0"/>
    <n v="0"/>
    <m/>
    <e v="#N/A"/>
    <e v="#N/A"/>
    <m/>
    <s v="English"/>
    <e v="#N/A"/>
  </r>
  <r>
    <x v="25"/>
    <x v="25"/>
    <s v="No Assigned L6"/>
    <s v="Server"/>
    <s v="Server"/>
    <s v="Y"/>
    <e v="#N/A"/>
    <s v="NAMER"/>
    <s v="United States"/>
    <n v="0.64800000000000002"/>
    <m/>
    <m/>
    <s v="12/5"/>
    <s v="L1"/>
    <x v="25"/>
    <s v="Prachi Gupta - Dellteam"/>
    <s v=""/>
    <n v="8"/>
    <m/>
    <s v="ESG"/>
    <m/>
    <x v="0"/>
    <n v="0"/>
    <m/>
    <e v="#N/A"/>
    <e v="#N/A"/>
    <m/>
    <s v="English"/>
    <e v="#N/A"/>
  </r>
  <r>
    <x v="26"/>
    <x v="26"/>
    <s v="No Assigned L6"/>
    <s v="Storage"/>
    <s v="Storage"/>
    <s v="Y"/>
    <e v="#N/A"/>
    <s v="NAMER"/>
    <s v="United States"/>
    <n v="0.64800000000000002"/>
    <m/>
    <m/>
    <s v="12/5"/>
    <m/>
    <x v="26"/>
    <s v="Zhuo Chen"/>
    <s v=""/>
    <n v="8"/>
    <m/>
    <s v="ESG"/>
    <m/>
    <x v="0"/>
    <n v="0"/>
    <m/>
    <e v="#N/A"/>
    <e v="#N/A"/>
    <m/>
    <s v="English"/>
    <e v="#N/A"/>
  </r>
  <r>
    <x v="27"/>
    <x v="27"/>
    <s v="No Assigned L6"/>
    <s v="Server"/>
    <s v="Server"/>
    <s v="Y"/>
    <e v="#N/A"/>
    <s v="EMEA"/>
    <s v="France"/>
    <n v="0.61699999999999999"/>
    <m/>
    <m/>
    <s v="12/7"/>
    <m/>
    <x v="27"/>
    <s v="Zhuo Chen"/>
    <s v=""/>
    <n v="14"/>
    <m/>
    <s v="ESG"/>
    <m/>
    <x v="0"/>
    <n v="0"/>
    <m/>
    <e v="#N/A"/>
    <e v="#N/A"/>
    <m/>
    <s v="French"/>
    <e v="#N/A"/>
  </r>
  <r>
    <x v="28"/>
    <x v="28"/>
    <s v="No Assigned L6"/>
    <s v="Server"/>
    <s v="Server"/>
    <s v="Y"/>
    <e v="#N/A"/>
    <s v="EMEA"/>
    <s v="SER"/>
    <n v="0.61699999999999999"/>
    <m/>
    <m/>
    <s v="10/5"/>
    <s v="L1"/>
    <x v="28"/>
    <s v="Vikesh Gupta - Dellteam"/>
    <s v=""/>
    <n v="7"/>
    <m/>
    <s v="ESG"/>
    <m/>
    <x v="0"/>
    <n v="0"/>
    <m/>
    <e v="#N/A"/>
    <e v="#N/A"/>
    <m/>
    <s v="French"/>
    <e v="#N/A"/>
  </r>
  <r>
    <x v="29"/>
    <x v="29"/>
    <s v="No Assigned L6"/>
    <s v="Storage"/>
    <s v="Storage"/>
    <s v="Y"/>
    <e v="#N/A"/>
    <s v="EMEA"/>
    <e v="#N/A"/>
    <n v="0.61699999999999999"/>
    <m/>
    <m/>
    <s v="10/5"/>
    <m/>
    <x v="29"/>
    <s v="Zhuo Chen"/>
    <s v=""/>
    <n v="7"/>
    <m/>
    <s v="ESG"/>
    <m/>
    <x v="0"/>
    <n v="0"/>
    <m/>
    <e v="#N/A"/>
    <e v="#N/A"/>
    <m/>
    <s v="Multiple Languages"/>
    <e v="#N/A"/>
  </r>
  <r>
    <x v="30"/>
    <x v="30"/>
    <s v="No Assigned L6"/>
    <s v="Storage"/>
    <s v="Storage"/>
    <s v="Y"/>
    <e v="#N/A"/>
    <s v="EMEA"/>
    <s v="France"/>
    <n v="0.61699999999999999"/>
    <m/>
    <m/>
    <s v="12/7"/>
    <m/>
    <x v="30"/>
    <s v="Zhuo Chen"/>
    <s v=""/>
    <n v="14"/>
    <m/>
    <s v="ESG"/>
    <m/>
    <x v="0"/>
    <n v="0"/>
    <m/>
    <e v="#N/A"/>
    <e v="#N/A"/>
    <m/>
    <s v="French"/>
    <e v="#N/A"/>
  </r>
  <r>
    <x v="31"/>
    <x v="31"/>
    <s v="No Assigned L6"/>
    <s v="Server"/>
    <s v="Server"/>
    <s v="Y"/>
    <e v="#N/A"/>
    <s v="EMEA"/>
    <s v="United Kingdom"/>
    <n v="0.61699999999999999"/>
    <m/>
    <m/>
    <s v="14/5"/>
    <m/>
    <x v="31"/>
    <s v="Zhuo Chen"/>
    <s v=""/>
    <n v="10"/>
    <m/>
    <s v="ESG"/>
    <m/>
    <x v="0"/>
    <n v="0"/>
    <m/>
    <e v="#N/A"/>
    <e v="#N/A"/>
    <m/>
    <s v="English"/>
    <e v="#N/A"/>
  </r>
  <r>
    <x v="32"/>
    <x v="32"/>
    <s v="No Assigned L6"/>
    <s v="Storage"/>
    <s v="Storage"/>
    <s v="Y"/>
    <e v="#N/A"/>
    <s v="EMEA"/>
    <s v="United Kingdom"/>
    <n v="0.61699999999999999"/>
    <m/>
    <m/>
    <s v="12/7"/>
    <m/>
    <x v="32"/>
    <s v="Zhuo Chen"/>
    <s v=""/>
    <n v="14"/>
    <m/>
    <s v="ESG"/>
    <m/>
    <x v="0"/>
    <n v="0"/>
    <m/>
    <e v="#N/A"/>
    <e v="#N/A"/>
    <m/>
    <s v="Multiple Languages"/>
    <e v="#N/A"/>
  </r>
  <r>
    <x v="33"/>
    <x v="33"/>
    <s v="No Assigned L6"/>
    <s v="Storage"/>
    <s v="Storage"/>
    <s v="Y"/>
    <e v="#N/A"/>
    <s v="EMEA"/>
    <e v="#N/A"/>
    <n v="0.61699999999999999"/>
    <m/>
    <m/>
    <s v="10/5"/>
    <m/>
    <x v="33"/>
    <s v="Zhuo Chen"/>
    <s v=""/>
    <n v="7"/>
    <m/>
    <s v="ESG"/>
    <m/>
    <x v="0"/>
    <n v="0"/>
    <m/>
    <e v="#N/A"/>
    <e v="#N/A"/>
    <m/>
    <s v="Multiple Languages"/>
    <e v="#N/A"/>
  </r>
  <r>
    <x v="34"/>
    <x v="34"/>
    <s v="No Assigned L6"/>
    <s v="Server"/>
    <s v="Server"/>
    <s v="Y"/>
    <e v="#N/A"/>
    <s v="EMEA"/>
    <s v="United Kingdom"/>
    <n v="0.61699999999999999"/>
    <m/>
    <m/>
    <s v="12/7"/>
    <m/>
    <x v="34"/>
    <s v="Zhuo Chen"/>
    <s v=""/>
    <n v="14"/>
    <m/>
    <s v="ESG"/>
    <m/>
    <x v="0"/>
    <n v="0"/>
    <m/>
    <e v="#N/A"/>
    <e v="#N/A"/>
    <m/>
    <s v="English"/>
    <e v="#N/A"/>
  </r>
  <r>
    <x v="35"/>
    <x v="35"/>
    <s v="No Assigned L6"/>
    <s v="Storage"/>
    <s v="Storage"/>
    <s v="Y"/>
    <e v="#N/A"/>
    <s v="EMEA"/>
    <s v="SER"/>
    <n v="0.61699999999999999"/>
    <m/>
    <m/>
    <s v="11/5"/>
    <s v="L1"/>
    <x v="35"/>
    <s v="Vikesh Gupta - Dellteam"/>
    <s v=""/>
    <n v="8"/>
    <m/>
    <s v="ESG"/>
    <m/>
    <x v="0"/>
    <n v="0"/>
    <m/>
    <e v="#N/A"/>
    <e v="#N/A"/>
    <m/>
    <s v="Multiple Languages"/>
    <e v="#N/A"/>
  </r>
  <r>
    <x v="36"/>
    <x v="36"/>
    <s v="No Assigned L6"/>
    <s v="Storage"/>
    <s v="Storage"/>
    <s v="Y"/>
    <e v="#N/A"/>
    <s v="EMEA"/>
    <s v="Germany"/>
    <n v="0.61699999999999999"/>
    <m/>
    <m/>
    <s v="12/7"/>
    <m/>
    <x v="36"/>
    <s v="Zhuo Chen"/>
    <s v=""/>
    <n v="14"/>
    <m/>
    <s v="ESG"/>
    <m/>
    <x v="0"/>
    <n v="0"/>
    <m/>
    <e v="#N/A"/>
    <e v="#N/A"/>
    <m/>
    <s v="German"/>
    <e v="#N/A"/>
  </r>
  <r>
    <x v="37"/>
    <x v="37"/>
    <s v="Yap, Diane"/>
    <s v="Social"/>
    <s v="High End Storage"/>
    <s v="N"/>
    <e v="#N/A"/>
    <s v="Global"/>
    <s v="Global"/>
    <n v="0.63300000000000001"/>
    <m/>
    <m/>
    <s v="12/7"/>
    <m/>
    <x v="37"/>
    <s v="Zhuo Chen"/>
    <s v=""/>
    <n v="14"/>
    <m/>
    <s v="ESG"/>
    <m/>
    <x v="0"/>
    <n v="0.66666666666666663"/>
    <m/>
    <e v="#N/A"/>
    <e v="#N/A"/>
    <m/>
    <s v="English"/>
    <e v="#N/A"/>
  </r>
  <r>
    <x v="38"/>
    <x v="38"/>
    <s v="No Assigned L6"/>
    <m/>
    <m/>
    <s v="Y"/>
    <e v="#N/A"/>
    <m/>
    <m/>
    <m/>
    <m/>
    <m/>
    <m/>
    <m/>
    <x v="38"/>
    <s v="Zhuo Chen"/>
    <s v=""/>
    <m/>
    <m/>
    <s v="ESG"/>
    <m/>
    <x v="0"/>
    <n v="0"/>
    <m/>
    <e v="#N/A"/>
    <e v="#N/A"/>
    <m/>
    <s v="English/Spanish"/>
    <e v="#N/A"/>
  </r>
  <r>
    <x v="39"/>
    <x v="39"/>
    <s v="No Assigned L6"/>
    <s v="Server"/>
    <s v="Server"/>
    <s v="Y"/>
    <e v="#N/A"/>
    <s v="India"/>
    <s v="India"/>
    <n v="0.629"/>
    <m/>
    <m/>
    <s v="12/7"/>
    <m/>
    <x v="39"/>
    <s v="Taini Liang - Dellteam"/>
    <s v=""/>
    <n v="14"/>
    <m/>
    <s v="ESG"/>
    <m/>
    <x v="0"/>
    <n v="0"/>
    <m/>
    <e v="#N/A"/>
    <e v="#N/A"/>
    <m/>
    <s v="English"/>
    <e v="#N/A"/>
  </r>
  <r>
    <x v="40"/>
    <x v="40"/>
    <s v="No Assigned L6"/>
    <m/>
    <m/>
    <s v="Y"/>
    <e v="#N/A"/>
    <m/>
    <m/>
    <m/>
    <m/>
    <m/>
    <m/>
    <m/>
    <x v="40"/>
    <s v="Zhuo Chen"/>
    <s v=""/>
    <m/>
    <m/>
    <s v="ESG"/>
    <m/>
    <x v="0"/>
    <n v="0"/>
    <m/>
    <e v="#N/A"/>
    <e v="#N/A"/>
    <m/>
    <s v="Multiple Languages"/>
    <e v="#N/A"/>
  </r>
  <r>
    <x v="41"/>
    <x v="41"/>
    <s v="No Assigned L6"/>
    <m/>
    <s v="Storage"/>
    <s v="Y"/>
    <e v="#N/A"/>
    <s v="India"/>
    <e v="#N/A"/>
    <n v="0.629"/>
    <m/>
    <m/>
    <e v="#N/A"/>
    <m/>
    <x v="41"/>
    <s v="Geeta G-DellTeam"/>
    <s v=""/>
    <m/>
    <m/>
    <s v="ESG"/>
    <m/>
    <x v="0"/>
    <n v="0"/>
    <m/>
    <e v="#N/A"/>
    <e v="#N/A"/>
    <m/>
    <s v="English"/>
    <e v="#N/A"/>
  </r>
  <r>
    <x v="42"/>
    <x v="42"/>
    <s v="No Assigned L6"/>
    <m/>
    <s v="Server"/>
    <s v="Y"/>
    <e v="#N/A"/>
    <s v="APJ"/>
    <s v="Japan"/>
    <n v="0.629"/>
    <m/>
    <m/>
    <s v="12/7"/>
    <m/>
    <x v="42"/>
    <s v="Zhuo Chen"/>
    <s v=""/>
    <n v="14"/>
    <m/>
    <s v="ESG"/>
    <m/>
    <x v="0"/>
    <n v="0"/>
    <m/>
    <e v="#N/A"/>
    <e v="#N/A"/>
    <m/>
    <s v="Japanese"/>
    <e v="#N/A"/>
  </r>
  <r>
    <x v="43"/>
    <x v="43"/>
    <s v="No Assigned L6"/>
    <m/>
    <s v="Server"/>
    <s v="Y"/>
    <e v="#N/A"/>
    <s v="APJ"/>
    <s v="Japan"/>
    <n v="0.629"/>
    <m/>
    <m/>
    <s v="12/7"/>
    <m/>
    <x v="43"/>
    <s v="Zhuo Chen"/>
    <s v=""/>
    <n v="14"/>
    <m/>
    <s v="ESG"/>
    <m/>
    <x v="0"/>
    <n v="0"/>
    <m/>
    <e v="#N/A"/>
    <e v="#N/A"/>
    <m/>
    <s v="Japanese"/>
    <e v="#N/A"/>
  </r>
  <r>
    <x v="44"/>
    <x v="44"/>
    <s v="No Assigned L6"/>
    <m/>
    <s v="Networking"/>
    <s v="Y"/>
    <e v="#N/A"/>
    <s v="APJ"/>
    <s v="Japan"/>
    <n v="0.629"/>
    <m/>
    <m/>
    <s v="12/7"/>
    <m/>
    <x v="44"/>
    <s v="Zhuo Chen"/>
    <s v=""/>
    <n v="14"/>
    <m/>
    <s v="ESG"/>
    <m/>
    <x v="0"/>
    <n v="0"/>
    <m/>
    <e v="#N/A"/>
    <e v="#N/A"/>
    <m/>
    <s v="Japanese"/>
    <e v="#N/A"/>
  </r>
  <r>
    <x v="45"/>
    <x v="45"/>
    <s v="No Assigned L6"/>
    <m/>
    <s v="Server"/>
    <s v="Y"/>
    <e v="#N/A"/>
    <s v="APJ"/>
    <s v="Japan"/>
    <n v="0.629"/>
    <m/>
    <m/>
    <s v="12/7"/>
    <m/>
    <x v="45"/>
    <s v="Zhuo Chen"/>
    <s v=""/>
    <n v="14"/>
    <m/>
    <s v="ESG"/>
    <m/>
    <x v="0"/>
    <n v="0"/>
    <m/>
    <e v="#N/A"/>
    <e v="#N/A"/>
    <m/>
    <s v="Japanese"/>
    <e v="#N/A"/>
  </r>
  <r>
    <x v="46"/>
    <x v="46"/>
    <s v="No Assigned L6"/>
    <m/>
    <m/>
    <s v="Y"/>
    <e v="#N/A"/>
    <m/>
    <m/>
    <m/>
    <m/>
    <m/>
    <m/>
    <m/>
    <x v="46"/>
    <s v="Zhuo Chen"/>
    <s v=""/>
    <m/>
    <m/>
    <s v="ESG"/>
    <m/>
    <x v="0"/>
    <n v="0"/>
    <m/>
    <e v="#N/A"/>
    <e v="#N/A"/>
    <m/>
    <s v="Japanese"/>
    <e v="#N/A"/>
  </r>
  <r>
    <x v="47"/>
    <x v="47"/>
    <s v="No Assigned L6"/>
    <m/>
    <s v="Server"/>
    <s v="Y"/>
    <e v="#N/A"/>
    <s v="APJ"/>
    <s v="Korea"/>
    <n v="0.629"/>
    <m/>
    <m/>
    <s v="12/7"/>
    <m/>
    <x v="47"/>
    <s v="Zhuo Chen"/>
    <s v=""/>
    <n v="14"/>
    <m/>
    <s v="ESG"/>
    <m/>
    <x v="0"/>
    <n v="0"/>
    <m/>
    <e v="#N/A"/>
    <e v="#N/A"/>
    <m/>
    <s v="Korean"/>
    <e v="#N/A"/>
  </r>
  <r>
    <x v="48"/>
    <x v="48"/>
    <s v="Tomczyk, Patrick"/>
    <m/>
    <s v="Enterprise"/>
    <s v="Y"/>
    <e v="#N/A"/>
    <s v="Global"/>
    <s v="Global"/>
    <n v="0.63300000000000001"/>
    <m/>
    <m/>
    <s v="12/7"/>
    <m/>
    <x v="48"/>
    <s v="Zhuo Chen"/>
    <s v=""/>
    <n v="14"/>
    <m/>
    <s v="ESG"/>
    <m/>
    <x v="0"/>
    <n v="1"/>
    <m/>
    <e v="#N/A"/>
    <e v="#N/A"/>
    <m/>
    <s v="English"/>
    <e v="#N/A"/>
  </r>
  <r>
    <x v="49"/>
    <x v="49"/>
    <s v="No Assigned L6"/>
    <m/>
    <m/>
    <s v="Y"/>
    <e v="#N/A"/>
    <m/>
    <m/>
    <m/>
    <m/>
    <m/>
    <m/>
    <m/>
    <x v="49"/>
    <s v="Zhuo Chen"/>
    <s v=""/>
    <m/>
    <m/>
    <s v="ESG"/>
    <m/>
    <x v="0"/>
    <n v="0"/>
    <m/>
    <e v="#N/A"/>
    <e v="#N/A"/>
    <m/>
    <s v="English"/>
    <e v="#N/A"/>
  </r>
  <r>
    <x v="50"/>
    <x v="50"/>
    <s v="No Assigned L6"/>
    <s v="Server"/>
    <s v="Server"/>
    <s v="Y"/>
    <e v="#N/A"/>
    <s v="NAMER"/>
    <s v="United States"/>
    <n v="0.64800000000000002"/>
    <m/>
    <m/>
    <s v="12/5"/>
    <s v="L1"/>
    <x v="50"/>
    <s v="Prachi Gupta - Dellteam"/>
    <s v=""/>
    <n v="8"/>
    <m/>
    <s v="ESG"/>
    <m/>
    <x v="0"/>
    <n v="0"/>
    <m/>
    <e v="#N/A"/>
    <e v="#N/A"/>
    <m/>
    <s v="English"/>
    <e v="#N/A"/>
  </r>
  <r>
    <x v="51"/>
    <x v="51"/>
    <s v="No Assigned L6"/>
    <s v="Server"/>
    <s v="Server"/>
    <s v="Y"/>
    <e v="#N/A"/>
    <s v="NAMER"/>
    <s v="United States"/>
    <n v="0.64800000000000002"/>
    <m/>
    <m/>
    <s v="12/5"/>
    <m/>
    <x v="51"/>
    <s v="Zhuo Chen"/>
    <s v=""/>
    <n v="8"/>
    <m/>
    <s v="ESG"/>
    <m/>
    <x v="0"/>
    <n v="0"/>
    <m/>
    <e v="#N/A"/>
    <e v="#N/A"/>
    <m/>
    <s v="English"/>
    <e v="#N/A"/>
  </r>
  <r>
    <x v="52"/>
    <x v="52"/>
    <s v="Patino, Paola"/>
    <s v="Server"/>
    <s v="Server"/>
    <s v="Y"/>
    <e v="#N/A"/>
    <s v="NAMER"/>
    <s v="United States"/>
    <n v="0.64800000000000002"/>
    <n v="2.0441445869264104E-2"/>
    <m/>
    <s v="12/5"/>
    <m/>
    <x v="52"/>
    <s v="Zhuo Chen"/>
    <s v=""/>
    <n v="8"/>
    <m/>
    <s v="ESG"/>
    <m/>
    <x v="0"/>
    <n v="1"/>
    <m/>
    <e v="#N/A"/>
    <e v="#N/A"/>
    <m/>
    <s v="English"/>
    <e v="#N/A"/>
  </r>
  <r>
    <x v="53"/>
    <x v="53"/>
    <s v="No Assigned L6"/>
    <m/>
    <s v="Enterprise"/>
    <s v="N"/>
    <e v="#N/A"/>
    <s v="Global"/>
    <s v="Global"/>
    <n v="0.63300000000000001"/>
    <m/>
    <m/>
    <s v="12/7"/>
    <m/>
    <x v="53"/>
    <s v="Zhuo Chen"/>
    <s v=""/>
    <n v="14"/>
    <m/>
    <s v="ESG"/>
    <m/>
    <x v="0"/>
    <n v="0"/>
    <m/>
    <e v="#N/A"/>
    <e v="#N/A"/>
    <m/>
    <s v="Multiple Languages"/>
    <e v="#N/A"/>
  </r>
  <r>
    <x v="54"/>
    <x v="54"/>
    <s v="No Assigned L6"/>
    <s v="Storage"/>
    <s v="Storage"/>
    <s v="Y"/>
    <s v="Front Line"/>
    <s v="NAMER"/>
    <s v="United States"/>
    <n v="0.64800000000000002"/>
    <m/>
    <m/>
    <s v="12/5"/>
    <s v="L1"/>
    <x v="54"/>
    <s v="Prachi Gupta - Dellteam"/>
    <s v=""/>
    <n v="8"/>
    <m/>
    <s v="ESG"/>
    <m/>
    <x v="0"/>
    <n v="0"/>
    <m/>
    <e v="#N/A"/>
    <e v="#N/A"/>
    <m/>
    <s v="English"/>
    <e v="#N/A"/>
  </r>
  <r>
    <x v="55"/>
    <x v="55"/>
    <s v="No Assigned L6"/>
    <m/>
    <m/>
    <s v="Y"/>
    <e v="#N/A"/>
    <m/>
    <m/>
    <m/>
    <m/>
    <m/>
    <m/>
    <m/>
    <x v="55"/>
    <s v="Mukesh Kumar-Dellteam"/>
    <s v=""/>
    <m/>
    <m/>
    <s v="ESG"/>
    <m/>
    <x v="0"/>
    <n v="0"/>
    <m/>
    <e v="#N/A"/>
    <e v="#N/A"/>
    <m/>
    <s v="English/Spanish"/>
    <e v="#N/A"/>
  </r>
  <r>
    <x v="56"/>
    <x v="56"/>
    <s v="No Assigned L6"/>
    <m/>
    <s v="Server"/>
    <s v="Y"/>
    <s v="Front Line"/>
    <s v="LATAM"/>
    <s v="ROLA"/>
    <n v="0.626"/>
    <m/>
    <m/>
    <m/>
    <m/>
    <x v="56"/>
    <s v="Zhuo Chen"/>
    <s v=""/>
    <m/>
    <m/>
    <s v="ESG"/>
    <m/>
    <x v="0"/>
    <n v="0"/>
    <m/>
    <e v="#N/A"/>
    <e v="#N/A"/>
    <m/>
    <s v="English/Spanish"/>
    <e v="#N/A"/>
  </r>
  <r>
    <x v="57"/>
    <x v="57"/>
    <s v="No Assigned L6"/>
    <m/>
    <m/>
    <s v="Y"/>
    <e v="#N/A"/>
    <m/>
    <m/>
    <m/>
    <m/>
    <m/>
    <m/>
    <m/>
    <x v="57"/>
    <s v="Zhuo Chen"/>
    <s v=""/>
    <m/>
    <m/>
    <s v="ESG"/>
    <m/>
    <x v="0"/>
    <n v="0"/>
    <m/>
    <e v="#N/A"/>
    <e v="#N/A"/>
    <m/>
    <s v="English/Spanish"/>
    <e v="#N/A"/>
  </r>
  <r>
    <x v="58"/>
    <x v="58"/>
    <s v="No Assigned L6"/>
    <s v="Server"/>
    <s v="Server"/>
    <s v="Y"/>
    <s v="Front Line"/>
    <s v="LATAM"/>
    <s v="ROLA"/>
    <n v="0.626"/>
    <m/>
    <m/>
    <s v="15/6"/>
    <s v="L1"/>
    <x v="58"/>
    <s v="Prachi Gupta - Dellteam"/>
    <s v=""/>
    <n v="12"/>
    <m/>
    <s v="ESG"/>
    <m/>
    <x v="0"/>
    <n v="0"/>
    <m/>
    <e v="#N/A"/>
    <e v="#N/A"/>
    <m/>
    <s v="English/Spanish"/>
    <e v="#N/A"/>
  </r>
  <r>
    <x v="59"/>
    <x v="59"/>
    <s v="No Assigned L6"/>
    <s v="Server"/>
    <s v="Server"/>
    <s v="Y"/>
    <s v="Front Line"/>
    <s v="LATAM"/>
    <s v="ROLA"/>
    <n v="0.626"/>
    <m/>
    <m/>
    <s v="15/6"/>
    <s v="L1"/>
    <x v="59"/>
    <s v="Prachi Gupta - Dellteam"/>
    <s v=""/>
    <n v="12"/>
    <m/>
    <s v="ESG"/>
    <m/>
    <x v="0"/>
    <n v="0"/>
    <m/>
    <e v="#N/A"/>
    <e v="#N/A"/>
    <m/>
    <s v="English/Spanish"/>
    <e v="#N/A"/>
  </r>
  <r>
    <x v="60"/>
    <x v="60"/>
    <s v="No Assigned L6"/>
    <m/>
    <s v="Enterprise"/>
    <s v="Y"/>
    <s v="Backline"/>
    <s v="LATAM"/>
    <s v="ROLA"/>
    <n v="0.626"/>
    <m/>
    <m/>
    <m/>
    <m/>
    <x v="60"/>
    <s v="Zhuo Chen"/>
    <s v=""/>
    <m/>
    <m/>
    <s v="ESG"/>
    <m/>
    <x v="0"/>
    <n v="0"/>
    <m/>
    <e v="#N/A"/>
    <e v="#N/A"/>
    <m/>
    <s v="English/Spanish"/>
    <e v="#N/A"/>
  </r>
  <r>
    <x v="61"/>
    <x v="61"/>
    <s v="Christmas, James"/>
    <s v="All"/>
    <s v="All"/>
    <s v="N"/>
    <e v="#N/A"/>
    <s v="LATAM"/>
    <s v="Brazil"/>
    <n v="0.57099999999999995"/>
    <m/>
    <m/>
    <s v="12/7"/>
    <m/>
    <x v="61"/>
    <s v="Zhuo Chen"/>
    <s v=""/>
    <n v="14"/>
    <m/>
    <s v="ESG"/>
    <m/>
    <x v="0"/>
    <n v="4"/>
    <m/>
    <e v="#N/A"/>
    <e v="#N/A"/>
    <m/>
    <s v="English/Spanish"/>
    <e v="#N/A"/>
  </r>
  <r>
    <x v="62"/>
    <x v="62"/>
    <s v="No Assigned L6"/>
    <m/>
    <s v="Server"/>
    <s v="Y"/>
    <e v="#N/A"/>
    <s v="APJ"/>
    <s v="Malaysia"/>
    <n v="0.629"/>
    <m/>
    <m/>
    <m/>
    <m/>
    <x v="62"/>
    <s v="Zhuo Chen"/>
    <s v=""/>
    <m/>
    <m/>
    <s v="ESG"/>
    <m/>
    <x v="0"/>
    <n v="0"/>
    <m/>
    <e v="#N/A"/>
    <e v="#N/A"/>
    <m/>
    <s v="English"/>
    <e v="#N/A"/>
  </r>
  <r>
    <x v="63"/>
    <x v="63"/>
    <s v="Christmas, James"/>
    <m/>
    <m/>
    <s v="Y"/>
    <s v="Front Line"/>
    <m/>
    <m/>
    <m/>
    <m/>
    <m/>
    <m/>
    <m/>
    <x v="63"/>
    <s v="Michael Yumnam - Dellteam"/>
    <s v=""/>
    <m/>
    <m/>
    <s v="ESG"/>
    <m/>
    <x v="0"/>
    <n v="0"/>
    <m/>
    <e v="#N/A"/>
    <e v="#N/A"/>
    <m/>
    <s v="Swedish"/>
    <e v="#N/A"/>
  </r>
  <r>
    <x v="64"/>
    <x v="64"/>
    <s v="D'Arcy, Mark"/>
    <s v="Server"/>
    <s v="Server"/>
    <s v="Y"/>
    <s v="Front Line"/>
    <s v="Global"/>
    <m/>
    <n v="0.63300000000000001"/>
    <n v="1.8670169726832081E-2"/>
    <m/>
    <m/>
    <s v="L1"/>
    <x v="64"/>
    <s v="Prachi Gupta - Dellteam"/>
    <s v="Bethany Rana"/>
    <n v="24"/>
    <m/>
    <s v="ESG"/>
    <n v="13"/>
    <x v="0"/>
    <n v="0"/>
    <s v="Global Compute English"/>
    <s v="07:00-18:00 (GMT+0)"/>
    <s v="Mon-Fri"/>
    <s v="Queue Got Merged in GC21"/>
    <s v="English"/>
    <e v="#N/A"/>
  </r>
  <r>
    <x v="65"/>
    <x v="65"/>
    <s v="D'Arcy, Mark"/>
    <s v="CTE"/>
    <s v="CTE"/>
    <s v="Y"/>
    <s v="Backline"/>
    <s v="NAMER"/>
    <s v="United States"/>
    <n v="0.64800000000000002"/>
    <m/>
    <m/>
    <s v="12/5"/>
    <s v="CTE"/>
    <x v="65"/>
    <s v="Prachi Gupta - Dellteam"/>
    <s v="Bethany Rana"/>
    <n v="8"/>
    <m/>
    <s v="ESG"/>
    <m/>
    <x v="0"/>
    <n v="0"/>
    <m/>
    <s v="Sat-Sun: 07:00-19:00 CST &amp; Mon-Fri: 07:00-20:00 CST"/>
    <s v="Sat- Fri"/>
    <m/>
    <s v="English"/>
    <e v="#N/A"/>
  </r>
  <r>
    <x v="66"/>
    <x v="66"/>
    <s v="D'Arcy, Mark"/>
    <s v="Server"/>
    <s v="Server"/>
    <s v="Y"/>
    <s v="Front Line"/>
    <s v="EMEA"/>
    <s v="CER"/>
    <n v="0.61699999999999999"/>
    <n v="1.7361111111111112E-2"/>
    <m/>
    <s v="10/5"/>
    <s v="L1"/>
    <x v="66"/>
    <s v="Komal Chhabra - Dell Team"/>
    <s v="Bethany Rana"/>
    <n v="7"/>
    <m/>
    <s v="ESG"/>
    <m/>
    <x v="0"/>
    <n v="0"/>
    <m/>
    <s v="08:00-18:00 (GMT+1)"/>
    <s v="Mon-Fri"/>
    <m/>
    <s v="German"/>
    <e v="#N/A"/>
  </r>
  <r>
    <x v="67"/>
    <x v="67"/>
    <s v="D'Arcy, Mark"/>
    <s v="Server"/>
    <s v="Server"/>
    <s v="Y"/>
    <s v="Front Line"/>
    <s v="EMEA"/>
    <s v="CER"/>
    <n v="0.61699999999999999"/>
    <n v="2.4305555555555552E-2"/>
    <m/>
    <s v="10/5"/>
    <s v="L1"/>
    <x v="67"/>
    <s v="Komal Chhabra - Dell Team"/>
    <s v="Bethany Rana"/>
    <n v="7"/>
    <m/>
    <s v="ESG"/>
    <m/>
    <x v="0"/>
    <n v="0"/>
    <m/>
    <s v="08:00-18:00 (GMT+1)"/>
    <s v="Mon-Fri"/>
    <m/>
    <s v="German"/>
    <e v="#N/A"/>
  </r>
  <r>
    <x v="68"/>
    <x v="68"/>
    <s v="D'Arcy, Mark"/>
    <s v="Server"/>
    <s v="Server"/>
    <s v="Y"/>
    <s v="Front Line"/>
    <s v="EMEA"/>
    <s v="CER"/>
    <n v="0.61699999999999999"/>
    <n v="1.119402985074627E-2"/>
    <m/>
    <s v="10/5"/>
    <s v="L1"/>
    <x v="68"/>
    <s v="Komal Chhabra - Dell Team"/>
    <s v="Bethany Rana"/>
    <n v="7"/>
    <m/>
    <s v="ESG"/>
    <m/>
    <x v="0"/>
    <n v="0"/>
    <m/>
    <s v="08:00-18:00 (GMT+1)"/>
    <s v="Mon-Fri"/>
    <m/>
    <s v="German"/>
    <e v="#N/A"/>
  </r>
  <r>
    <x v="69"/>
    <x v="69"/>
    <s v="D'Arcy, Mark"/>
    <s v="Server"/>
    <s v="Server"/>
    <s v="Y"/>
    <s v="Front Line"/>
    <s v="EMEA"/>
    <s v="SER"/>
    <n v="0.61699999999999999"/>
    <n v="3.8967379973253502E-2"/>
    <m/>
    <s v="12/6"/>
    <s v="L1"/>
    <x v="69"/>
    <s v="Komal Chhabra - Dell Team"/>
    <s v="Bethany Rana"/>
    <n v="10"/>
    <m/>
    <s v="ESG"/>
    <m/>
    <x v="0"/>
    <n v="0"/>
    <m/>
    <s v="06:00-17:00 (GMT+1)"/>
    <s v="Sun-Fri"/>
    <m/>
    <s v="Arabic"/>
    <e v="#N/A"/>
  </r>
  <r>
    <x v="70"/>
    <x v="70"/>
    <s v="D'Arcy, Mark"/>
    <s v="Server"/>
    <s v="Server"/>
    <s v="Y"/>
    <s v="Front Line"/>
    <s v="EMEA"/>
    <s v="SER"/>
    <n v="0.61699999999999999"/>
    <n v="3.8967379973253502E-2"/>
    <m/>
    <s v="12/6"/>
    <s v="L1"/>
    <x v="70"/>
    <s v="Vikesh Gupta - Dellteam"/>
    <s v="Bethany Rana"/>
    <n v="10"/>
    <m/>
    <s v="ESG"/>
    <m/>
    <x v="0"/>
    <n v="0"/>
    <m/>
    <s v="Sun-Thu: 06:00-16:30, Fri: 08:00-16:30 (GMT+1)"/>
    <s v="Sun-Fri"/>
    <m/>
    <s v="Arabic"/>
    <e v="#N/A"/>
  </r>
  <r>
    <x v="71"/>
    <x v="71"/>
    <s v="D'Arcy, Mark"/>
    <s v="Server"/>
    <s v="Server"/>
    <s v="Y"/>
    <s v="Front Line"/>
    <s v="EMEA"/>
    <s v="SER"/>
    <n v="0.61699999999999999"/>
    <n v="3.8967379973253502E-2"/>
    <m/>
    <s v="9/5"/>
    <s v="L1"/>
    <x v="71"/>
    <s v="Komal Chhabra - Dell Team"/>
    <s v="Bethany Rana"/>
    <n v="4"/>
    <m/>
    <s v="ESG"/>
    <m/>
    <x v="0"/>
    <n v="0"/>
    <m/>
    <s v="09:00-18:00 (GMT+1)"/>
    <s v="Mon-Fri"/>
    <m/>
    <s v="French"/>
    <e v="#N/A"/>
  </r>
  <r>
    <x v="72"/>
    <x v="72"/>
    <s v="D'Arcy, Mark"/>
    <s v="Server"/>
    <s v="Server"/>
    <s v="Y"/>
    <s v="Front Line"/>
    <s v="EMEA"/>
    <s v="SER"/>
    <n v="0.61699999999999999"/>
    <n v="2.30566534914361E-2"/>
    <m/>
    <s v="10/5"/>
    <s v="L1"/>
    <x v="72"/>
    <s v="Vikesh Gupta - Dellteam"/>
    <s v="Bethany Rana"/>
    <n v="7"/>
    <m/>
    <s v="ESG"/>
    <m/>
    <x v="0"/>
    <n v="0"/>
    <m/>
    <s v="08:00-18:00 (GMT+1)"/>
    <s v="Mon-Fri"/>
    <m/>
    <s v="French"/>
    <e v="#N/A"/>
  </r>
  <r>
    <x v="73"/>
    <x v="73"/>
    <s v="D'Arcy, Mark"/>
    <s v="Server"/>
    <s v="Server"/>
    <s v="Y"/>
    <s v="Front Line"/>
    <s v="EMEA"/>
    <s v="UKI"/>
    <n v="0.61699999999999999"/>
    <n v="3.8967379973253502E-2"/>
    <m/>
    <s v="10/6"/>
    <s v="L1"/>
    <x v="73"/>
    <s v="Vikesh Gupta - Dellteam"/>
    <s v="Bethany Rana"/>
    <n v="8"/>
    <m/>
    <s v="ESG"/>
    <n v="13"/>
    <x v="0"/>
    <n v="0"/>
    <s v="Global Compute English"/>
    <s v="Mon-Thu: 07:00-18:00, Fri: 08:00-18:00, Sun: 07:00-15:00  (GMT+0)"/>
    <s v="Sun-Fri"/>
    <s v="Queue Got Merged in GC21"/>
    <s v="English"/>
    <e v="#N/A"/>
  </r>
  <r>
    <x v="74"/>
    <x v="74"/>
    <s v="D'Arcy, Mark"/>
    <s v="Networking"/>
    <s v="Networking"/>
    <s v="Y"/>
    <s v="Front Line"/>
    <s v="EMEA"/>
    <s v="UKI"/>
    <n v="0.61699999999999999"/>
    <n v="3.8967379973253502E-2"/>
    <m/>
    <s v="10/5"/>
    <s v="L1"/>
    <x v="74"/>
    <s v="Komal Chhabra - Dell Team"/>
    <s v="Bethany Rana"/>
    <n v="7"/>
    <m/>
    <s v="ESG"/>
    <m/>
    <x v="0"/>
    <n v="0"/>
    <m/>
    <s v="08:00-17:30 (GMT+0)"/>
    <s v="Mon-Fri"/>
    <m/>
    <s v="English"/>
    <e v="#N/A"/>
  </r>
  <r>
    <x v="75"/>
    <x v="75"/>
    <s v="D'Arcy, Mark"/>
    <s v="Server"/>
    <s v="Server"/>
    <s v="Y"/>
    <s v="Front Line"/>
    <s v="EMEA"/>
    <s v="UKI"/>
    <n v="0.61699999999999999"/>
    <n v="1.7187500000000001E-2"/>
    <m/>
    <s v="12/5"/>
    <s v="L1"/>
    <x v="75"/>
    <s v="Vikesh Gupta - Dellteam"/>
    <s v="Bethany Rana"/>
    <n v="8"/>
    <m/>
    <s v="ESG"/>
    <n v="13"/>
    <x v="0"/>
    <n v="0"/>
    <s v="Global Compute English"/>
    <s v="24*7"/>
    <s v="Sat- Fri"/>
    <s v="Queue Got Merged in GC21"/>
    <s v="English"/>
    <e v="#N/A"/>
  </r>
  <r>
    <x v="76"/>
    <x v="76"/>
    <s v="D'Arcy, Mark"/>
    <s v="Server"/>
    <s v="Server"/>
    <s v="Y"/>
    <s v="Front Line"/>
    <s v="EMEA"/>
    <s v="SER"/>
    <n v="0.61699999999999999"/>
    <n v="3.8967379973253502E-2"/>
    <m/>
    <s v="9/5"/>
    <s v="L1"/>
    <x v="76"/>
    <s v="Komal Chhabra - Dell Team"/>
    <s v="Bethany Rana"/>
    <n v="4"/>
    <m/>
    <s v="ESG"/>
    <m/>
    <x v="0"/>
    <n v="0"/>
    <m/>
    <s v="09:00-18:00 (GMT+1)"/>
    <s v="Mon-Fri"/>
    <m/>
    <s v="Italian"/>
    <e v="#N/A"/>
  </r>
  <r>
    <x v="77"/>
    <x v="77"/>
    <s v="D'Arcy, Mark"/>
    <s v="Server"/>
    <s v="Server"/>
    <s v="Y"/>
    <s v="Front Line"/>
    <s v="EMEA"/>
    <s v="SER"/>
    <n v="0.61699999999999999"/>
    <n v="3.8967379973253502E-2"/>
    <m/>
    <s v="9/5"/>
    <s v="L1"/>
    <x v="77"/>
    <s v="Komal Chhabra - Dell Team"/>
    <s v="Bethany Rana"/>
    <n v="4"/>
    <m/>
    <s v="ESG"/>
    <m/>
    <x v="0"/>
    <n v="0"/>
    <m/>
    <s v="09:00-18:00 (GMT+1)"/>
    <s v="Mon-Fri"/>
    <m/>
    <s v="Italian"/>
    <e v="#N/A"/>
  </r>
  <r>
    <x v="78"/>
    <x v="78"/>
    <s v="D'Arcy, Mark"/>
    <s v="Solutions"/>
    <s v="All"/>
    <s v="Y"/>
    <s v="Front Line"/>
    <s v="EMEA"/>
    <s v="UKI"/>
    <n v="0.61699999999999999"/>
    <n v="3.8967379973253502E-2"/>
    <m/>
    <s v="10/5"/>
    <s v="L1"/>
    <x v="78"/>
    <s v="Komal Chhabra - Dell Team"/>
    <s v="Bethany Rana"/>
    <n v="7"/>
    <m/>
    <s v="ESG"/>
    <n v="13"/>
    <x v="0"/>
    <n v="0"/>
    <s v="EMEA Solutions MS FL"/>
    <s v="08:00-18:00 (GMT+1)"/>
    <s v="Mon-Fri"/>
    <s v="Queue Got Merged in GS04"/>
    <s v="Multiple Languages"/>
    <e v="#N/A"/>
  </r>
  <r>
    <x v="79"/>
    <x v="79"/>
    <s v="D'Arcy, Mark"/>
    <s v="Solutions"/>
    <s v="All"/>
    <s v="Y"/>
    <s v="Front Line"/>
    <s v="EMEA"/>
    <s v="UKI"/>
    <n v="0.61699999999999999"/>
    <n v="3.8967379973253502E-2"/>
    <m/>
    <s v="10/5"/>
    <s v="L1"/>
    <x v="79"/>
    <s v="Komal Chhabra - Dell Team"/>
    <s v="Bethany Rana"/>
    <n v="7"/>
    <m/>
    <s v="ESG"/>
    <n v="13"/>
    <x v="0"/>
    <n v="0"/>
    <s v="EMEA Solutions HCI FL"/>
    <s v="08:00-18:00 (GMT+1)"/>
    <s v="Mon-Fri"/>
    <s v="Queue Got Merged in GS03"/>
    <s v="Multiple Languages"/>
    <e v="#N/A"/>
  </r>
  <r>
    <x v="80"/>
    <x v="80"/>
    <s v="D'Arcy, Mark"/>
    <s v="Solutions"/>
    <s v="All"/>
    <s v="Y"/>
    <s v="Front Line"/>
    <s v="EMEA"/>
    <s v="SER"/>
    <n v="0.61699999999999999"/>
    <n v="3.8967379973253502E-2"/>
    <m/>
    <s v="10/5"/>
    <s v="L1"/>
    <x v="80"/>
    <s v="Komal Chhabra - Dell Team"/>
    <s v="Bethany Rana"/>
    <n v="7"/>
    <m/>
    <s v="ESG"/>
    <n v="13"/>
    <x v="0"/>
    <n v="0"/>
    <s v="EMEA Solutions MS FL"/>
    <s v="07:00-17:00 (GMT+0)"/>
    <s v="Mon-Fri"/>
    <s v="Queue Got Merged in GS04"/>
    <s v="Multiple Languages"/>
    <e v="#N/A"/>
  </r>
  <r>
    <x v="81"/>
    <x v="81"/>
    <s v="D'Arcy, Mark"/>
    <s v="Solutions"/>
    <s v="All"/>
    <s v="Y"/>
    <s v="Front Line"/>
    <s v="EMEA"/>
    <s v="SER"/>
    <n v="0.61699999999999999"/>
    <n v="3.8967379973253502E-2"/>
    <m/>
    <s v="10/5"/>
    <s v="L1"/>
    <x v="81"/>
    <s v="Komal Chhabra - Dell Team"/>
    <s v="Bethany Rana"/>
    <n v="7"/>
    <m/>
    <s v="ESG"/>
    <n v="13"/>
    <x v="0"/>
    <n v="0"/>
    <s v="EMEA Solutions HCI FL"/>
    <s v="07:00-17:00 (GMT+0)"/>
    <s v="Mon-Fri"/>
    <s v="Queue Got Merged in GS03"/>
    <s v="Multiple Languages"/>
    <e v="#N/A"/>
  </r>
  <r>
    <x v="82"/>
    <x v="82"/>
    <s v="D'Arcy, Mark"/>
    <s v="Solutions"/>
    <s v="All"/>
    <s v="Y"/>
    <s v="Front Line"/>
    <s v="EMEA"/>
    <s v="CER"/>
    <n v="0.61699999999999999"/>
    <n v="3.8967379973253502E-2"/>
    <m/>
    <s v="10/5"/>
    <s v="L1"/>
    <x v="82"/>
    <s v="Komal Chhabra - Dell Team"/>
    <s v="Bethany Rana"/>
    <n v="7"/>
    <m/>
    <s v="ESG"/>
    <n v="13"/>
    <x v="0"/>
    <n v="0"/>
    <s v="EMEA Solutions MS FL"/>
    <s v="07:00-17:00 (GMT+0)"/>
    <s v="Mon-Fri"/>
    <s v="Queue Got Merged in GS04"/>
    <s v="Multiple Languages"/>
    <e v="#N/A"/>
  </r>
  <r>
    <x v="83"/>
    <x v="83"/>
    <s v="D'Arcy, Mark"/>
    <s v="Solutions"/>
    <s v="All"/>
    <s v="Y"/>
    <s v="Front Line"/>
    <s v="EMEA"/>
    <s v="CER"/>
    <n v="0.61699999999999999"/>
    <n v="3.8967379973253502E-2"/>
    <m/>
    <s v="10/5"/>
    <s v="L1"/>
    <x v="83"/>
    <s v="Komal Chhabra - Dell Team"/>
    <s v="Bethany Rana"/>
    <n v="7"/>
    <m/>
    <s v="ESG"/>
    <n v="13"/>
    <x v="0"/>
    <n v="0"/>
    <s v="EMEA Solutions HCI FL"/>
    <s v="07:00-17:00 (GMT+0)"/>
    <s v="Mon-Fri"/>
    <s v="Queue Got Merged in GS03"/>
    <s v="Multiple Languages"/>
    <e v="#N/A"/>
  </r>
  <r>
    <x v="84"/>
    <x v="84"/>
    <s v="D'Arcy, Mark"/>
    <s v="Server"/>
    <s v="Server"/>
    <s v="Y"/>
    <s v="Front Line"/>
    <s v="NAMER"/>
    <s v="United States"/>
    <n v="0.64800000000000002"/>
    <n v="2.0441445869264104E-2"/>
    <m/>
    <m/>
    <s v="L1"/>
    <x v="84"/>
    <s v="Prachi Gupta - Dellteam"/>
    <s v="Bethany Rana"/>
    <n v="24"/>
    <m/>
    <s v="ESG"/>
    <n v="13"/>
    <x v="0"/>
    <n v="0"/>
    <s v="Global Compute English"/>
    <m/>
    <m/>
    <s v="Queue Got Merged in GC21"/>
    <s v="English"/>
    <e v="#N/A"/>
  </r>
  <r>
    <x v="85"/>
    <x v="85"/>
    <s v="D'Arcy, Mark"/>
    <s v="Server"/>
    <s v="Server"/>
    <s v="Y"/>
    <s v="Front Line"/>
    <s v="NAMER"/>
    <s v="United States"/>
    <n v="0.64800000000000002"/>
    <n v="1.4175257731958763E-2"/>
    <m/>
    <s v="12/5"/>
    <s v="L1"/>
    <x v="85"/>
    <s v="Prachi Gupta - Dellteam"/>
    <s v="Bethany Rana"/>
    <n v="8"/>
    <m/>
    <s v="ESG"/>
    <n v="13"/>
    <x v="0"/>
    <n v="0"/>
    <s v="Global Compute English"/>
    <s v="06:00-21:00 CST"/>
    <s v="Sat-Fri"/>
    <s v="Queue Got Merged in GC21"/>
    <s v="English"/>
    <e v="#N/A"/>
  </r>
  <r>
    <x v="86"/>
    <x v="86"/>
    <s v="D'Arcy, Mark"/>
    <s v="Server"/>
    <s v="Server"/>
    <s v="Y"/>
    <s v="Front Line"/>
    <s v="NAMER"/>
    <s v="United States"/>
    <n v="0.64800000000000002"/>
    <n v="2.0441445869264104E-2"/>
    <m/>
    <s v="12/5"/>
    <s v="L1"/>
    <x v="86"/>
    <s v="Prachi Gupta - Dellteam"/>
    <s v="Bethany Rana"/>
    <n v="8"/>
    <m/>
    <s v="ESG"/>
    <n v="13"/>
    <x v="0"/>
    <n v="0"/>
    <s v="Global Compute English"/>
    <s v="21:00-06:00 CST"/>
    <s v="Sat-Fri"/>
    <s v="Queue Got Merged in GC21"/>
    <s v="English"/>
    <e v="#N/A"/>
  </r>
  <r>
    <x v="87"/>
    <x v="87"/>
    <s v="D'Arcy, Mark"/>
    <s v="Networking"/>
    <s v="Networking"/>
    <s v="Y"/>
    <s v="Front Line"/>
    <s v="NAMER"/>
    <s v="United States"/>
    <n v="0.64800000000000002"/>
    <n v="2.0441445869264104E-2"/>
    <m/>
    <s v="12/5"/>
    <s v="L1"/>
    <x v="87"/>
    <s v="Prachi Gupta - Dellteam"/>
    <s v="Bethany Rana"/>
    <n v="8"/>
    <m/>
    <s v="ESG"/>
    <m/>
    <x v="0"/>
    <n v="0"/>
    <m/>
    <s v="06:00-21:00 CST"/>
    <s v="Sat-Fri"/>
    <m/>
    <s v="English"/>
    <e v="#N/A"/>
  </r>
  <r>
    <x v="88"/>
    <x v="88"/>
    <s v="D'Arcy, Mark"/>
    <s v="Server"/>
    <s v="Server"/>
    <s v="Y"/>
    <s v="Front Line"/>
    <s v="NAMER"/>
    <s v="United States"/>
    <n v="0.64800000000000002"/>
    <n v="1.7441860465116279E-2"/>
    <m/>
    <s v="12/5"/>
    <s v="L1"/>
    <x v="88"/>
    <s v="Prachi Gupta - Dellteam"/>
    <s v="Bethany Rana"/>
    <n v="8"/>
    <m/>
    <s v="ESG"/>
    <m/>
    <x v="0"/>
    <n v="0"/>
    <m/>
    <s v="06:00-21:00 CST"/>
    <s v="Sat-Fri"/>
    <m/>
    <s v="English"/>
    <e v="#N/A"/>
  </r>
  <r>
    <x v="89"/>
    <x v="89"/>
    <s v="D'Arcy, Mark"/>
    <s v="Server"/>
    <s v="Server"/>
    <s v="Y"/>
    <s v="Front Line"/>
    <s v="NAMER"/>
    <s v="United States"/>
    <n v="0.64800000000000002"/>
    <n v="2.0441445869264104E-2"/>
    <m/>
    <m/>
    <s v="L1"/>
    <x v="89"/>
    <s v="Prachi Gupta - Dellteam"/>
    <s v="Bethany Rana"/>
    <n v="24"/>
    <m/>
    <s v="ESG"/>
    <n v="13"/>
    <x v="0"/>
    <n v="0"/>
    <s v="Global Compute English"/>
    <s v="06:00-21:00 CST"/>
    <s v="Sat-Fri"/>
    <s v="Queue Got Merged in GC21"/>
    <s v="English"/>
    <e v="#N/A"/>
  </r>
  <r>
    <x v="90"/>
    <x v="90"/>
    <s v="D'Arcy, Mark"/>
    <s v="Server"/>
    <s v="Server"/>
    <s v="Y"/>
    <s v="Front Line"/>
    <s v="Global"/>
    <m/>
    <n v="0.63300000000000001"/>
    <n v="1.8670169726832081E-2"/>
    <m/>
    <m/>
    <s v="L1"/>
    <x v="90"/>
    <s v="Prachi Gupta - Dellteam"/>
    <s v="Bethany Rana"/>
    <n v="24"/>
    <m/>
    <s v="ESG"/>
    <n v="13"/>
    <x v="0"/>
    <n v="0"/>
    <s v="Global Compute English"/>
    <s v="24*7"/>
    <s v="Sat- Fri"/>
    <s v="Queue Got Merged in GC21"/>
    <s v="English"/>
    <e v="#N/A"/>
  </r>
  <r>
    <x v="91"/>
    <x v="91"/>
    <s v="D'Arcy, Mark"/>
    <s v="Server"/>
    <s v="Server"/>
    <s v="Y"/>
    <s v="Front Line"/>
    <s v="APJ"/>
    <s v="South Asia"/>
    <n v="0.629"/>
    <n v="2.278539874447803E-2"/>
    <m/>
    <s v="12/5"/>
    <s v="L1"/>
    <x v="91"/>
    <s v="Taini Liang - Dellteam"/>
    <s v="Bethany Rana"/>
    <n v="8"/>
    <m/>
    <s v="ESG"/>
    <n v="13"/>
    <x v="0"/>
    <n v="0"/>
    <s v="Global Compute English"/>
    <s v="24*7"/>
    <s v="Sat- Fri"/>
    <s v="Queue Got Merged in GC21"/>
    <s v="English"/>
    <e v="#N/A"/>
  </r>
  <r>
    <x v="92"/>
    <x v="92"/>
    <s v="Yap, Diane"/>
    <s v="Networking"/>
    <s v="Networking"/>
    <s v="Y"/>
    <s v="Front Line"/>
    <s v="APJ"/>
    <s v="Australia"/>
    <n v="0.629"/>
    <n v="2.278539874447803E-2"/>
    <m/>
    <s v="12/5"/>
    <s v="L1"/>
    <x v="92"/>
    <s v="Taini Liang - Dellteam"/>
    <s v="Chen Zhou"/>
    <n v="8"/>
    <m/>
    <s v="ESG"/>
    <n v="13"/>
    <x v="0"/>
    <n v="0"/>
    <m/>
    <s v="07:00-19:00 (GMT+10)"/>
    <s v="Mon-Fri"/>
    <m/>
    <s v="English"/>
    <e v="#N/A"/>
  </r>
  <r>
    <x v="93"/>
    <x v="93"/>
    <s v="Yap, Diane"/>
    <s v="Server"/>
    <s v="Server"/>
    <s v="Y"/>
    <s v="Front Line"/>
    <s v="APJ"/>
    <s v="Australia"/>
    <n v="0.629"/>
    <n v="1.676829268292683E-2"/>
    <m/>
    <s v="12/5"/>
    <s v="L1"/>
    <x v="93"/>
    <s v="Taini Liang - Dellteam"/>
    <s v="Chen Zhou"/>
    <n v="8"/>
    <m/>
    <s v="ESG"/>
    <n v="13"/>
    <x v="0"/>
    <n v="0"/>
    <s v="Global Compute English"/>
    <s v="08:00-18:00 (GMT +10)"/>
    <s v="Mon-Fri"/>
    <s v="Queue Got Merged in GC21"/>
    <s v="English"/>
    <e v="#N/A"/>
  </r>
  <r>
    <x v="94"/>
    <x v="94"/>
    <s v="Yap, Diane"/>
    <s v="Server"/>
    <s v="Server"/>
    <s v="Y"/>
    <s v="Front Line"/>
    <s v="APJ"/>
    <s v="India"/>
    <n v="0.629"/>
    <n v="2.278539874447803E-2"/>
    <m/>
    <s v="12/5"/>
    <s v="L1"/>
    <x v="94"/>
    <s v="Taini Liang - Dellteam"/>
    <s v="Chen Zhou"/>
    <n v="8"/>
    <m/>
    <s v="ESG"/>
    <n v="13"/>
    <x v="0"/>
    <n v="0"/>
    <s v="Global Compute English"/>
    <s v="24*7"/>
    <s v="Sat- Fri"/>
    <s v="Queue Got Merged in GC21"/>
    <s v="English"/>
    <e v="#N/A"/>
  </r>
  <r>
    <x v="95"/>
    <x v="95"/>
    <s v="No Assigned L6"/>
    <s v="Networking"/>
    <s v="Networking"/>
    <s v="Y"/>
    <s v="Front Line"/>
    <s v="APJ"/>
    <s v="China"/>
    <n v="0.629"/>
    <n v="2.278539874447803E-2"/>
    <m/>
    <s v="12/5"/>
    <s v="L1"/>
    <x v="95"/>
    <s v="Taini Liang - Dellteam"/>
    <s v="Chen Zhou"/>
    <n v="8"/>
    <m/>
    <s v="ESG"/>
    <m/>
    <x v="0"/>
    <n v="0"/>
    <m/>
    <s v="24*7"/>
    <s v="Sat- Fri"/>
    <m/>
    <s v="Mandarin"/>
    <e v="#N/A"/>
  </r>
  <r>
    <x v="96"/>
    <x v="96"/>
    <s v="No Assigned L6"/>
    <s v="Storage"/>
    <s v="Storage"/>
    <s v="Y"/>
    <s v="Front Line"/>
    <s v="APJ"/>
    <s v="China"/>
    <n v="0.629"/>
    <n v="2.278539874447803E-2"/>
    <m/>
    <s v="12/5"/>
    <s v="L1"/>
    <x v="96"/>
    <s v="Taini Liang - Dellteam"/>
    <s v="Chen Zhou"/>
    <n v="8"/>
    <m/>
    <s v="ESG"/>
    <m/>
    <x v="0"/>
    <n v="0"/>
    <m/>
    <s v="24*7"/>
    <s v="Sat- Fri"/>
    <m/>
    <s v="Mandarin"/>
    <e v="#N/A"/>
  </r>
  <r>
    <x v="97"/>
    <x v="97"/>
    <s v="No Assigned L6"/>
    <s v="Server"/>
    <s v="Server"/>
    <s v="Y"/>
    <s v="Front Line"/>
    <s v="APJ"/>
    <s v="China"/>
    <n v="0.629"/>
    <n v="2.278539874447803E-2"/>
    <m/>
    <s v="12/5"/>
    <s v="L1"/>
    <x v="97"/>
    <s v="Taini Liang - Dellteam"/>
    <s v="Chen Zhou"/>
    <n v="8"/>
    <m/>
    <s v="ESG"/>
    <m/>
    <x v="0"/>
    <n v="0"/>
    <m/>
    <s v="24*7"/>
    <s v="Sat- Fri"/>
    <m/>
    <s v="Mandarin"/>
    <e v="#N/A"/>
  </r>
  <r>
    <x v="98"/>
    <x v="98"/>
    <s v="No Assigned L6"/>
    <s v="Storage"/>
    <s v="Storage"/>
    <s v="Y"/>
    <s v="Front Line"/>
    <s v="APJ"/>
    <s v="China"/>
    <n v="0.629"/>
    <n v="2.278539874447803E-2"/>
    <m/>
    <s v="12/5"/>
    <s v="L1"/>
    <x v="98"/>
    <s v="Taini Liang - Dellteam"/>
    <s v="Chen Zhou"/>
    <n v="8"/>
    <m/>
    <s v="ESG"/>
    <m/>
    <x v="0"/>
    <n v="0"/>
    <m/>
    <s v="Email: 24*7, Chat: Mon-Fri 8:30-17:30 (GMT+8)"/>
    <s v="Sat- Fri"/>
    <m/>
    <s v="Mandarin"/>
    <e v="#N/A"/>
  </r>
  <r>
    <x v="99"/>
    <x v="99"/>
    <s v="No Assigned L6"/>
    <s v="CTE"/>
    <s v="CTE"/>
    <s v="Y"/>
    <s v="Backline"/>
    <s v="Global"/>
    <s v="Global"/>
    <n v="0.63300000000000001"/>
    <m/>
    <m/>
    <s v="12/7"/>
    <s v="CTE"/>
    <x v="99"/>
    <s v="Zhuo Chen"/>
    <s v="Chen Zhou"/>
    <n v="14"/>
    <m/>
    <s v="ESG"/>
    <m/>
    <x v="0"/>
    <n v="0"/>
    <m/>
    <s v="Queue no longer exists eff Oct'24"/>
    <n v="0"/>
    <m/>
    <s v="Mandarin"/>
    <e v="#N/A"/>
  </r>
  <r>
    <x v="100"/>
    <x v="100"/>
    <s v="Johnson, Meghan"/>
    <s v="CTE"/>
    <s v="CTE"/>
    <s v="Y"/>
    <s v="Backline"/>
    <s v="Global"/>
    <s v="Global"/>
    <n v="0.63300000000000001"/>
    <m/>
    <m/>
    <s v="12/7"/>
    <s v="CTE"/>
    <x v="100"/>
    <s v="Zhuo Chen"/>
    <s v="Chen Zhou"/>
    <n v="14"/>
    <m/>
    <s v="ESG"/>
    <m/>
    <x v="0"/>
    <n v="12"/>
    <m/>
    <s v="Queue no longer exists"/>
    <s v="-"/>
    <m/>
    <s v="Japanese"/>
    <e v="#N/A"/>
  </r>
  <r>
    <x v="101"/>
    <x v="101"/>
    <s v="No Assigned L6"/>
    <s v="CTE"/>
    <s v="CTE"/>
    <s v="Y"/>
    <s v="Backline"/>
    <s v="Global"/>
    <s v="Global"/>
    <n v="0.63300000000000001"/>
    <m/>
    <m/>
    <s v="10/5"/>
    <s v="CTE"/>
    <x v="101"/>
    <s v="Taini Liang - Dellteam"/>
    <s v="Chen Zhou"/>
    <n v="7"/>
    <m/>
    <s v="ESG"/>
    <m/>
    <x v="0"/>
    <n v="0"/>
    <m/>
    <s v="09:00-18:00 MYT (excluding Public Holidays)"/>
    <s v="Mon-Fri"/>
    <m/>
    <s v="Multiple Languages"/>
    <e v="#N/A"/>
  </r>
  <r>
    <x v="102"/>
    <x v="102"/>
    <s v="No Assigned L6"/>
    <s v="CTE"/>
    <s v="CTE"/>
    <s v="Y"/>
    <s v="Backline"/>
    <s v="APJ"/>
    <s v="India"/>
    <n v="0.629"/>
    <m/>
    <m/>
    <s v="12/7"/>
    <s v="CTE"/>
    <x v="102"/>
    <s v="Zhuo Chen"/>
    <s v="Chen Zhou"/>
    <n v="14"/>
    <m/>
    <s v="ESG"/>
    <m/>
    <x v="0"/>
    <n v="0"/>
    <m/>
    <s v="09:00-21:00 IST"/>
    <s v="Mon-Fri"/>
    <m/>
    <s v="English"/>
    <e v="#N/A"/>
  </r>
  <r>
    <x v="103"/>
    <x v="103"/>
    <s v="No Assigned L6"/>
    <s v="CTE"/>
    <s v="CTE"/>
    <s v="Y"/>
    <s v="Backline"/>
    <s v="APJ"/>
    <s v="India"/>
    <n v="0.629"/>
    <m/>
    <m/>
    <s v="12/7"/>
    <s v="CTE"/>
    <x v="103"/>
    <s v="Zhuo Chen"/>
    <s v="Chen Zhou"/>
    <n v="14"/>
    <m/>
    <s v="ESG"/>
    <m/>
    <x v="0"/>
    <n v="0"/>
    <m/>
    <s v="24*7 (they get aligned to the agent schedules)"/>
    <s v="Sat-Fri"/>
    <m/>
    <s v="English"/>
    <e v="#N/A"/>
  </r>
  <r>
    <x v="104"/>
    <x v="104"/>
    <s v="No Assigned L6"/>
    <s v="Server"/>
    <s v="CTE Pro"/>
    <s v="N"/>
    <s v="Backline"/>
    <s v="Asia"/>
    <s v="China"/>
    <m/>
    <m/>
    <m/>
    <m/>
    <s v="CTE"/>
    <x v="104"/>
    <s v="Taini Liang - Dellteam"/>
    <s v="Chen Zhou"/>
    <m/>
    <m/>
    <s v="ESG"/>
    <m/>
    <x v="0"/>
    <n v="0"/>
    <m/>
    <s v="Queue no longer exists eff Oct'24"/>
    <s v="-"/>
    <m/>
    <s v="Mandarin"/>
    <e v="#N/A"/>
  </r>
  <r>
    <x v="105"/>
    <x v="105"/>
    <s v="No Assigned L6"/>
    <s v="Storage"/>
    <s v="CTE Pro"/>
    <s v="N"/>
    <s v="Backline"/>
    <s v="Asia"/>
    <s v="China"/>
    <m/>
    <m/>
    <m/>
    <m/>
    <s v="CTE"/>
    <x v="105"/>
    <s v="Taini Liang - Dellteam"/>
    <s v="Chen Zhou"/>
    <m/>
    <m/>
    <s v="ESG"/>
    <m/>
    <x v="0"/>
    <n v="0"/>
    <m/>
    <s v="Queue no longer exists eff Oct'24"/>
    <s v="-"/>
    <m/>
    <s v="Mandarin"/>
    <e v="#N/A"/>
  </r>
  <r>
    <x v="106"/>
    <x v="106"/>
    <s v="Yap, Diane"/>
    <s v="Server"/>
    <s v="CTE Pro"/>
    <s v="N"/>
    <s v="Backline"/>
    <s v="Asia"/>
    <s v="JP-KOR"/>
    <m/>
    <m/>
    <m/>
    <m/>
    <s v="CTE"/>
    <x v="106"/>
    <s v="Taini Liang - Dellteam"/>
    <s v="Chen Zhou"/>
    <m/>
    <m/>
    <s v="ESG"/>
    <m/>
    <x v="0"/>
    <n v="0"/>
    <m/>
    <s v="09:00 – 17:30 JST"/>
    <s v="Mon-Fri"/>
    <m/>
    <s v="Japanese"/>
    <e v="#N/A"/>
  </r>
  <r>
    <x v="107"/>
    <x v="107"/>
    <s v="Yap, Diane"/>
    <s v="Storage"/>
    <s v="CTE Pro"/>
    <s v="N"/>
    <s v="Backline"/>
    <s v="Asia"/>
    <s v="JP-KOR"/>
    <m/>
    <m/>
    <m/>
    <m/>
    <s v="CTE"/>
    <x v="107"/>
    <s v="Taini Liang - Dellteam"/>
    <s v="Chen Zhou"/>
    <m/>
    <m/>
    <s v="ESG"/>
    <m/>
    <x v="0"/>
    <n v="0"/>
    <m/>
    <s v="09:00 – 17:30 JST"/>
    <s v="Mon-Fri"/>
    <m/>
    <s v="Japanese"/>
    <e v="#N/A"/>
  </r>
  <r>
    <x v="108"/>
    <x v="108"/>
    <s v="No Assigned L6"/>
    <s v="Enterprise"/>
    <s v="CTE Pro"/>
    <s v="N"/>
    <s v="Backline"/>
    <s v="Asia"/>
    <s v="JP-KOR"/>
    <m/>
    <m/>
    <m/>
    <m/>
    <s v="CTE"/>
    <x v="108"/>
    <s v="Taini Liang - Dellteam"/>
    <s v="Chen Zhou"/>
    <m/>
    <m/>
    <s v="ESG"/>
    <m/>
    <x v="0"/>
    <n v="0"/>
    <m/>
    <s v="Information not available"/>
    <s v="-"/>
    <m/>
    <s v="Korean"/>
    <e v="#N/A"/>
  </r>
  <r>
    <x v="109"/>
    <x v="109"/>
    <s v="Yap, Diane"/>
    <s v="Server"/>
    <s v="Server"/>
    <s v="Y"/>
    <s v="Front Line"/>
    <s v="APJ"/>
    <s v="India"/>
    <n v="0.629"/>
    <n v="1.7647058823529412E-2"/>
    <m/>
    <s v="15/5"/>
    <s v="L1"/>
    <x v="109"/>
    <s v="Prachi Gupta - Dellteam"/>
    <s v="Chen Zhou"/>
    <n v="10"/>
    <m/>
    <s v="ESG"/>
    <m/>
    <x v="0"/>
    <n v="0"/>
    <m/>
    <s v="07:00-21:00 CST"/>
    <s v="Mon-Fri"/>
    <m/>
    <s v="English"/>
    <e v="#N/A"/>
  </r>
  <r>
    <x v="110"/>
    <x v="110"/>
    <s v="Yap, Diane"/>
    <s v="Networking"/>
    <s v="Networking"/>
    <s v="Y"/>
    <s v="Front Line"/>
    <s v="APJ"/>
    <s v="South Asia"/>
    <n v="0.629"/>
    <n v="2.278539874447803E-2"/>
    <m/>
    <s v="12/5"/>
    <s v="L1"/>
    <x v="110"/>
    <s v="Taini Liang - Dellteam"/>
    <s v="Chen Zhou"/>
    <n v="8"/>
    <m/>
    <s v="ESG"/>
    <n v="13"/>
    <x v="0"/>
    <n v="0"/>
    <m/>
    <s v="24*7"/>
    <s v="Sat- Fri"/>
    <m/>
    <s v="English"/>
    <e v="#N/A"/>
  </r>
  <r>
    <x v="111"/>
    <x v="111"/>
    <s v="Yap, Diane"/>
    <s v="Networking"/>
    <s v="Networking"/>
    <s v="Y"/>
    <s v="Front Line"/>
    <s v="APJ"/>
    <s v="India"/>
    <n v="0.629"/>
    <n v="2.278539874447803E-2"/>
    <m/>
    <s v="18/5"/>
    <s v="L1"/>
    <x v="111"/>
    <s v="Prachi Gupta - Dellteam"/>
    <s v="Chen Zhou"/>
    <n v="12"/>
    <m/>
    <s v="ESG"/>
    <m/>
    <x v="0"/>
    <n v="0"/>
    <m/>
    <s v="07:00-19:00 CST"/>
    <s v="Mon-Fri"/>
    <m/>
    <s v="English"/>
    <e v="#N/A"/>
  </r>
  <r>
    <x v="112"/>
    <x v="112"/>
    <s v="No Assigned L6"/>
    <s v="Server"/>
    <s v="Server"/>
    <s v="Y"/>
    <s v="Front Line"/>
    <s v="NAMER"/>
    <s v="United States"/>
    <n v="0.64800000000000002"/>
    <n v="2.0441445869264104E-2"/>
    <m/>
    <s v="12/5"/>
    <s v="L1"/>
    <x v="112"/>
    <s v="Prachi Gupta - Dellteam"/>
    <s v="Chen Zhou"/>
    <n v="8"/>
    <m/>
    <s v="ESG"/>
    <m/>
    <x v="0"/>
    <n v="0"/>
    <m/>
    <s v="-"/>
    <s v="-"/>
    <m/>
    <s v="English"/>
    <e v="#N/A"/>
  </r>
  <r>
    <x v="113"/>
    <x v="113"/>
    <s v="Yap, Diane"/>
    <s v="Server"/>
    <s v="Server"/>
    <s v="Y"/>
    <s v="Front Line"/>
    <s v="APJ"/>
    <s v="South Asia"/>
    <n v="0.629"/>
    <n v="2.278539874447803E-2"/>
    <m/>
    <s v="9/5"/>
    <s v="L1"/>
    <x v="113"/>
    <s v="Taini Liang - Dellteam"/>
    <s v="Chen Zhou"/>
    <n v="4"/>
    <m/>
    <s v="ESG"/>
    <n v="13"/>
    <x v="0"/>
    <n v="0"/>
    <m/>
    <s v="24*7"/>
    <s v="Sat- Fri"/>
    <s v="Validation Required"/>
    <s v="English"/>
    <e v="#N/A"/>
  </r>
  <r>
    <x v="114"/>
    <x v="114"/>
    <s v="No Assigned L6"/>
    <m/>
    <s v="Enterprise"/>
    <s v="Y"/>
    <s v="Front Line"/>
    <s v="APJ"/>
    <s v="Indonesia"/>
    <n v="0.629"/>
    <m/>
    <m/>
    <s v="12/7"/>
    <m/>
    <x v="114"/>
    <s v="Zhuo Chen"/>
    <s v="Chen Zhou"/>
    <n v="14"/>
    <m/>
    <s v="ESG"/>
    <m/>
    <x v="0"/>
    <n v="0"/>
    <m/>
    <e v="#N/A"/>
    <e v="#N/A"/>
    <m/>
    <s v="English"/>
    <e v="#N/A"/>
  </r>
  <r>
    <x v="115"/>
    <x v="115"/>
    <s v="No Assigned L6"/>
    <s v="Storage"/>
    <s v="Storage"/>
    <s v="Y"/>
    <s v="Front Line"/>
    <s v="LATAM"/>
    <s v="Brazil"/>
    <n v="0.57099999999999995"/>
    <n v="1.5604681404421327E-2"/>
    <m/>
    <s v="12/5"/>
    <s v="L1"/>
    <x v="115"/>
    <s v="Prachi Gupta - Dellteam"/>
    <s v="Darrick Nelsen"/>
    <n v="8"/>
    <m/>
    <s v="ESG"/>
    <m/>
    <x v="0"/>
    <n v="0"/>
    <m/>
    <s v="07:00-22:30 (Brasilia timezone)"/>
    <s v="Mon-Sun "/>
    <m/>
    <s v="Portuguese"/>
    <e v="#N/A"/>
  </r>
  <r>
    <x v="116"/>
    <x v="116"/>
    <s v="No Assigned L6"/>
    <s v="Server"/>
    <s v="Server"/>
    <s v="Y"/>
    <s v="Front Line"/>
    <s v="LATAM"/>
    <s v="Brazil"/>
    <n v="0.57099999999999995"/>
    <n v="1.5604681404421327E-2"/>
    <m/>
    <s v="12/5"/>
    <s v="L1"/>
    <x v="116"/>
    <s v="Prachi Gupta - Dellteam"/>
    <s v="Darrick Nelsen"/>
    <n v="8"/>
    <m/>
    <s v="ESG"/>
    <m/>
    <x v="0"/>
    <n v="0"/>
    <m/>
    <s v="08:00-22:30 (Brasilia timezone)"/>
    <s v="Mon-Fri "/>
    <m/>
    <s v="Portuguese"/>
    <e v="#N/A"/>
  </r>
  <r>
    <x v="117"/>
    <x v="117"/>
    <s v="No Assigned L6"/>
    <s v="Storage"/>
    <s v="Storage"/>
    <s v="Y"/>
    <s v="Front Line"/>
    <s v="LATAM"/>
    <s v="Brazil"/>
    <n v="0.57099999999999995"/>
    <n v="1.5604681404421327E-2"/>
    <m/>
    <s v="12/5"/>
    <s v="L1"/>
    <x v="117"/>
    <s v="Prachi Gupta - Dellteam"/>
    <s v="Darrick Nelsen"/>
    <n v="8"/>
    <m/>
    <s v="ESG"/>
    <m/>
    <x v="0"/>
    <n v="0"/>
    <m/>
    <s v="07:00-22:30 (Brasilia timezone)"/>
    <s v="Mon-Sun "/>
    <m/>
    <s v="Portuguese"/>
    <e v="#N/A"/>
  </r>
  <r>
    <x v="118"/>
    <x v="118"/>
    <s v="No Assigned L6"/>
    <s v="Server"/>
    <s v="Server"/>
    <s v="Y"/>
    <s v="Front Line"/>
    <s v="LATAM"/>
    <s v="Brazil"/>
    <n v="0.57099999999999995"/>
    <n v="1.5604681404421327E-2"/>
    <m/>
    <s v="12/5"/>
    <s v="L1"/>
    <x v="118"/>
    <s v="Prachi Gupta - Dellteam"/>
    <s v="Darrick Nelsen"/>
    <n v="8"/>
    <m/>
    <s v="ESG"/>
    <m/>
    <x v="0"/>
    <n v="0"/>
    <m/>
    <s v="07:00-22:30 (Brasilia timezone)"/>
    <s v="Mon-Sun "/>
    <m/>
    <s v="Portuguese"/>
    <e v="#N/A"/>
  </r>
  <r>
    <x v="119"/>
    <x v="119"/>
    <s v="No Assigned L6"/>
    <s v="CTE"/>
    <s v="CTE"/>
    <s v="Y"/>
    <s v="Backline"/>
    <s v="LATAM"/>
    <s v="Brazil"/>
    <n v="0.57099999999999995"/>
    <m/>
    <m/>
    <s v="12/6"/>
    <s v="CTE"/>
    <x v="119"/>
    <s v="Prachi Gupta - Dellteam"/>
    <s v="Darrick Nelsen"/>
    <n v="10"/>
    <m/>
    <s v="ESG"/>
    <m/>
    <x v="0"/>
    <n v="0"/>
    <m/>
    <s v="Information not available"/>
    <s v="-"/>
    <m/>
    <s v="Portuguese"/>
    <e v="#N/A"/>
  </r>
  <r>
    <x v="120"/>
    <x v="120"/>
    <s v="No Assigned L6"/>
    <s v="Storage"/>
    <s v="Storage"/>
    <s v="Y"/>
    <s v="Front Line"/>
    <s v="LATAM"/>
    <s v="ROLA"/>
    <n v="0.626"/>
    <n v="1.5604681404421327E-2"/>
    <m/>
    <s v="12/5"/>
    <s v="L1"/>
    <x v="120"/>
    <s v="Prachi Gupta - Dellteam"/>
    <s v="Darrick Nelsen"/>
    <n v="8"/>
    <m/>
    <s v="ESG"/>
    <m/>
    <x v="0"/>
    <n v="0"/>
    <m/>
    <s v="07:00-23:00 (Bogota timezone)"/>
    <s v="Sat-Fri"/>
    <m/>
    <s v="English/Spanish"/>
    <e v="#N/A"/>
  </r>
  <r>
    <x v="121"/>
    <x v="121"/>
    <s v="No Assigned L6"/>
    <s v="CTE"/>
    <s v="CTE"/>
    <s v="Y"/>
    <s v="Backline"/>
    <s v="LATAM"/>
    <s v="ROLA"/>
    <n v="0.626"/>
    <m/>
    <m/>
    <s v="12/6"/>
    <s v="CTE"/>
    <x v="121"/>
    <s v="Prachi Gupta - Dellteam"/>
    <s v="Darrick Nelsen"/>
    <n v="10"/>
    <m/>
    <s v="ESG"/>
    <m/>
    <x v="0"/>
    <n v="0"/>
    <m/>
    <s v="Information not available"/>
    <s v="-"/>
    <m/>
    <s v="Spanish"/>
    <e v="#N/A"/>
  </r>
  <r>
    <x v="122"/>
    <x v="122"/>
    <s v="No Assigned L6"/>
    <s v="CTE"/>
    <s v="CTE"/>
    <s v="Y"/>
    <s v="Backline"/>
    <s v="EMEA"/>
    <s v="SER"/>
    <n v="0.61699999999999999"/>
    <m/>
    <m/>
    <s v="11/5"/>
    <s v="CTE"/>
    <x v="122"/>
    <s v="Vikesh Gupta - Dellteam"/>
    <s v="Douglas Lumb"/>
    <n v="8"/>
    <m/>
    <s v="ESG"/>
    <m/>
    <x v="0"/>
    <n v="0"/>
    <m/>
    <s v="08:00-19:00 (GMT+1)"/>
    <s v="Mon-Fri"/>
    <m/>
    <s v="Multiple Languages"/>
    <e v="#N/A"/>
  </r>
  <r>
    <x v="123"/>
    <x v="123"/>
    <s v="No Assigned L6"/>
    <s v="CTE"/>
    <s v="CTE"/>
    <s v="Y"/>
    <s v="Backline"/>
    <s v="EMEA"/>
    <s v="SER"/>
    <n v="0.61699999999999999"/>
    <m/>
    <m/>
    <s v="11/5"/>
    <s v="CTE"/>
    <x v="123"/>
    <s v="Vikesh Gupta - Dellteam"/>
    <s v="Douglas Lumb"/>
    <n v="8"/>
    <m/>
    <s v="ESG"/>
    <m/>
    <x v="0"/>
    <n v="0"/>
    <m/>
    <s v="08:00-19:00 (GMT+1)"/>
    <s v="Mon-Fri"/>
    <m/>
    <s v="Multiple Languages"/>
    <e v="#N/A"/>
  </r>
  <r>
    <x v="124"/>
    <x v="124"/>
    <s v="No Assigned L6"/>
    <s v="CTE"/>
    <s v="CTE"/>
    <s v="Y"/>
    <s v="Backline"/>
    <s v="NAMER"/>
    <s v="United States"/>
    <n v="0.64800000000000002"/>
    <m/>
    <m/>
    <s v="12/5"/>
    <s v="CTE"/>
    <x v="124"/>
    <s v="Prachi Gupta - Dellteam"/>
    <s v="Douglas Lumb"/>
    <n v="8"/>
    <m/>
    <s v="ESG"/>
    <m/>
    <x v="0"/>
    <n v="0"/>
    <m/>
    <e v="#N/A"/>
    <e v="#N/A"/>
    <m/>
    <s v="English"/>
    <e v="#N/A"/>
  </r>
  <r>
    <x v="125"/>
    <x v="125"/>
    <s v="No Assigned L6"/>
    <s v="Server"/>
    <s v="Server"/>
    <s v="Y"/>
    <s v="Front Line"/>
    <s v="EMEA"/>
    <s v="CER"/>
    <n v="0.61699999999999999"/>
    <n v="3.8967379973253502E-2"/>
    <m/>
    <s v="10/5"/>
    <s v="L1"/>
    <x v="125"/>
    <s v="Komal Chhabra - Dell Team"/>
    <s v="Douglas Lumb"/>
    <n v="7"/>
    <m/>
    <s v="ESG"/>
    <m/>
    <x v="0"/>
    <n v="0"/>
    <m/>
    <s v="0800-16:30  (GMT+1)"/>
    <s v="Mon-Fri"/>
    <m/>
    <s v="Russian"/>
    <e v="#N/A"/>
  </r>
  <r>
    <x v="126"/>
    <x v="126"/>
    <s v="No Assigned L6"/>
    <s v="Server"/>
    <s v="Server"/>
    <s v="Y"/>
    <s v="Front Line"/>
    <s v="EMEA"/>
    <s v="CER"/>
    <n v="0.61699999999999999"/>
    <n v="3.8967379973253502E-2"/>
    <m/>
    <s v="12/5"/>
    <s v="L1"/>
    <x v="126"/>
    <s v="Vikesh Gupta - Dellteam"/>
    <s v="Douglas Lumb"/>
    <n v="8"/>
    <m/>
    <s v="ESG"/>
    <m/>
    <x v="0"/>
    <n v="0"/>
    <m/>
    <s v="08:00-17:30 (GMT+1)"/>
    <s v="Mon-Fri"/>
    <m/>
    <s v="Multiple Languages"/>
    <e v="#N/A"/>
  </r>
  <r>
    <x v="127"/>
    <x v="127"/>
    <s v="No Assigned L6"/>
    <s v="Server"/>
    <s v="Server"/>
    <s v="Y"/>
    <s v="Front Line"/>
    <s v="EMEA"/>
    <s v="SER"/>
    <n v="0.61699999999999999"/>
    <n v="3.8967379973253502E-2"/>
    <m/>
    <s v="10/5"/>
    <s v="L1"/>
    <x v="127"/>
    <s v="Vikesh Gupta - Dellteam"/>
    <s v="Douglas Lumb"/>
    <n v="7"/>
    <m/>
    <s v="ESG"/>
    <m/>
    <x v="0"/>
    <n v="0"/>
    <m/>
    <s v="08:00-18:00 (GMT+1)"/>
    <s v="Mon-Fri"/>
    <m/>
    <s v="French"/>
    <e v="#N/A"/>
  </r>
  <r>
    <x v="128"/>
    <x v="128"/>
    <s v="No Assigned L6"/>
    <s v="Server"/>
    <s v="Server"/>
    <s v="Y"/>
    <s v="Front Line"/>
    <s v="EMEA"/>
    <s v="SER"/>
    <n v="0.61699999999999999"/>
    <n v="3.8967379973253502E-2"/>
    <m/>
    <s v="10/5"/>
    <s v="L1"/>
    <x v="128"/>
    <s v="Vikesh Gupta - Dellteam"/>
    <s v="Douglas Lumb"/>
    <n v="7"/>
    <m/>
    <s v="ESG"/>
    <m/>
    <x v="0"/>
    <n v="0"/>
    <m/>
    <s v="08:00-18:00 (GMT+1)"/>
    <s v="Mon-Fri"/>
    <m/>
    <s v="French"/>
    <e v="#N/A"/>
  </r>
  <r>
    <x v="129"/>
    <x v="129"/>
    <s v="No Assigned L6"/>
    <s v="Server"/>
    <s v="Server"/>
    <s v="Y"/>
    <s v="Front Line"/>
    <s v="EMEA"/>
    <s v="SER"/>
    <n v="0.61699999999999999"/>
    <n v="3.8967379973253502E-2"/>
    <m/>
    <s v="11/5"/>
    <s v="L1"/>
    <x v="129"/>
    <s v="Vikesh Gupta - Dellteam"/>
    <s v="Douglas Lumb"/>
    <n v="8"/>
    <m/>
    <s v="ESG"/>
    <m/>
    <x v="0"/>
    <n v="0"/>
    <m/>
    <s v="07:00-18:00 (GMT+0)"/>
    <s v="Mon-Fri"/>
    <m/>
    <s v="English"/>
    <e v="#N/A"/>
  </r>
  <r>
    <x v="130"/>
    <x v="130"/>
    <s v="No Assigned L6"/>
    <s v="Server"/>
    <s v="Server"/>
    <s v="Y"/>
    <s v="Front Line"/>
    <s v="NAMER"/>
    <s v="United States"/>
    <n v="0.64800000000000002"/>
    <n v="2.0441445869264104E-2"/>
    <m/>
    <s v="14/5"/>
    <s v="L1"/>
    <x v="130"/>
    <s v="Prachi Gupta - Dellteam"/>
    <s v="Douglas Lumb"/>
    <n v="10"/>
    <m/>
    <s v="ESG"/>
    <m/>
    <x v="0"/>
    <n v="0"/>
    <m/>
    <s v="-"/>
    <s v="-"/>
    <m/>
    <s v="English"/>
    <e v="#N/A"/>
  </r>
  <r>
    <x v="131"/>
    <x v="131"/>
    <s v="No Assigned L6"/>
    <s v="Server"/>
    <s v="Server"/>
    <s v="Y"/>
    <s v="Front Line"/>
    <s v="NAMER"/>
    <s v="United States"/>
    <n v="0.64800000000000002"/>
    <n v="2.0441445869264104E-2"/>
    <m/>
    <s v="12/5"/>
    <s v="L1"/>
    <x v="131"/>
    <s v="Prachi Gupta - Dellteam"/>
    <s v="Douglas Lumb"/>
    <n v="8"/>
    <m/>
    <s v="ESG"/>
    <m/>
    <x v="0"/>
    <n v="0"/>
    <m/>
    <e v="#N/A"/>
    <e v="#N/A"/>
    <m/>
    <s v="English"/>
    <e v="#N/A"/>
  </r>
  <r>
    <x v="132"/>
    <x v="132"/>
    <s v="No Assigned L6"/>
    <s v="Server"/>
    <s v="Server"/>
    <s v="Y"/>
    <s v="Front Line"/>
    <s v="NAMER"/>
    <s v="United States"/>
    <n v="0.64800000000000002"/>
    <n v="2.0441445869264104E-2"/>
    <m/>
    <s v="12/5"/>
    <s v="L1"/>
    <x v="132"/>
    <s v="Prachi Gupta - Dellteam"/>
    <s v="Douglas Lumb"/>
    <n v="8"/>
    <m/>
    <s v="ESG"/>
    <m/>
    <x v="0"/>
    <n v="0"/>
    <m/>
    <e v="#N/A"/>
    <e v="#N/A"/>
    <m/>
    <s v="English"/>
    <e v="#N/A"/>
  </r>
  <r>
    <x v="133"/>
    <x v="133"/>
    <s v="No Assigned L6"/>
    <s v="Server"/>
    <s v="Server"/>
    <s v="Y"/>
    <s v="Front Line"/>
    <s v="EMEA"/>
    <s v="SER"/>
    <n v="0.61699999999999999"/>
    <n v="3.8967379973253502E-2"/>
    <m/>
    <s v="8/5"/>
    <s v="L1"/>
    <x v="133"/>
    <s v="Komal Chhabra - Dell Team"/>
    <s v="Douglas Lumb"/>
    <n v="4"/>
    <m/>
    <s v="ESG"/>
    <m/>
    <x v="0"/>
    <n v="0"/>
    <m/>
    <s v="10:00-18:00 (GMT+1)"/>
    <s v="Mon-Fri"/>
    <m/>
    <s v="Portuguese"/>
    <e v="#N/A"/>
  </r>
  <r>
    <x v="134"/>
    <x v="134"/>
    <s v="No Assigned L6"/>
    <s v="Server"/>
    <s v="Server"/>
    <s v="Y"/>
    <s v="Front Line"/>
    <s v="EMEA"/>
    <s v="SER"/>
    <n v="0.61699999999999999"/>
    <n v="3.8967379973253502E-2"/>
    <m/>
    <s v="9/5"/>
    <s v="L1"/>
    <x v="134"/>
    <s v="Komal Chhabra - Dell Team"/>
    <s v="Douglas Lumb"/>
    <n v="4"/>
    <m/>
    <s v="ESG"/>
    <m/>
    <x v="0"/>
    <n v="0"/>
    <m/>
    <s v="09:00-18:00 (GMT+1)"/>
    <s v="Mon-Fri"/>
    <m/>
    <s v="Spanish"/>
    <e v="#N/A"/>
  </r>
  <r>
    <x v="135"/>
    <x v="135"/>
    <s v="No Assigned L6"/>
    <s v="Server"/>
    <s v="Server"/>
    <s v="Y"/>
    <s v="Front Line"/>
    <s v="EMEA"/>
    <s v="SER"/>
    <n v="0.61699999999999999"/>
    <n v="3.8967379973253502E-2"/>
    <m/>
    <s v="9/5"/>
    <s v="L1"/>
    <x v="135"/>
    <s v="Komal Chhabra - Dell Team"/>
    <s v="Douglas Lumb"/>
    <n v="4"/>
    <m/>
    <s v="ESG"/>
    <m/>
    <x v="0"/>
    <n v="0"/>
    <m/>
    <s v="09:00-18:00 (GMT+1)"/>
    <s v="Mon-Fri"/>
    <m/>
    <s v="Spanish"/>
    <e v="#N/A"/>
  </r>
  <r>
    <x v="136"/>
    <x v="136"/>
    <s v="No Assigned L6"/>
    <s v="Server"/>
    <s v="Server"/>
    <s v="Y"/>
    <s v="Front Line"/>
    <s v="EMEA"/>
    <s v="UKI"/>
    <n v="0.61699999999999999"/>
    <n v="3.8967379973253502E-2"/>
    <m/>
    <s v="11/5"/>
    <s v="L1"/>
    <x v="136"/>
    <s v="Vikesh Gupta - Dellteam"/>
    <s v="Douglas Lumb"/>
    <n v="8"/>
    <m/>
    <s v="ESG"/>
    <m/>
    <x v="0"/>
    <n v="0"/>
    <m/>
    <s v="07:00-18:00 (GMT+0)"/>
    <s v="Mon-Fri"/>
    <m/>
    <s v="English"/>
    <e v="#N/A"/>
  </r>
  <r>
    <x v="137"/>
    <x v="137"/>
    <s v="Kenneally, Niall"/>
    <s v="Storage"/>
    <s v="Storage"/>
    <s v="Y"/>
    <s v="Front Line"/>
    <s v="LATAM"/>
    <s v="Brazil"/>
    <n v="0.57099999999999995"/>
    <n v="1.5604681404421327E-2"/>
    <m/>
    <s v="12/5"/>
    <s v="L1"/>
    <x v="137"/>
    <s v="Prachi Gupta - Dellteam"/>
    <s v="Lucas Serafim"/>
    <n v="8"/>
    <m/>
    <s v="ESG"/>
    <m/>
    <x v="0"/>
    <n v="0"/>
    <m/>
    <s v="08:00-18:00 (Brasilia timezone)"/>
    <s v="Mon-Fri "/>
    <m/>
    <s v="Portuguese"/>
    <e v="#N/A"/>
  </r>
  <r>
    <x v="138"/>
    <x v="138"/>
    <s v="Kenneally, Niall"/>
    <s v="Storage"/>
    <s v="Storage"/>
    <s v="Y"/>
    <s v="Front Line"/>
    <s v="LATAM"/>
    <s v="ROLA"/>
    <n v="0.626"/>
    <n v="1.5604681404421327E-2"/>
    <m/>
    <s v="12/5"/>
    <s v="L1"/>
    <x v="138"/>
    <s v="Prachi Gupta - Dellteam"/>
    <s v="Lucas Serafim"/>
    <n v="8"/>
    <m/>
    <s v="ESG"/>
    <m/>
    <x v="0"/>
    <n v="0"/>
    <m/>
    <s v="08:00-18:00 (Bogota timezone)"/>
    <s v="Sat-Fri"/>
    <m/>
    <s v="English/Spanish"/>
    <e v="#N/A"/>
  </r>
  <r>
    <x v="139"/>
    <x v="139"/>
    <s v="Kenneally, Niall"/>
    <s v="Storage"/>
    <s v="Storage"/>
    <s v="Y"/>
    <s v="Front Line"/>
    <s v="APJ"/>
    <s v="Australia"/>
    <n v="0.629"/>
    <n v="2.278539874447803E-2"/>
    <m/>
    <s v="12/5"/>
    <s v="L1"/>
    <x v="139"/>
    <s v="Taini Liang - Dellteam"/>
    <s v="Miguel Galicia"/>
    <n v="8"/>
    <m/>
    <s v="ESG"/>
    <n v="13"/>
    <x v="0"/>
    <n v="0"/>
    <s v="Should be merged with GP01 and GM01"/>
    <s v="07:00-19:00 (GMT+10)"/>
    <s v="Mon-Fri"/>
    <s v=""/>
    <s v="English"/>
    <e v="#N/A"/>
  </r>
  <r>
    <x v="140"/>
    <x v="140"/>
    <s v="No Assigned L6"/>
    <s v="Storage"/>
    <s v="Storage"/>
    <s v="Y"/>
    <s v="Front Line"/>
    <s v="EMEA"/>
    <s v="SER"/>
    <n v="0.61699999999999999"/>
    <n v="3.8967379973253502E-2"/>
    <m/>
    <s v="10/5"/>
    <s v="L1"/>
    <x v="140"/>
    <s v="Vikesh Gupta - Dellteam"/>
    <s v="Miguel Galicia"/>
    <n v="7"/>
    <m/>
    <s v="ESG"/>
    <m/>
    <x v="0"/>
    <n v="0"/>
    <m/>
    <e v="#N/A"/>
    <e v="#N/A"/>
    <m/>
    <s v="Multiple Languages"/>
    <e v="#N/A"/>
  </r>
  <r>
    <x v="141"/>
    <x v="141"/>
    <s v="Kenneally, Niall"/>
    <s v="Storage"/>
    <s v="Storage"/>
    <s v="Y"/>
    <s v="Front Line"/>
    <s v="EMEA"/>
    <s v="UKI"/>
    <n v="0.61699999999999999"/>
    <n v="3.8967379973253502E-2"/>
    <m/>
    <s v="12/5"/>
    <s v="L1"/>
    <x v="141"/>
    <s v="Vikesh Gupta - Dellteam"/>
    <s v="Miguel Galicia"/>
    <n v="8"/>
    <m/>
    <s v="ESG"/>
    <m/>
    <x v="0"/>
    <n v="0"/>
    <m/>
    <s v="24*7"/>
    <s v="Sat- Fri"/>
    <m/>
    <s v="English"/>
    <e v="#N/A"/>
  </r>
  <r>
    <x v="142"/>
    <x v="142"/>
    <s v="No Assigned L6"/>
    <s v="Storage"/>
    <s v="Storage"/>
    <s v="Y"/>
    <s v="Front Line"/>
    <s v="EMEA"/>
    <s v="UKI"/>
    <n v="0.61699999999999999"/>
    <n v="3.8967379973253502E-2"/>
    <m/>
    <s v="11/5"/>
    <s v="L1"/>
    <x v="142"/>
    <s v="Vikesh Gupta - Dellteam"/>
    <s v="Miguel Galicia"/>
    <n v="8"/>
    <m/>
    <s v="ESG"/>
    <m/>
    <x v="0"/>
    <n v="0"/>
    <m/>
    <e v="#N/A"/>
    <e v="#N/A"/>
    <m/>
    <s v="English"/>
    <e v="#N/A"/>
  </r>
  <r>
    <x v="143"/>
    <x v="143"/>
    <s v="Kenneally, Niall"/>
    <s v="Storage"/>
    <s v="Storage"/>
    <s v="Y"/>
    <s v="Front Line"/>
    <s v="APJ"/>
    <s v="South Asia"/>
    <n v="0.629"/>
    <n v="2.278539874447803E-2"/>
    <m/>
    <s v="12/5"/>
    <s v="L1"/>
    <x v="143"/>
    <s v="Taini Liang - Dellteam"/>
    <s v="Miguel Galicia"/>
    <n v="8"/>
    <m/>
    <s v="ESG"/>
    <n v="13"/>
    <x v="0"/>
    <n v="0"/>
    <s v="Should be merged with GP01 and GM01"/>
    <s v="24*7"/>
    <s v="Sat- Fri"/>
    <s v=""/>
    <s v="English"/>
    <e v="#N/A"/>
  </r>
  <r>
    <x v="144"/>
    <x v="144"/>
    <s v="Kenneally, Niall"/>
    <s v="Storage"/>
    <s v="Storage"/>
    <s v="Y"/>
    <s v="Front Line"/>
    <s v="NAMER"/>
    <s v="United States"/>
    <n v="0.64800000000000002"/>
    <n v="2.0441445869264104E-2"/>
    <m/>
    <s v="12/5"/>
    <s v="L1"/>
    <x v="144"/>
    <s v="Prachi Gupta - Dellteam"/>
    <s v="Miguel Galicia"/>
    <n v="8"/>
    <m/>
    <s v="ESG"/>
    <m/>
    <x v="0"/>
    <n v="0"/>
    <m/>
    <s v="24*7"/>
    <s v="Sat- Fri"/>
    <m/>
    <s v="English"/>
    <e v="#N/A"/>
  </r>
  <r>
    <x v="145"/>
    <x v="145"/>
    <s v="Kenneally, Niall"/>
    <s v="Storage"/>
    <s v="Storage"/>
    <s v="Y"/>
    <s v="Front Line"/>
    <s v="NAMER"/>
    <s v="United States"/>
    <n v="0.64800000000000002"/>
    <n v="5.5970149253731349E-3"/>
    <m/>
    <s v="12/5"/>
    <s v="L1"/>
    <x v="145"/>
    <s v="Prachi Gupta - Dellteam"/>
    <s v="Miguel Galicia"/>
    <n v="8"/>
    <m/>
    <s v="ESG"/>
    <m/>
    <x v="0"/>
    <n v="0"/>
    <m/>
    <s v="24*7"/>
    <s v="Sat- Fri"/>
    <m/>
    <s v="English"/>
    <e v="#N/A"/>
  </r>
  <r>
    <x v="146"/>
    <x v="146"/>
    <s v="Kenneally, Niall"/>
    <s v="Storage"/>
    <s v="Storage"/>
    <s v="Y"/>
    <s v="Front Line"/>
    <s v="NAMER"/>
    <s v="United States"/>
    <n v="0.64800000000000002"/>
    <n v="2.0441445869264104E-2"/>
    <m/>
    <s v="12/5"/>
    <s v="L1"/>
    <x v="146"/>
    <s v="Prachi Gupta - Dellteam"/>
    <s v="Miguel Galicia"/>
    <n v="8"/>
    <m/>
    <s v="ESG"/>
    <m/>
    <x v="0"/>
    <n v="0"/>
    <m/>
    <s v="07:00-21:00 CST"/>
    <s v="Mon-Fri"/>
    <m/>
    <s v="English"/>
    <e v="#N/A"/>
  </r>
  <r>
    <x v="147"/>
    <x v="147"/>
    <s v="Kenneally, Niall"/>
    <s v="Storage"/>
    <s v="Storage"/>
    <s v="Y"/>
    <s v="Front Line"/>
    <s v="EMEA"/>
    <s v="UKI"/>
    <n v="0.61699999999999999"/>
    <n v="3.8967379973253502E-2"/>
    <m/>
    <s v="10/7"/>
    <s v="L1"/>
    <x v="147"/>
    <s v="Vikesh Gupta - Dellteam"/>
    <s v="Miguel Galicia"/>
    <m/>
    <m/>
    <s v="ESG"/>
    <m/>
    <x v="0"/>
    <n v="0"/>
    <m/>
    <s v="07:00-17:00 (GMT+0)"/>
    <s v="Mon-Fri"/>
    <m/>
    <s v="English"/>
    <e v="#N/A"/>
  </r>
  <r>
    <x v="148"/>
    <x v="148"/>
    <s v="Kenneally, Niall"/>
    <s v="Storage"/>
    <s v="Storage"/>
    <s v="Y"/>
    <s v="Front Line"/>
    <s v="EMEA"/>
    <s v="UKI"/>
    <n v="0.61699999999999999"/>
    <n v="3.8967379973253502E-2"/>
    <m/>
    <s v="10/7"/>
    <s v="L1"/>
    <x v="148"/>
    <s v="Vikesh Gupta - Dellteam"/>
    <s v="Miguel Galicia"/>
    <m/>
    <m/>
    <s v="ESG"/>
    <m/>
    <x v="0"/>
    <n v="0"/>
    <m/>
    <s v="07:00-17:30 (GMT+0)"/>
    <s v="Mon-Fri"/>
    <m/>
    <s v="English"/>
    <e v="#N/A"/>
  </r>
  <r>
    <x v="149"/>
    <x v="149"/>
    <s v="Yap, Diane"/>
    <s v="Server"/>
    <s v="Server"/>
    <s v="Y"/>
    <s v="Front Line"/>
    <s v="APJ"/>
    <s v="Korea"/>
    <n v="0.629"/>
    <n v="2.278539874447803E-2"/>
    <m/>
    <s v="12/5"/>
    <s v="L1"/>
    <x v="149"/>
    <s v="Sarthak Shahir - Dellteam"/>
    <s v="StephenRaj  Kumar"/>
    <n v="8"/>
    <m/>
    <s v="ESG"/>
    <n v="13"/>
    <x v="0"/>
    <n v="0"/>
    <s v="Getting Merged as Korea CNS"/>
    <s v="09:00-17:00 KST"/>
    <s v="Mon-Fri"/>
    <s v=""/>
    <s v="Korean"/>
    <e v="#N/A"/>
  </r>
  <r>
    <x v="150"/>
    <x v="150"/>
    <s v="Yap, Diane"/>
    <s v="Server"/>
    <s v="Server"/>
    <s v="Y"/>
    <s v="Front Line"/>
    <s v="APJ"/>
    <s v="Korea"/>
    <n v="0.629"/>
    <n v="2.278539874447803E-2"/>
    <m/>
    <s v="12/5"/>
    <s v="L1"/>
    <x v="150"/>
    <s v="Sarthak Shahir - Dellteam"/>
    <s v="StephenRaj  Kumar"/>
    <n v="8"/>
    <m/>
    <s v="ESG"/>
    <n v="13"/>
    <x v="0"/>
    <n v="0"/>
    <s v="Getting Merged as Korea CNS"/>
    <s v="24*7"/>
    <s v="Sat- Fri"/>
    <s v=""/>
    <s v="Korean"/>
    <e v="#N/A"/>
  </r>
  <r>
    <x v="151"/>
    <x v="151"/>
    <s v="Yap, Diane"/>
    <s v="Networking"/>
    <s v="Networking"/>
    <s v="Y"/>
    <s v="Front Line"/>
    <s v="APJ"/>
    <s v="Korea"/>
    <n v="0.629"/>
    <n v="2.278539874447803E-2"/>
    <m/>
    <s v="12/5"/>
    <s v="L1"/>
    <x v="151"/>
    <s v="Sarthak Shahir - Dellteam"/>
    <s v="StephenRaj  Kumar"/>
    <n v="8"/>
    <m/>
    <s v="ESG"/>
    <n v="13"/>
    <x v="0"/>
    <n v="0"/>
    <s v="Getting Merged as Korea CNS"/>
    <s v="24*7"/>
    <s v="Sat- Fri"/>
    <s v=""/>
    <s v="Korean"/>
    <e v="#N/A"/>
  </r>
  <r>
    <x v="152"/>
    <x v="152"/>
    <s v="No Assigned L6"/>
    <m/>
    <s v="Midrange"/>
    <s v="Y"/>
    <e v="#N/A"/>
    <s v="APJ"/>
    <s v="Australia"/>
    <n v="0.629"/>
    <m/>
    <m/>
    <s v="12/7"/>
    <m/>
    <x v="152"/>
    <s v="Zhuo Chen"/>
    <s v=""/>
    <n v="14"/>
    <m/>
    <s v="HES"/>
    <n v="13"/>
    <x v="0"/>
    <n v="0"/>
    <m/>
    <e v="#N/A"/>
    <e v="#N/A"/>
    <m/>
    <s v="English"/>
    <e v="#N/A"/>
  </r>
  <r>
    <x v="153"/>
    <x v="153"/>
    <s v="No Assigned L6"/>
    <m/>
    <s v="GNCS.VxRail"/>
    <s v="Y"/>
    <e v="#N/A"/>
    <s v="APJ"/>
    <s v="Australia"/>
    <m/>
    <m/>
    <m/>
    <s v="12/7"/>
    <m/>
    <x v="153"/>
    <s v="Zhuo Chen"/>
    <s v=""/>
    <n v="14"/>
    <m/>
    <s v="HES"/>
    <m/>
    <x v="0"/>
    <n v="0"/>
    <m/>
    <e v="#N/A"/>
    <e v="#N/A"/>
    <m/>
    <s v="English"/>
    <e v="#N/A"/>
  </r>
  <r>
    <x v="154"/>
    <x v="154"/>
    <s v="No Assigned L6"/>
    <m/>
    <s v="Midrange"/>
    <s v="Y"/>
    <e v="#N/A"/>
    <s v="LATAM"/>
    <e v="#N/A"/>
    <n v="0.626"/>
    <m/>
    <m/>
    <e v="#N/A"/>
    <m/>
    <x v="154"/>
    <s v="Douglas Lumb"/>
    <s v=""/>
    <m/>
    <m/>
    <s v="HES"/>
    <n v="13"/>
    <x v="0"/>
    <n v="0"/>
    <m/>
    <e v="#N/A"/>
    <e v="#N/A"/>
    <m/>
    <s v="Portuguese"/>
    <e v="#N/A"/>
  </r>
  <r>
    <x v="155"/>
    <x v="155"/>
    <s v="No Assigned L6"/>
    <m/>
    <s v="Midrange"/>
    <s v="Y"/>
    <e v="#N/A"/>
    <s v="APJ"/>
    <s v="China"/>
    <n v="0.629"/>
    <m/>
    <m/>
    <e v="#N/A"/>
    <m/>
    <x v="155"/>
    <s v="Douglas Lumb"/>
    <s v=""/>
    <m/>
    <m/>
    <s v="HES"/>
    <n v="13"/>
    <x v="0"/>
    <n v="0"/>
    <m/>
    <e v="#N/A"/>
    <e v="#N/A"/>
    <m/>
    <s v="Mandarin"/>
    <e v="#N/A"/>
  </r>
  <r>
    <x v="156"/>
    <x v="156"/>
    <s v="No Assigned L6"/>
    <s v="GNCS"/>
    <s v="Converged"/>
    <s v="Y"/>
    <s v="Backline"/>
    <s v="Global"/>
    <s v="Global"/>
    <n v="0.63300000000000001"/>
    <n v="1.8670169726832081E-2"/>
    <m/>
    <s v="12/7"/>
    <s v="L1"/>
    <x v="156"/>
    <s v="Zhuo Chen"/>
    <s v=""/>
    <n v="14"/>
    <m/>
    <s v="HES"/>
    <n v="13"/>
    <x v="0"/>
    <n v="0"/>
    <m/>
    <e v="#N/A"/>
    <e v="#N/A"/>
    <m/>
    <s v="English"/>
    <e v="#N/A"/>
  </r>
  <r>
    <x v="157"/>
    <x v="157"/>
    <s v="No Assigned L6"/>
    <s v="UDS"/>
    <s v="PowerScale"/>
    <s v="Y"/>
    <e v="#N/A"/>
    <s v="EMEA"/>
    <s v="Egypt"/>
    <n v="0.61699999999999999"/>
    <m/>
    <m/>
    <s v="8/5"/>
    <s v="CTE"/>
    <x v="157"/>
    <s v="Geeta G-DellTeam"/>
    <s v=""/>
    <n v="4"/>
    <m/>
    <s v="HES"/>
    <n v="13"/>
    <x v="0"/>
    <n v="0"/>
    <m/>
    <e v="#N/A"/>
    <e v="#N/A"/>
    <m/>
    <s v="Multiple Languages"/>
    <e v="#N/A"/>
  </r>
  <r>
    <x v="158"/>
    <x v="158"/>
    <s v="No Assigned L6"/>
    <m/>
    <s v="Hyperconverged"/>
    <s v="Y"/>
    <e v="#N/A"/>
    <s v="APJ"/>
    <s v="China"/>
    <n v="0.629"/>
    <m/>
    <m/>
    <e v="#N/A"/>
    <m/>
    <x v="158"/>
    <s v="Douglas Lumb"/>
    <s v=""/>
    <m/>
    <m/>
    <s v="HES"/>
    <n v="13"/>
    <x v="0"/>
    <n v="0"/>
    <m/>
    <e v="#N/A"/>
    <e v="#N/A"/>
    <m/>
    <s v="Mandarin"/>
    <e v="#N/A"/>
  </r>
  <r>
    <x v="159"/>
    <x v="159"/>
    <s v="No Assigned L6"/>
    <s v="DPD"/>
    <s v="DPADSRT"/>
    <s v="Y"/>
    <s v="Backline"/>
    <s v="Global"/>
    <s v="China"/>
    <n v="0.63300000000000001"/>
    <m/>
    <m/>
    <s v="16/5, 9/2"/>
    <s v="L1"/>
    <x v="159"/>
    <s v="Douglas Lumb"/>
    <s v=""/>
    <n v="14"/>
    <m/>
    <s v="HES"/>
    <n v="13"/>
    <x v="0"/>
    <n v="0"/>
    <m/>
    <e v="#N/A"/>
    <e v="#N/A"/>
    <m/>
    <s v="English"/>
    <e v="#N/A"/>
  </r>
  <r>
    <x v="160"/>
    <x v="160"/>
    <s v="No Assigned L6"/>
    <s v="GNCS"/>
    <s v="Powerflex"/>
    <s v="Y"/>
    <s v="Backline"/>
    <s v="Global"/>
    <s v="Australia"/>
    <n v="0.63300000000000001"/>
    <m/>
    <m/>
    <s v="24/7"/>
    <s v="L2"/>
    <x v="160"/>
    <s v="Douglas Lumb"/>
    <s v=""/>
    <n v="24"/>
    <m/>
    <s v="HES"/>
    <n v="13"/>
    <x v="0"/>
    <n v="0"/>
    <m/>
    <e v="#N/A"/>
    <e v="#N/A"/>
    <m/>
    <s v="English"/>
    <e v="#N/A"/>
  </r>
  <r>
    <x v="161"/>
    <x v="161"/>
    <s v="No Assigned L6"/>
    <s v="GIST"/>
    <s v="GIST"/>
    <s v="Y"/>
    <s v="Backline"/>
    <s v="EMEA"/>
    <s v="Egypt"/>
    <n v="0.61699999999999999"/>
    <m/>
    <m/>
    <s v="12/7"/>
    <s v="CST"/>
    <x v="161"/>
    <s v="Zhuo Chen"/>
    <s v=""/>
    <n v="14"/>
    <m/>
    <s v="HES"/>
    <n v="13"/>
    <x v="0"/>
    <n v="0"/>
    <m/>
    <e v="#N/A"/>
    <e v="#N/A"/>
    <m/>
    <s v="English"/>
    <e v="#N/A"/>
  </r>
  <r>
    <x v="162"/>
    <x v="162"/>
    <s v="No Assigned L6"/>
    <s v="UDS"/>
    <s v="PowerScale"/>
    <s v="Y"/>
    <s v="Backline"/>
    <s v="Global"/>
    <m/>
    <n v="0.63300000000000001"/>
    <m/>
    <m/>
    <s v="12/7"/>
    <m/>
    <x v="162"/>
    <s v="Douglas Lumb"/>
    <s v=""/>
    <n v="14"/>
    <m/>
    <s v="HES"/>
    <n v="13"/>
    <x v="0"/>
    <n v="0"/>
    <m/>
    <e v="#N/A"/>
    <e v="#N/A"/>
    <m/>
    <s v="English"/>
    <e v="#N/A"/>
  </r>
  <r>
    <x v="163"/>
    <x v="163"/>
    <s v="No Assigned L6"/>
    <s v="GNCS"/>
    <s v="Hyperconverged"/>
    <s v="Y"/>
    <s v="Backline"/>
    <s v="Global"/>
    <e v="#N/A"/>
    <n v="0.63300000000000001"/>
    <m/>
    <m/>
    <s v="12/7"/>
    <s v="L2"/>
    <x v="163"/>
    <s v="Geeta G-DellTeam"/>
    <s v=""/>
    <n v="14"/>
    <m/>
    <s v="HES"/>
    <n v="13"/>
    <x v="0"/>
    <n v="0"/>
    <m/>
    <e v="#N/A"/>
    <e v="#N/A"/>
    <m/>
    <s v="Multiple Languages"/>
    <e v="#N/A"/>
  </r>
  <r>
    <x v="164"/>
    <x v="164"/>
    <s v="No Assigned L6"/>
    <s v="Primary"/>
    <s v="Symmetrix"/>
    <s v="Y"/>
    <s v="Backline"/>
    <s v="Global"/>
    <e v="#N/A"/>
    <n v="0.63300000000000001"/>
    <m/>
    <m/>
    <s v="12/7"/>
    <s v="L2"/>
    <x v="164"/>
    <s v="Geeta G-DellTeam"/>
    <s v=""/>
    <n v="14"/>
    <m/>
    <s v="HES"/>
    <n v="13"/>
    <x v="0"/>
    <n v="0"/>
    <m/>
    <e v="#N/A"/>
    <e v="#N/A"/>
    <m/>
    <s v="Multiple Languages"/>
    <e v="#N/A"/>
  </r>
  <r>
    <x v="165"/>
    <x v="165"/>
    <s v="No Assigned L6"/>
    <s v="Primary"/>
    <s v="SymmSW"/>
    <s v="Y"/>
    <s v="Backline"/>
    <s v="Global"/>
    <e v="#N/A"/>
    <n v="0.63300000000000001"/>
    <m/>
    <m/>
    <s v="12/7"/>
    <s v="L2"/>
    <x v="165"/>
    <s v="Douglas Lumb"/>
    <s v=""/>
    <n v="14"/>
    <m/>
    <s v="HES"/>
    <n v="13"/>
    <x v="0"/>
    <n v="0"/>
    <m/>
    <e v="#N/A"/>
    <e v="#N/A"/>
    <m/>
    <s v="Multiple Languages"/>
    <e v="#N/A"/>
  </r>
  <r>
    <x v="166"/>
    <x v="166"/>
    <s v="No Assigned L6"/>
    <s v="Primary"/>
    <s v="Vplex"/>
    <s v="Y"/>
    <s v="Backline"/>
    <s v="Global"/>
    <e v="#N/A"/>
    <n v="0.63300000000000001"/>
    <m/>
    <m/>
    <s v="12/7"/>
    <s v="L2"/>
    <x v="166"/>
    <s v="Douglas Lumb"/>
    <s v=""/>
    <n v="14"/>
    <m/>
    <s v="HES"/>
    <n v="13"/>
    <x v="0"/>
    <n v="0"/>
    <m/>
    <e v="#N/A"/>
    <e v="#N/A"/>
    <m/>
    <s v="Multiple Languages"/>
    <e v="#N/A"/>
  </r>
  <r>
    <x v="167"/>
    <x v="167"/>
    <s v="No Assigned L6"/>
    <s v="Primary"/>
    <s v="Mainframe"/>
    <s v="Y"/>
    <s v="Backline"/>
    <s v="Global"/>
    <e v="#N/A"/>
    <n v="0.63300000000000001"/>
    <m/>
    <m/>
    <s v="12/7"/>
    <s v="L2"/>
    <x v="167"/>
    <s v="Douglas Lumb"/>
    <s v=""/>
    <n v="14"/>
    <m/>
    <s v="HES"/>
    <n v="13"/>
    <x v="0"/>
    <n v="0"/>
    <m/>
    <e v="#N/A"/>
    <e v="#N/A"/>
    <m/>
    <s v="Multiple Languages"/>
    <e v="#N/A"/>
  </r>
  <r>
    <x v="168"/>
    <x v="168"/>
    <s v="No Assigned L6"/>
    <s v="Primary"/>
    <s v="DLM"/>
    <s v="Y"/>
    <s v="Backline"/>
    <s v="Global"/>
    <e v="#N/A"/>
    <n v="0.63300000000000001"/>
    <m/>
    <m/>
    <s v="12/7"/>
    <s v="L2"/>
    <x v="168"/>
    <s v="Douglas Lumb"/>
    <s v=""/>
    <n v="14"/>
    <m/>
    <s v="HES"/>
    <n v="13"/>
    <x v="0"/>
    <n v="0"/>
    <m/>
    <e v="#N/A"/>
    <e v="#N/A"/>
    <m/>
    <s v="English"/>
    <e v="#N/A"/>
  </r>
  <r>
    <x v="169"/>
    <x v="169"/>
    <s v="No Assigned L6"/>
    <s v="Primary"/>
    <s v="XtremIO"/>
    <s v="Y"/>
    <s v="Backline"/>
    <s v="Global"/>
    <e v="#N/A"/>
    <n v="0.63300000000000001"/>
    <m/>
    <m/>
    <s v="12/7"/>
    <s v="L2"/>
    <x v="169"/>
    <s v="Douglas Lumb"/>
    <s v=""/>
    <n v="14"/>
    <m/>
    <s v="HES"/>
    <n v="13"/>
    <x v="0"/>
    <n v="0"/>
    <m/>
    <e v="#N/A"/>
    <e v="#N/A"/>
    <m/>
    <s v="Multiple Languages"/>
    <e v="#N/A"/>
  </r>
  <r>
    <x v="170"/>
    <x v="170"/>
    <s v="No Assigned L6"/>
    <s v="Primary"/>
    <s v="Connectivity"/>
    <s v="Y"/>
    <s v="Backline"/>
    <s v="Global"/>
    <e v="#N/A"/>
    <n v="0.63300000000000001"/>
    <m/>
    <m/>
    <s v="12/7"/>
    <s v="L2"/>
    <x v="170"/>
    <s v="Douglas Lumb"/>
    <s v=""/>
    <n v="14"/>
    <m/>
    <s v="HES"/>
    <n v="13"/>
    <x v="0"/>
    <n v="0"/>
    <m/>
    <e v="#N/A"/>
    <e v="#N/A"/>
    <m/>
    <s v="Multiple Languages"/>
    <e v="#N/A"/>
  </r>
  <r>
    <x v="171"/>
    <x v="171"/>
    <s v="No Assigned L6"/>
    <s v="GNCS"/>
    <s v="Global Solutions"/>
    <s v="Y"/>
    <s v="Backline"/>
    <s v="Global"/>
    <e v="#N/A"/>
    <n v="0.63300000000000001"/>
    <m/>
    <m/>
    <s v="12/7"/>
    <s v="L2"/>
    <x v="171"/>
    <s v="Geeta G-DellTeam"/>
    <s v=""/>
    <n v="14"/>
    <m/>
    <s v="HES"/>
    <n v="13"/>
    <x v="0"/>
    <n v="0"/>
    <m/>
    <e v="#N/A"/>
    <e v="#N/A"/>
    <m/>
    <s v="English"/>
    <e v="#N/A"/>
  </r>
  <r>
    <x v="172"/>
    <x v="172"/>
    <s v="No Assigned L6"/>
    <m/>
    <s v="Ssg"/>
    <s v="Y"/>
    <s v="Backline"/>
    <s v="Global"/>
    <e v="#N/A"/>
    <n v="0.63300000000000001"/>
    <m/>
    <m/>
    <s v="12/7"/>
    <s v="L2"/>
    <x v="172"/>
    <s v="Douglas Lumb"/>
    <s v=""/>
    <n v="14"/>
    <m/>
    <s v="HES"/>
    <n v="13"/>
    <x v="0"/>
    <n v="0"/>
    <m/>
    <e v="#N/A"/>
    <e v="#N/A"/>
    <m/>
    <s v="Multiple Languages"/>
    <e v="#N/A"/>
  </r>
  <r>
    <x v="173"/>
    <x v="173"/>
    <s v="No Assigned L6"/>
    <s v="DPD"/>
    <s v="Avamar"/>
    <s v="Y"/>
    <s v="Backline"/>
    <s v="Global"/>
    <e v="#N/A"/>
    <n v="0.63300000000000001"/>
    <m/>
    <m/>
    <s v="12/7"/>
    <s v="L2"/>
    <x v="173"/>
    <s v="Douglas Lumb"/>
    <s v=""/>
    <n v="14"/>
    <m/>
    <s v="HES"/>
    <n v="13"/>
    <x v="0"/>
    <n v="0"/>
    <m/>
    <e v="#N/A"/>
    <e v="#N/A"/>
    <m/>
    <s v="Multiple Languages"/>
    <e v="#N/A"/>
  </r>
  <r>
    <x v="174"/>
    <x v="174"/>
    <s v="No Assigned L6"/>
    <s v="DPD"/>
    <s v="Networker"/>
    <s v="Y"/>
    <s v="Backline"/>
    <s v="Global"/>
    <e v="#N/A"/>
    <n v="0.63300000000000001"/>
    <m/>
    <m/>
    <s v="12/7"/>
    <s v="L2"/>
    <x v="174"/>
    <s v="Douglas Lumb"/>
    <s v=""/>
    <n v="14"/>
    <m/>
    <s v="HES"/>
    <n v="13"/>
    <x v="0"/>
    <n v="0"/>
    <m/>
    <e v="#N/A"/>
    <e v="#N/A"/>
    <m/>
    <s v="Multiple Languages"/>
    <e v="#N/A"/>
  </r>
  <r>
    <x v="175"/>
    <x v="175"/>
    <s v="No Assigned L6"/>
    <s v="DPD"/>
    <s v="DataDomain"/>
    <s v="Y"/>
    <s v="Backline"/>
    <s v="Global"/>
    <e v="#N/A"/>
    <n v="0.63300000000000001"/>
    <m/>
    <m/>
    <s v="12/7"/>
    <s v="L2"/>
    <x v="175"/>
    <s v="Douglas Lumb"/>
    <s v=""/>
    <n v="14"/>
    <m/>
    <s v="HES"/>
    <n v="13"/>
    <x v="0"/>
    <n v="0"/>
    <m/>
    <e v="#N/A"/>
    <e v="#N/A"/>
    <m/>
    <s v="Multiple Languages"/>
    <e v="#N/A"/>
  </r>
  <r>
    <x v="176"/>
    <x v="176"/>
    <s v="No Assigned L6"/>
    <s v="DPD"/>
    <s v="RecoverPoint"/>
    <s v="Y"/>
    <s v="Backline"/>
    <s v="Global"/>
    <e v="#N/A"/>
    <n v="0.63300000000000001"/>
    <m/>
    <m/>
    <s v="12/7"/>
    <s v="L1"/>
    <x v="176"/>
    <s v="Douglas Lumb"/>
    <s v=""/>
    <n v="14"/>
    <m/>
    <s v="HES"/>
    <n v="13"/>
    <x v="0"/>
    <n v="0"/>
    <m/>
    <e v="#N/A"/>
    <e v="#N/A"/>
    <m/>
    <s v="English"/>
    <e v="#N/A"/>
  </r>
  <r>
    <x v="177"/>
    <x v="177"/>
    <s v="No Assigned L6"/>
    <s v="Primary"/>
    <s v="DPADSRT"/>
    <s v="Y"/>
    <s v="Backline"/>
    <s v="Global"/>
    <e v="#N/A"/>
    <n v="0.63300000000000001"/>
    <m/>
    <m/>
    <s v="12/7"/>
    <s v="L2"/>
    <x v="177"/>
    <s v="Douglas Lumb"/>
    <s v=""/>
    <n v="14"/>
    <m/>
    <s v="HES"/>
    <n v="13"/>
    <x v="0"/>
    <n v="0"/>
    <m/>
    <e v="#N/A"/>
    <e v="#N/A"/>
    <m/>
    <s v="Multiple Languages"/>
    <e v="#N/A"/>
  </r>
  <r>
    <x v="178"/>
    <x v="178"/>
    <s v="No Assigned L6"/>
    <s v="Primary"/>
    <s v="DPSolutions"/>
    <s v="Y"/>
    <s v="Backline"/>
    <s v="Global"/>
    <e v="#N/A"/>
    <n v="0.63300000000000001"/>
    <m/>
    <m/>
    <s v="12/7"/>
    <s v="L2"/>
    <x v="178"/>
    <s v="Douglas Lumb"/>
    <s v=""/>
    <n v="14"/>
    <m/>
    <s v="HES"/>
    <n v="13"/>
    <x v="0"/>
    <n v="0"/>
    <m/>
    <e v="#N/A"/>
    <e v="#N/A"/>
    <m/>
    <s v="English"/>
    <e v="#N/A"/>
  </r>
  <r>
    <x v="179"/>
    <x v="179"/>
    <s v="No Assigned L6"/>
    <s v="DPD"/>
    <s v="DPA"/>
    <s v="Y"/>
    <s v="Backline"/>
    <s v="Global"/>
    <e v="#N/A"/>
    <n v="0.63300000000000001"/>
    <m/>
    <m/>
    <s v="12/7"/>
    <s v="L2"/>
    <x v="179"/>
    <s v="Douglas Lumb"/>
    <s v=""/>
    <n v="14"/>
    <m/>
    <s v="HES"/>
    <n v="13"/>
    <x v="0"/>
    <n v="0"/>
    <m/>
    <e v="#N/A"/>
    <e v="#N/A"/>
    <m/>
    <s v="English"/>
    <e v="#N/A"/>
  </r>
  <r>
    <x v="180"/>
    <x v="180"/>
    <s v="No Assigned L6"/>
    <s v="DPD"/>
    <s v="Sourceone"/>
    <s v="Y"/>
    <s v="Backline"/>
    <s v="Global"/>
    <e v="#N/A"/>
    <n v="0.63300000000000001"/>
    <m/>
    <m/>
    <s v="12/7"/>
    <s v="L2"/>
    <x v="180"/>
    <s v="Douglas Lumb"/>
    <s v=""/>
    <n v="14"/>
    <m/>
    <s v="HES"/>
    <n v="13"/>
    <x v="0"/>
    <n v="0"/>
    <m/>
    <e v="#N/A"/>
    <e v="#N/A"/>
    <m/>
    <s v="English"/>
    <e v="#N/A"/>
  </r>
  <r>
    <x v="181"/>
    <x v="181"/>
    <s v="No Assigned L6"/>
    <s v="DPD"/>
    <s v="Cloudboost"/>
    <s v="Y"/>
    <s v="Backline"/>
    <s v="Global"/>
    <e v="#N/A"/>
    <n v="0.63300000000000001"/>
    <m/>
    <m/>
    <s v="12/7"/>
    <s v="L2"/>
    <x v="181"/>
    <s v="Douglas Lumb"/>
    <s v=""/>
    <n v="14"/>
    <m/>
    <s v="HES"/>
    <n v="13"/>
    <x v="0"/>
    <n v="0"/>
    <m/>
    <e v="#N/A"/>
    <e v="#N/A"/>
    <m/>
    <s v="English"/>
    <e v="#N/A"/>
  </r>
  <r>
    <x v="182"/>
    <x v="182"/>
    <s v="No Assigned L6"/>
    <s v="UDS"/>
    <s v="PowerScale"/>
    <s v="Y"/>
    <s v="Backline"/>
    <s v="Global"/>
    <e v="#N/A"/>
    <n v="0.63300000000000001"/>
    <m/>
    <m/>
    <s v="12/7"/>
    <s v="L2"/>
    <x v="182"/>
    <s v="Douglas Lumb"/>
    <s v=""/>
    <n v="14"/>
    <m/>
    <s v="HES"/>
    <n v="13"/>
    <x v="0"/>
    <n v="0"/>
    <m/>
    <e v="#N/A"/>
    <e v="#N/A"/>
    <m/>
    <s v="Multiple Languages"/>
    <e v="#N/A"/>
  </r>
  <r>
    <x v="183"/>
    <x v="183"/>
    <s v="No Assigned L6"/>
    <s v="UDS"/>
    <s v="OBJ"/>
    <s v="Y"/>
    <s v="Backline"/>
    <s v="Global"/>
    <e v="#N/A"/>
    <n v="0.63300000000000001"/>
    <m/>
    <m/>
    <s v="12/7"/>
    <s v="L2"/>
    <x v="183"/>
    <s v="Douglas Lumb"/>
    <s v=""/>
    <n v="14"/>
    <m/>
    <s v="HES"/>
    <n v="13"/>
    <x v="0"/>
    <n v="0"/>
    <m/>
    <e v="#N/A"/>
    <e v="#N/A"/>
    <m/>
    <s v="Multiple Languages"/>
    <e v="#N/A"/>
  </r>
  <r>
    <x v="184"/>
    <x v="184"/>
    <s v="No Assigned L6"/>
    <s v="E2E"/>
    <s v="E2E Connectivity"/>
    <s v="Y"/>
    <s v="Backline"/>
    <s v="Global"/>
    <s v="Multiple Countries"/>
    <n v="0.63300000000000001"/>
    <m/>
    <m/>
    <s v="12/7"/>
    <s v="L1"/>
    <x v="184"/>
    <s v="Zhuo Chen"/>
    <s v=""/>
    <n v="14"/>
    <m/>
    <s v="HES"/>
    <n v="13"/>
    <x v="0"/>
    <n v="0"/>
    <m/>
    <e v="#N/A"/>
    <e v="#N/A"/>
    <m/>
    <s v="Multiple Languages"/>
    <e v="#N/A"/>
  </r>
  <r>
    <x v="185"/>
    <x v="185"/>
    <s v="No Assigned L6"/>
    <s v="GNCS"/>
    <s v="Hyperconverged"/>
    <s v="Y"/>
    <e v="#N/A"/>
    <s v="EMEA"/>
    <e v="#N/A"/>
    <n v="0.61699999999999999"/>
    <m/>
    <m/>
    <s v="12/7"/>
    <m/>
    <x v="185"/>
    <s v="Douglas Lumb"/>
    <s v=""/>
    <n v="14"/>
    <m/>
    <s v="HES"/>
    <n v="13"/>
    <x v="0"/>
    <n v="0"/>
    <m/>
    <e v="#N/A"/>
    <e v="#N/A"/>
    <m/>
    <s v="German"/>
    <e v="#N/A"/>
  </r>
  <r>
    <x v="186"/>
    <x v="186"/>
    <s v="No Assigned L6"/>
    <s v="Midrange"/>
    <s v="Midrange"/>
    <s v="Y"/>
    <e v="#N/A"/>
    <s v="EMEA"/>
    <e v="#N/A"/>
    <n v="0.61699999999999999"/>
    <m/>
    <m/>
    <s v="12/7"/>
    <m/>
    <x v="186"/>
    <s v="Douglas Lumb"/>
    <s v=""/>
    <n v="14"/>
    <m/>
    <s v="HES"/>
    <n v="13"/>
    <x v="0"/>
    <n v="0"/>
    <m/>
    <e v="#N/A"/>
    <e v="#N/A"/>
    <m/>
    <s v="German"/>
    <e v="#N/A"/>
  </r>
  <r>
    <x v="187"/>
    <x v="187"/>
    <s v="No Assigned L6"/>
    <s v="GNCS"/>
    <s v="Hyperconverged"/>
    <s v="Y"/>
    <e v="#N/A"/>
    <s v="EMEA"/>
    <e v="#N/A"/>
    <n v="0.61699999999999999"/>
    <m/>
    <m/>
    <s v="12/7"/>
    <m/>
    <x v="187"/>
    <s v="Douglas Lumb"/>
    <s v=""/>
    <n v="14"/>
    <m/>
    <s v="HES"/>
    <n v="13"/>
    <x v="0"/>
    <n v="0"/>
    <m/>
    <e v="#N/A"/>
    <e v="#N/A"/>
    <m/>
    <s v="French"/>
    <e v="#N/A"/>
  </r>
  <r>
    <x v="188"/>
    <x v="188"/>
    <s v="No Assigned L6"/>
    <s v="Midrange"/>
    <s v="Midrange"/>
    <s v="Y"/>
    <e v="#N/A"/>
    <s v="EMEA"/>
    <e v="#N/A"/>
    <n v="0.61699999999999999"/>
    <m/>
    <m/>
    <s v="12/7"/>
    <m/>
    <x v="188"/>
    <s v="Douglas Lumb"/>
    <s v=""/>
    <n v="14"/>
    <m/>
    <s v="HES"/>
    <n v="13"/>
    <x v="0"/>
    <n v="0"/>
    <m/>
    <e v="#N/A"/>
    <e v="#N/A"/>
    <m/>
    <s v="French"/>
    <e v="#N/A"/>
  </r>
  <r>
    <x v="189"/>
    <x v="189"/>
    <s v="No Assigned L6"/>
    <s v="GNCS"/>
    <s v="Hyperconverged"/>
    <s v="Y"/>
    <e v="#N/A"/>
    <s v="EMEA"/>
    <e v="#N/A"/>
    <n v="0.61699999999999999"/>
    <m/>
    <m/>
    <s v="12/7"/>
    <m/>
    <x v="189"/>
    <s v="Douglas Lumb"/>
    <s v=""/>
    <n v="14"/>
    <m/>
    <s v="HES"/>
    <n v="13"/>
    <x v="0"/>
    <n v="0"/>
    <m/>
    <e v="#N/A"/>
    <e v="#N/A"/>
    <m/>
    <s v="English"/>
    <e v="#N/A"/>
  </r>
  <r>
    <x v="190"/>
    <x v="190"/>
    <s v="No Assigned L6"/>
    <s v="Midrange"/>
    <s v="Midrange"/>
    <s v="Y"/>
    <e v="#N/A"/>
    <s v="EMEA"/>
    <e v="#N/A"/>
    <n v="0.61699999999999999"/>
    <m/>
    <m/>
    <s v="12/7"/>
    <m/>
    <x v="190"/>
    <s v="Douglas Lumb"/>
    <s v=""/>
    <n v="14"/>
    <m/>
    <s v="HES"/>
    <n v="13"/>
    <x v="0"/>
    <n v="0"/>
    <m/>
    <e v="#N/A"/>
    <e v="#N/A"/>
    <m/>
    <s v="English"/>
    <e v="#N/A"/>
  </r>
  <r>
    <x v="191"/>
    <x v="191"/>
    <s v="No Assigned L6"/>
    <s v="Midrange"/>
    <s v="Midrange"/>
    <s v="Y"/>
    <e v="#N/A"/>
    <s v="EMEA"/>
    <e v="#N/A"/>
    <n v="0.61699999999999999"/>
    <m/>
    <m/>
    <s v="12/7"/>
    <m/>
    <x v="191"/>
    <s v="Douglas Lumb"/>
    <s v=""/>
    <n v="14"/>
    <m/>
    <s v="HES"/>
    <n v="13"/>
    <x v="0"/>
    <n v="0"/>
    <m/>
    <e v="#N/A"/>
    <e v="#N/A"/>
    <m/>
    <s v="Italian"/>
    <e v="#N/A"/>
  </r>
  <r>
    <x v="192"/>
    <x v="192"/>
    <s v="No Assigned L6"/>
    <s v="GNCS"/>
    <s v="Hyperconverged"/>
    <s v="Y"/>
    <e v="#N/A"/>
    <s v="EMEA"/>
    <e v="#N/A"/>
    <n v="0.61699999999999999"/>
    <m/>
    <m/>
    <s v="12/7"/>
    <m/>
    <x v="192"/>
    <s v="Douglas Lumb"/>
    <s v=""/>
    <n v="14"/>
    <m/>
    <s v="HES"/>
    <n v="13"/>
    <x v="0"/>
    <n v="0"/>
    <m/>
    <e v="#N/A"/>
    <e v="#N/A"/>
    <m/>
    <s v="Spanish"/>
    <e v="#N/A"/>
  </r>
  <r>
    <x v="193"/>
    <x v="193"/>
    <s v="No Assigned L6"/>
    <s v="Midrange"/>
    <s v="Midrange"/>
    <s v="Y"/>
    <e v="#N/A"/>
    <s v="EMEA"/>
    <e v="#N/A"/>
    <n v="0.61699999999999999"/>
    <m/>
    <m/>
    <s v="12/7"/>
    <m/>
    <x v="193"/>
    <s v="Douglas Lumb"/>
    <s v=""/>
    <n v="14"/>
    <m/>
    <s v="HES"/>
    <n v="13"/>
    <x v="0"/>
    <n v="0"/>
    <m/>
    <e v="#N/A"/>
    <e v="#N/A"/>
    <m/>
    <s v="Spanish"/>
    <e v="#N/A"/>
  </r>
  <r>
    <x v="194"/>
    <x v="194"/>
    <s v="No Assigned L6"/>
    <s v="Midrange"/>
    <s v="Midrange"/>
    <s v="Y"/>
    <e v="#N/A"/>
    <s v="APJ"/>
    <e v="#N/A"/>
    <n v="0.629"/>
    <m/>
    <m/>
    <e v="#N/A"/>
    <m/>
    <x v="194"/>
    <s v="Douglas Lumb"/>
    <s v=""/>
    <m/>
    <m/>
    <s v="HES"/>
    <n v="13"/>
    <x v="0"/>
    <n v="0"/>
    <m/>
    <e v="#N/A"/>
    <e v="#N/A"/>
    <m/>
    <s v="English"/>
    <e v="#N/A"/>
  </r>
  <r>
    <x v="195"/>
    <x v="195"/>
    <s v="No Assigned L6"/>
    <s v="GNCS"/>
    <s v="Hyperconverged"/>
    <s v="Y"/>
    <e v="#N/A"/>
    <s v="APJ"/>
    <e v="#N/A"/>
    <n v="0.629"/>
    <m/>
    <m/>
    <e v="#N/A"/>
    <m/>
    <x v="195"/>
    <s v="Douglas Lumb"/>
    <s v=""/>
    <m/>
    <m/>
    <s v="HES"/>
    <n v="13"/>
    <x v="0"/>
    <n v="0"/>
    <m/>
    <e v="#N/A"/>
    <e v="#N/A"/>
    <m/>
    <s v="English"/>
    <e v="#N/A"/>
  </r>
  <r>
    <x v="196"/>
    <x v="196"/>
    <s v="No Assigned L6"/>
    <s v="UDS"/>
    <s v="PowerScale"/>
    <s v="Y"/>
    <e v="#N/A"/>
    <s v="NAMER"/>
    <e v="#N/A"/>
    <n v="0.64800000000000002"/>
    <m/>
    <m/>
    <s v="12/7"/>
    <m/>
    <x v="196"/>
    <s v="Douglas Lumb"/>
    <s v=""/>
    <n v="14"/>
    <m/>
    <s v="HES"/>
    <n v="13"/>
    <x v="0"/>
    <n v="0"/>
    <m/>
    <e v="#N/A"/>
    <e v="#N/A"/>
    <m/>
    <s v="English"/>
    <e v="#N/A"/>
  </r>
  <r>
    <x v="197"/>
    <x v="197"/>
    <s v="No Assigned L6"/>
    <s v="Primary"/>
    <s v="Symmetrix"/>
    <s v="Y"/>
    <e v="#N/A"/>
    <s v="EMEA"/>
    <e v="#N/A"/>
    <n v="0.61699999999999999"/>
    <m/>
    <m/>
    <s v="12/7"/>
    <m/>
    <x v="197"/>
    <s v="Douglas Lumb"/>
    <s v=""/>
    <n v="14"/>
    <m/>
    <s v="HES"/>
    <n v="13"/>
    <x v="0"/>
    <n v="0"/>
    <m/>
    <e v="#N/A"/>
    <e v="#N/A"/>
    <m/>
    <s v="English"/>
    <e v="#N/A"/>
  </r>
  <r>
    <x v="198"/>
    <x v="198"/>
    <s v="No Assigned L6"/>
    <s v="Primary"/>
    <s v="Symmetrix"/>
    <s v="Y"/>
    <e v="#N/A"/>
    <s v="NAMER"/>
    <e v="#N/A"/>
    <n v="0.64800000000000002"/>
    <m/>
    <m/>
    <s v="12/7"/>
    <m/>
    <x v="198"/>
    <s v="Douglas Lumb"/>
    <s v=""/>
    <n v="14"/>
    <m/>
    <s v="HES"/>
    <n v="13"/>
    <x v="0"/>
    <n v="0"/>
    <m/>
    <e v="#N/A"/>
    <e v="#N/A"/>
    <m/>
    <s v="English"/>
    <e v="#N/A"/>
  </r>
  <r>
    <x v="199"/>
    <x v="199"/>
    <s v="No Assigned L6"/>
    <s v="Primary"/>
    <s v="Symmetrix"/>
    <s v="Y"/>
    <e v="#N/A"/>
    <s v="EMEA"/>
    <e v="#N/A"/>
    <n v="0.61699999999999999"/>
    <m/>
    <m/>
    <s v="12/7"/>
    <m/>
    <x v="199"/>
    <s v="Douglas Lumb"/>
    <s v=""/>
    <n v="14"/>
    <m/>
    <s v="HES"/>
    <n v="13"/>
    <x v="0"/>
    <n v="0"/>
    <m/>
    <e v="#N/A"/>
    <e v="#N/A"/>
    <m/>
    <s v="English"/>
    <e v="#N/A"/>
  </r>
  <r>
    <x v="200"/>
    <x v="200"/>
    <s v="No Assigned L6"/>
    <s v="Primary"/>
    <s v="Symmetrix"/>
    <s v="Y"/>
    <e v="#N/A"/>
    <s v="NAMER"/>
    <e v="#N/A"/>
    <n v="0.64800000000000002"/>
    <m/>
    <m/>
    <s v="12/7"/>
    <m/>
    <x v="200"/>
    <s v="Douglas Lumb"/>
    <s v=""/>
    <n v="14"/>
    <m/>
    <s v="HES"/>
    <n v="13"/>
    <x v="0"/>
    <n v="0"/>
    <m/>
    <e v="#N/A"/>
    <e v="#N/A"/>
    <m/>
    <s v="English"/>
    <e v="#N/A"/>
  </r>
  <r>
    <x v="201"/>
    <x v="201"/>
    <s v="No Assigned L6"/>
    <s v="Primary"/>
    <s v="Connectivity"/>
    <s v="Y"/>
    <e v="#N/A"/>
    <s v="EMEA"/>
    <e v="#N/A"/>
    <n v="0.61699999999999999"/>
    <m/>
    <m/>
    <s v="12/7"/>
    <s v="L1"/>
    <x v="201"/>
    <s v="Douglas Lumb"/>
    <s v=""/>
    <n v="14"/>
    <m/>
    <s v="HES"/>
    <n v="13"/>
    <x v="0"/>
    <n v="0"/>
    <m/>
    <e v="#N/A"/>
    <e v="#N/A"/>
    <m/>
    <s v="English"/>
    <e v="#N/A"/>
  </r>
  <r>
    <x v="202"/>
    <x v="202"/>
    <s v="No Assigned L6"/>
    <s v="Primary"/>
    <s v="Connectivity"/>
    <s v="Y"/>
    <e v="#N/A"/>
    <s v="NAMER"/>
    <e v="#N/A"/>
    <n v="0.64800000000000002"/>
    <m/>
    <m/>
    <s v="12/7"/>
    <s v="L1"/>
    <x v="202"/>
    <s v="Douglas Lumb"/>
    <s v=""/>
    <n v="14"/>
    <m/>
    <s v="HES"/>
    <n v="13"/>
    <x v="0"/>
    <n v="0"/>
    <m/>
    <e v="#N/A"/>
    <e v="#N/A"/>
    <m/>
    <s v="English"/>
    <e v="#N/A"/>
  </r>
  <r>
    <x v="203"/>
    <x v="203"/>
    <s v="No Assigned L6"/>
    <s v="Primary"/>
    <s v="XtremIO"/>
    <s v="Y"/>
    <e v="#N/A"/>
    <s v="EMEA"/>
    <e v="#N/A"/>
    <n v="0.61699999999999999"/>
    <m/>
    <m/>
    <s v="12/7"/>
    <m/>
    <x v="203"/>
    <s v="Douglas Lumb"/>
    <s v=""/>
    <n v="14"/>
    <m/>
    <s v="HES"/>
    <n v="13"/>
    <x v="0"/>
    <n v="0"/>
    <m/>
    <e v="#N/A"/>
    <e v="#N/A"/>
    <m/>
    <s v="English"/>
    <e v="#N/A"/>
  </r>
  <r>
    <x v="204"/>
    <x v="204"/>
    <s v="No Assigned L6"/>
    <s v="Primary"/>
    <s v="XtremIO"/>
    <s v="Y"/>
    <e v="#N/A"/>
    <s v="NAMER"/>
    <e v="#N/A"/>
    <n v="0.64800000000000002"/>
    <m/>
    <m/>
    <s v="12/7"/>
    <m/>
    <x v="204"/>
    <s v="Douglas Lumb"/>
    <s v=""/>
    <n v="14"/>
    <m/>
    <s v="HES"/>
    <n v="13"/>
    <x v="0"/>
    <n v="0"/>
    <m/>
    <e v="#N/A"/>
    <e v="#N/A"/>
    <m/>
    <s v="English"/>
    <e v="#N/A"/>
  </r>
  <r>
    <x v="205"/>
    <x v="205"/>
    <s v="No Assigned L6"/>
    <s v="Primary"/>
    <s v="Integrated_Software"/>
    <s v="Y"/>
    <e v="#N/A"/>
    <s v="NAMER"/>
    <e v="#N/A"/>
    <n v="0.64800000000000002"/>
    <m/>
    <m/>
    <s v="12/7"/>
    <m/>
    <x v="205"/>
    <s v="Geeta G-DellTeam"/>
    <s v=""/>
    <n v="14"/>
    <m/>
    <s v="HES"/>
    <n v="13"/>
    <x v="0"/>
    <n v="0"/>
    <m/>
    <e v="#N/A"/>
    <e v="#N/A"/>
    <m/>
    <s v="English"/>
    <e v="#N/A"/>
  </r>
  <r>
    <x v="206"/>
    <x v="206"/>
    <s v="No Assigned L6"/>
    <s v="Primary"/>
    <s v="Integrated_Software"/>
    <s v="Y"/>
    <e v="#N/A"/>
    <s v="NAMER"/>
    <e v="#N/A"/>
    <n v="0.64800000000000002"/>
    <m/>
    <m/>
    <s v="12/7"/>
    <m/>
    <x v="206"/>
    <s v="Douglas Lumb"/>
    <s v=""/>
    <n v="14"/>
    <m/>
    <s v="HES"/>
    <n v="13"/>
    <x v="0"/>
    <n v="0"/>
    <m/>
    <e v="#N/A"/>
    <e v="#N/A"/>
    <m/>
    <s v="English"/>
    <e v="#N/A"/>
  </r>
  <r>
    <x v="207"/>
    <x v="207"/>
    <s v="No Assigned L6"/>
    <s v="UDS"/>
    <s v="PowerScale"/>
    <s v="Y"/>
    <e v="#N/A"/>
    <s v="NAMER"/>
    <e v="#N/A"/>
    <n v="0.64800000000000002"/>
    <m/>
    <m/>
    <s v="12/7"/>
    <m/>
    <x v="207"/>
    <s v="Douglas Lumb"/>
    <s v=""/>
    <n v="14"/>
    <m/>
    <s v="HES"/>
    <n v="13"/>
    <x v="0"/>
    <n v="0"/>
    <m/>
    <e v="#N/A"/>
    <e v="#N/A"/>
    <m/>
    <s v="English"/>
    <e v="#N/A"/>
  </r>
  <r>
    <x v="208"/>
    <x v="208"/>
    <s v="No Assigned L6"/>
    <s v="UDS"/>
    <s v="PowerScale"/>
    <s v="Y"/>
    <e v="#N/A"/>
    <s v="EMEA"/>
    <e v="#N/A"/>
    <n v="0.61699999999999999"/>
    <m/>
    <m/>
    <s v="12/7"/>
    <m/>
    <x v="208"/>
    <s v="Douglas Lumb"/>
    <s v=""/>
    <n v="14"/>
    <m/>
    <s v="HES"/>
    <n v="13"/>
    <x v="0"/>
    <n v="0"/>
    <m/>
    <e v="#N/A"/>
    <e v="#N/A"/>
    <m/>
    <s v="English"/>
    <e v="#N/A"/>
  </r>
  <r>
    <x v="209"/>
    <x v="209"/>
    <s v="No Assigned L6"/>
    <m/>
    <s v="PowerScale"/>
    <s v="Y"/>
    <e v="#N/A"/>
    <s v="APJ"/>
    <e v="#N/A"/>
    <n v="0.629"/>
    <m/>
    <m/>
    <e v="#N/A"/>
    <m/>
    <x v="209"/>
    <s v="Douglas Lumb"/>
    <s v=""/>
    <m/>
    <m/>
    <s v="HES"/>
    <n v="13"/>
    <x v="0"/>
    <n v="0"/>
    <m/>
    <e v="#N/A"/>
    <e v="#N/A"/>
    <m/>
    <s v="English"/>
    <e v="#N/A"/>
  </r>
  <r>
    <x v="210"/>
    <x v="210"/>
    <s v="No Assigned L6"/>
    <s v="DPD"/>
    <s v="Networker"/>
    <s v="Y"/>
    <e v="#N/A"/>
    <s v="NAMER"/>
    <e v="#N/A"/>
    <n v="0.64800000000000002"/>
    <m/>
    <m/>
    <s v="12/7"/>
    <m/>
    <x v="210"/>
    <s v="Douglas Lumb"/>
    <s v=""/>
    <n v="14"/>
    <m/>
    <s v="HES"/>
    <n v="13"/>
    <x v="0"/>
    <n v="0"/>
    <m/>
    <e v="#N/A"/>
    <e v="#N/A"/>
    <m/>
    <s v="English"/>
    <e v="#N/A"/>
  </r>
  <r>
    <x v="211"/>
    <x v="211"/>
    <s v="No Assigned L6"/>
    <s v="DPD"/>
    <s v="Networker"/>
    <s v="Y"/>
    <e v="#N/A"/>
    <s v="EMEA"/>
    <e v="#N/A"/>
    <n v="0.61699999999999999"/>
    <m/>
    <m/>
    <s v="12/7"/>
    <m/>
    <x v="211"/>
    <s v="Douglas Lumb"/>
    <s v=""/>
    <n v="14"/>
    <m/>
    <s v="HES"/>
    <n v="13"/>
    <x v="0"/>
    <n v="0"/>
    <m/>
    <e v="#N/A"/>
    <e v="#N/A"/>
    <m/>
    <s v="English"/>
    <e v="#N/A"/>
  </r>
  <r>
    <x v="212"/>
    <x v="212"/>
    <s v="No Assigned L6"/>
    <s v="UDS"/>
    <s v="OBJ"/>
    <s v="Y"/>
    <e v="#N/A"/>
    <s v="NAMER"/>
    <e v="#N/A"/>
    <n v="0.64800000000000002"/>
    <m/>
    <m/>
    <s v="12/7"/>
    <m/>
    <x v="212"/>
    <s v="Douglas Lumb"/>
    <s v=""/>
    <n v="14"/>
    <m/>
    <s v="HES"/>
    <n v="13"/>
    <x v="0"/>
    <n v="0"/>
    <m/>
    <e v="#N/A"/>
    <e v="#N/A"/>
    <m/>
    <s v="English"/>
    <e v="#N/A"/>
  </r>
  <r>
    <x v="213"/>
    <x v="213"/>
    <s v="No Assigned L6"/>
    <s v="UDS"/>
    <s v="OBJ"/>
    <s v="Y"/>
    <e v="#N/A"/>
    <s v="EMEA"/>
    <e v="#N/A"/>
    <n v="0.61699999999999999"/>
    <m/>
    <m/>
    <s v="12/7"/>
    <m/>
    <x v="213"/>
    <s v="Douglas Lumb"/>
    <s v=""/>
    <n v="14"/>
    <m/>
    <s v="HES"/>
    <n v="13"/>
    <x v="0"/>
    <n v="0"/>
    <m/>
    <e v="#N/A"/>
    <e v="#N/A"/>
    <m/>
    <s v="English"/>
    <e v="#N/A"/>
  </r>
  <r>
    <x v="214"/>
    <x v="214"/>
    <s v="No Assigned L6"/>
    <s v="DPD"/>
    <s v="Avamar"/>
    <s v="Y"/>
    <e v="#N/A"/>
    <s v="NAMER"/>
    <e v="#N/A"/>
    <n v="0.64800000000000002"/>
    <m/>
    <m/>
    <s v="12/7"/>
    <s v="L1"/>
    <x v="214"/>
    <s v="Douglas Lumb"/>
    <s v=""/>
    <n v="14"/>
    <m/>
    <s v="HES"/>
    <n v="13"/>
    <x v="0"/>
    <n v="0"/>
    <m/>
    <e v="#N/A"/>
    <e v="#N/A"/>
    <m/>
    <s v="English"/>
    <e v="#N/A"/>
  </r>
  <r>
    <x v="215"/>
    <x v="215"/>
    <s v="No Assigned L6"/>
    <s v="DPD"/>
    <s v="Avamar"/>
    <s v="Y"/>
    <e v="#N/A"/>
    <s v="EMEA"/>
    <e v="#N/A"/>
    <n v="0.61699999999999999"/>
    <m/>
    <m/>
    <s v="12/7"/>
    <s v="L1"/>
    <x v="215"/>
    <s v="Douglas Lumb"/>
    <s v=""/>
    <n v="14"/>
    <m/>
    <s v="HES"/>
    <n v="13"/>
    <x v="0"/>
    <n v="0"/>
    <m/>
    <e v="#N/A"/>
    <e v="#N/A"/>
    <m/>
    <s v="English"/>
    <e v="#N/A"/>
  </r>
  <r>
    <x v="216"/>
    <x v="216"/>
    <s v="No Assigned L6"/>
    <s v="DPD"/>
    <s v="DataDomain"/>
    <s v="Y"/>
    <e v="#N/A"/>
    <s v="NAMER"/>
    <e v="#N/A"/>
    <n v="0.64800000000000002"/>
    <m/>
    <m/>
    <s v="12/7"/>
    <s v="L1"/>
    <x v="216"/>
    <s v="Douglas Lumb"/>
    <s v=""/>
    <n v="14"/>
    <m/>
    <s v="HES"/>
    <n v="13"/>
    <x v="0"/>
    <n v="0"/>
    <m/>
    <e v="#N/A"/>
    <e v="#N/A"/>
    <m/>
    <s v="English"/>
    <e v="#N/A"/>
  </r>
  <r>
    <x v="217"/>
    <x v="217"/>
    <s v="No Assigned L6"/>
    <s v="DPD"/>
    <s v="DataDomain"/>
    <s v="Y"/>
    <e v="#N/A"/>
    <s v="EMEA"/>
    <e v="#N/A"/>
    <n v="0.61699999999999999"/>
    <m/>
    <m/>
    <s v="12/7"/>
    <s v="L1"/>
    <x v="217"/>
    <s v="Douglas Lumb"/>
    <s v=""/>
    <n v="14"/>
    <m/>
    <s v="HES"/>
    <n v="13"/>
    <x v="0"/>
    <n v="0"/>
    <m/>
    <e v="#N/A"/>
    <e v="#N/A"/>
    <m/>
    <s v="English"/>
    <e v="#N/A"/>
  </r>
  <r>
    <x v="218"/>
    <x v="218"/>
    <s v="No Assigned L6"/>
    <s v="DPD"/>
    <s v="Wipro"/>
    <s v="Y"/>
    <s v="Backline"/>
    <s v="Global"/>
    <e v="#N/A"/>
    <n v="0.63300000000000001"/>
    <m/>
    <m/>
    <s v="12/7"/>
    <m/>
    <x v="218"/>
    <s v="Geeta G-DellTeam"/>
    <s v=""/>
    <n v="14"/>
    <m/>
    <s v="HES"/>
    <n v="13"/>
    <x v="0"/>
    <n v="0"/>
    <m/>
    <e v="#N/A"/>
    <e v="#N/A"/>
    <m/>
    <s v="English"/>
    <e v="#N/A"/>
  </r>
  <r>
    <x v="219"/>
    <x v="219"/>
    <s v="No Assigned L6"/>
    <s v="DPD"/>
    <s v="Wipro"/>
    <s v="Y"/>
    <s v="Backline"/>
    <s v="Global"/>
    <e v="#N/A"/>
    <n v="0.63300000000000001"/>
    <m/>
    <m/>
    <s v="12/7"/>
    <m/>
    <x v="219"/>
    <s v="Douglas Lumb"/>
    <s v=""/>
    <n v="14"/>
    <m/>
    <s v="HES"/>
    <n v="13"/>
    <x v="0"/>
    <n v="0"/>
    <m/>
    <e v="#N/A"/>
    <e v="#N/A"/>
    <m/>
    <s v="English"/>
    <e v="#N/A"/>
  </r>
  <r>
    <x v="220"/>
    <x v="220"/>
    <s v="No Assigned L6"/>
    <m/>
    <s v="Midrange"/>
    <s v="Y"/>
    <e v="#N/A"/>
    <s v="India"/>
    <e v="#N/A"/>
    <n v="0.629"/>
    <m/>
    <m/>
    <e v="#N/A"/>
    <m/>
    <x v="220"/>
    <s v="Geeta G-DellTeam"/>
    <s v=""/>
    <m/>
    <m/>
    <s v="HES"/>
    <n v="13"/>
    <x v="0"/>
    <n v="0"/>
    <m/>
    <e v="#N/A"/>
    <e v="#N/A"/>
    <m/>
    <s v="English"/>
    <e v="#N/A"/>
  </r>
  <r>
    <x v="221"/>
    <x v="221"/>
    <s v="No Assigned L6"/>
    <s v="UDS"/>
    <s v="PowerScale"/>
    <s v="Y"/>
    <e v="#N/A"/>
    <s v="India"/>
    <e v="#N/A"/>
    <n v="0.629"/>
    <m/>
    <m/>
    <s v="10/7"/>
    <m/>
    <x v="221"/>
    <s v="Douglas Lumb"/>
    <s v=""/>
    <n v="12"/>
    <m/>
    <s v="HES"/>
    <n v="13"/>
    <x v="0"/>
    <n v="0"/>
    <m/>
    <e v="#N/A"/>
    <e v="#N/A"/>
    <m/>
    <s v="Multiple Languages"/>
    <e v="#N/A"/>
  </r>
  <r>
    <x v="222"/>
    <x v="222"/>
    <s v="No Assigned L6"/>
    <s v="UDS"/>
    <s v="OBJ"/>
    <s v="Y"/>
    <e v="#N/A"/>
    <s v="NAMER"/>
    <e v="#N/A"/>
    <n v="0.64800000000000002"/>
    <m/>
    <m/>
    <s v="12/7"/>
    <m/>
    <x v="222"/>
    <s v="Geeta G-DellTeam"/>
    <s v=""/>
    <n v="14"/>
    <m/>
    <s v="HES"/>
    <n v="13"/>
    <x v="0"/>
    <n v="0"/>
    <m/>
    <e v="#N/A"/>
    <e v="#N/A"/>
    <m/>
    <s v="English"/>
    <e v="#N/A"/>
  </r>
  <r>
    <x v="223"/>
    <x v="223"/>
    <s v="No Assigned L6"/>
    <s v="DPD"/>
    <s v="Avamar"/>
    <s v="Y"/>
    <e v="#N/A"/>
    <s v="India"/>
    <e v="#N/A"/>
    <n v="0.629"/>
    <m/>
    <m/>
    <s v="9/7"/>
    <m/>
    <x v="223"/>
    <s v="Douglas Lumb"/>
    <s v=""/>
    <n v="9"/>
    <m/>
    <s v="HES"/>
    <n v="13"/>
    <x v="0"/>
    <n v="0"/>
    <m/>
    <e v="#N/A"/>
    <e v="#N/A"/>
    <m/>
    <s v="Multiple Languages"/>
    <e v="#N/A"/>
  </r>
  <r>
    <x v="224"/>
    <x v="224"/>
    <s v="No Assigned L6"/>
    <s v="Primary"/>
    <s v="Connectivity"/>
    <s v="Y"/>
    <e v="#N/A"/>
    <s v="India"/>
    <e v="#N/A"/>
    <n v="0.629"/>
    <m/>
    <m/>
    <s v="14/5, 9/1"/>
    <m/>
    <x v="224"/>
    <s v="Douglas Lumb"/>
    <s v=""/>
    <n v="13"/>
    <m/>
    <s v="HES"/>
    <n v="13"/>
    <x v="0"/>
    <n v="0"/>
    <m/>
    <e v="#N/A"/>
    <e v="#N/A"/>
    <m/>
    <s v="Multiple Languages"/>
    <e v="#N/A"/>
  </r>
  <r>
    <x v="225"/>
    <x v="225"/>
    <s v="No Assigned L6"/>
    <s v="DPD"/>
    <s v="DataDomain"/>
    <s v="Y"/>
    <e v="#N/A"/>
    <s v="India"/>
    <e v="#N/A"/>
    <n v="0.629"/>
    <m/>
    <m/>
    <s v="9/7"/>
    <m/>
    <x v="225"/>
    <s v="Douglas Lumb"/>
    <s v=""/>
    <n v="9"/>
    <m/>
    <s v="HES"/>
    <n v="13"/>
    <x v="0"/>
    <n v="0"/>
    <m/>
    <e v="#N/A"/>
    <e v="#N/A"/>
    <m/>
    <s v="Multiple Languages"/>
    <e v="#N/A"/>
  </r>
  <r>
    <x v="226"/>
    <x v="226"/>
    <s v="No Assigned L6"/>
    <s v="GNCS"/>
    <s v="Hyperconverged"/>
    <s v="Y"/>
    <e v="#N/A"/>
    <s v="India"/>
    <e v="#N/A"/>
    <n v="0.629"/>
    <m/>
    <m/>
    <s v="16/5, 9/2"/>
    <m/>
    <x v="226"/>
    <s v="Geeta G-DellTeam"/>
    <s v=""/>
    <n v="14"/>
    <m/>
    <s v="HES"/>
    <n v="13"/>
    <x v="0"/>
    <n v="0"/>
    <m/>
    <e v="#N/A"/>
    <e v="#N/A"/>
    <m/>
    <s v="Multiple Languages"/>
    <e v="#N/A"/>
  </r>
  <r>
    <x v="227"/>
    <x v="227"/>
    <s v="No Assigned L6"/>
    <s v="Primary"/>
    <s v="Integrated_Software"/>
    <s v="Y"/>
    <e v="#N/A"/>
    <s v="India"/>
    <e v="#N/A"/>
    <n v="0.629"/>
    <m/>
    <m/>
    <s v="9/7"/>
    <m/>
    <x v="227"/>
    <s v="Douglas Lumb"/>
    <s v=""/>
    <n v="9"/>
    <m/>
    <s v="HES"/>
    <n v="13"/>
    <x v="0"/>
    <n v="0"/>
    <m/>
    <e v="#N/A"/>
    <e v="#N/A"/>
    <m/>
    <s v="Multiple Languages"/>
    <e v="#N/A"/>
  </r>
  <r>
    <x v="228"/>
    <x v="228"/>
    <s v="No Assigned L6"/>
    <s v="DPD"/>
    <s v="Networker"/>
    <s v="Y"/>
    <e v="#N/A"/>
    <s v="India"/>
    <e v="#N/A"/>
    <n v="0.629"/>
    <m/>
    <m/>
    <s v="14/5, 9/2"/>
    <m/>
    <x v="228"/>
    <s v="Douglas Lumb"/>
    <s v=""/>
    <n v="14"/>
    <m/>
    <s v="HES"/>
    <n v="13"/>
    <x v="0"/>
    <n v="0"/>
    <m/>
    <e v="#N/A"/>
    <e v="#N/A"/>
    <m/>
    <s v="Multiple Languages"/>
    <e v="#N/A"/>
  </r>
  <r>
    <x v="229"/>
    <x v="229"/>
    <s v="No Assigned L6"/>
    <s v="UDS"/>
    <s v="OBJ"/>
    <s v="Y"/>
    <e v="#N/A"/>
    <s v="India"/>
    <e v="#N/A"/>
    <n v="0.629"/>
    <m/>
    <m/>
    <e v="#N/A"/>
    <m/>
    <x v="229"/>
    <s v="Geeta G-DellTeam"/>
    <s v=""/>
    <m/>
    <m/>
    <s v="HES"/>
    <n v="13"/>
    <x v="0"/>
    <n v="0"/>
    <m/>
    <e v="#N/A"/>
    <e v="#N/A"/>
    <m/>
    <s v="Multiple Languages"/>
    <e v="#N/A"/>
  </r>
  <r>
    <x v="230"/>
    <x v="20"/>
    <s v="No Assigned L6"/>
    <s v="Primary"/>
    <s v="Symmetrix"/>
    <s v="Y"/>
    <e v="#N/A"/>
    <s v="India"/>
    <e v="#N/A"/>
    <n v="0.629"/>
    <m/>
    <m/>
    <e v="#N/A"/>
    <m/>
    <x v="230"/>
    <e v="#N/A"/>
    <s v=""/>
    <m/>
    <m/>
    <s v="HES"/>
    <n v="13"/>
    <x v="0"/>
    <n v="0"/>
    <m/>
    <e v="#N/A"/>
    <e v="#N/A"/>
    <m/>
    <e v="#N/A"/>
    <e v="#N/A"/>
  </r>
  <r>
    <x v="231"/>
    <x v="230"/>
    <s v="No Assigned L6"/>
    <s v="Primary"/>
    <s v="SymmSW"/>
    <s v="Y"/>
    <e v="#N/A"/>
    <s v="India"/>
    <e v="#N/A"/>
    <n v="0.629"/>
    <m/>
    <m/>
    <s v="9/5"/>
    <m/>
    <x v="231"/>
    <s v="Douglas Lumb"/>
    <s v=""/>
    <n v="4"/>
    <m/>
    <s v="HES"/>
    <n v="13"/>
    <x v="0"/>
    <n v="0"/>
    <m/>
    <e v="#N/A"/>
    <e v="#N/A"/>
    <m/>
    <s v="Multiple Languages"/>
    <e v="#N/A"/>
  </r>
  <r>
    <x v="232"/>
    <x v="231"/>
    <s v="No Assigned L6"/>
    <s v="Midrange"/>
    <s v="Midrange"/>
    <s v="Y"/>
    <e v="#N/A"/>
    <s v="India"/>
    <e v="#N/A"/>
    <n v="0.629"/>
    <m/>
    <m/>
    <s v="16/7"/>
    <m/>
    <x v="232"/>
    <s v="Douglas Lumb"/>
    <s v=""/>
    <n v="16"/>
    <m/>
    <s v="HES"/>
    <n v="13"/>
    <x v="0"/>
    <n v="0"/>
    <m/>
    <e v="#N/A"/>
    <e v="#N/A"/>
    <m/>
    <s v="Multiple Languages"/>
    <e v="#N/A"/>
  </r>
  <r>
    <x v="233"/>
    <x v="232"/>
    <s v="No Assigned L6"/>
    <s v="Primary"/>
    <s v="Vplex"/>
    <s v="Y"/>
    <e v="#N/A"/>
    <s v="India"/>
    <e v="#N/A"/>
    <n v="0.629"/>
    <m/>
    <m/>
    <s v="9/6"/>
    <m/>
    <x v="233"/>
    <s v="Douglas Lumb"/>
    <s v=""/>
    <n v="6"/>
    <m/>
    <s v="HES"/>
    <n v="13"/>
    <x v="0"/>
    <n v="0"/>
    <m/>
    <e v="#N/A"/>
    <e v="#N/A"/>
    <m/>
    <s v="Multiple Languages"/>
    <e v="#N/A"/>
  </r>
  <r>
    <x v="234"/>
    <x v="233"/>
    <s v="No Assigned L6"/>
    <s v="Primary"/>
    <s v="XtremIO"/>
    <s v="Y"/>
    <e v="#N/A"/>
    <s v="India"/>
    <e v="#N/A"/>
    <n v="0.629"/>
    <m/>
    <m/>
    <s v="9/7"/>
    <m/>
    <x v="234"/>
    <s v="Douglas Lumb"/>
    <s v=""/>
    <n v="9"/>
    <m/>
    <s v="HES"/>
    <n v="13"/>
    <x v="0"/>
    <n v="0"/>
    <m/>
    <e v="#N/A"/>
    <e v="#N/A"/>
    <m/>
    <s v="Multiple Languages"/>
    <e v="#N/A"/>
  </r>
  <r>
    <x v="235"/>
    <x v="234"/>
    <s v="No Assigned L6"/>
    <s v="DPD"/>
    <s v="DPA"/>
    <s v="Y"/>
    <e v="#N/A"/>
    <s v="LATAM"/>
    <s v="ROLA"/>
    <n v="0.626"/>
    <m/>
    <m/>
    <m/>
    <s v="L1"/>
    <x v="235"/>
    <s v="Zhuo Chen"/>
    <s v=""/>
    <m/>
    <m/>
    <s v="HES"/>
    <n v="13"/>
    <x v="0"/>
    <n v="0"/>
    <m/>
    <e v="#N/A"/>
    <e v="#N/A"/>
    <m/>
    <s v="Multiple Languages"/>
    <e v="#N/A"/>
  </r>
  <r>
    <x v="236"/>
    <x v="235"/>
    <s v="No Assigned L6"/>
    <s v="GNCS"/>
    <s v="Hyperconverged"/>
    <s v="Y"/>
    <e v="#N/A"/>
    <s v="LATAM"/>
    <s v="Other MMCLA"/>
    <n v="0.626"/>
    <m/>
    <m/>
    <s v="24/7"/>
    <m/>
    <x v="236"/>
    <s v="Douglas Lumb"/>
    <s v=""/>
    <n v="24"/>
    <m/>
    <s v="HES"/>
    <n v="13"/>
    <x v="0"/>
    <n v="0"/>
    <m/>
    <e v="#N/A"/>
    <e v="#N/A"/>
    <m/>
    <s v="Multiple Languages"/>
    <e v="#N/A"/>
  </r>
  <r>
    <x v="237"/>
    <x v="236"/>
    <s v="No Assigned L6"/>
    <s v="UDS"/>
    <s v="OBJ"/>
    <s v="Y"/>
    <e v="#N/A"/>
    <s v="EMEA"/>
    <e v="#N/A"/>
    <n v="0.61699999999999999"/>
    <m/>
    <m/>
    <s v="12/7"/>
    <m/>
    <x v="237"/>
    <s v="Geeta G-DellTeam"/>
    <s v=""/>
    <n v="14"/>
    <m/>
    <s v="HES"/>
    <n v="13"/>
    <x v="0"/>
    <n v="0"/>
    <m/>
    <e v="#N/A"/>
    <e v="#N/A"/>
    <m/>
    <s v="Multiple Languages"/>
    <e v="#N/A"/>
  </r>
  <r>
    <x v="238"/>
    <x v="237"/>
    <s v="No Assigned L6"/>
    <s v="UDS"/>
    <s v="OBJ"/>
    <s v="Y"/>
    <e v="#N/A"/>
    <s v="APJ"/>
    <e v="#N/A"/>
    <n v="0.629"/>
    <m/>
    <m/>
    <s v="12/7"/>
    <m/>
    <x v="238"/>
    <s v="Geeta G-DellTeam"/>
    <s v=""/>
    <n v="14"/>
    <m/>
    <s v="HES"/>
    <n v="13"/>
    <x v="0"/>
    <n v="0"/>
    <m/>
    <e v="#N/A"/>
    <e v="#N/A"/>
    <m/>
    <s v="Multiple Languages"/>
    <e v="#N/A"/>
  </r>
  <r>
    <x v="239"/>
    <x v="238"/>
    <s v="No Assigned L6"/>
    <m/>
    <s v="Midrange"/>
    <s v="Y"/>
    <e v="#N/A"/>
    <s v="APJ"/>
    <s v="Japan"/>
    <n v="0.629"/>
    <m/>
    <m/>
    <s v="12/7"/>
    <m/>
    <x v="239"/>
    <s v="Zhuo Chen"/>
    <s v=""/>
    <n v="14"/>
    <m/>
    <s v="HES"/>
    <n v="13"/>
    <x v="0"/>
    <n v="0"/>
    <m/>
    <e v="#N/A"/>
    <e v="#N/A"/>
    <m/>
    <s v="Japanese"/>
    <e v="#N/A"/>
  </r>
  <r>
    <x v="240"/>
    <x v="239"/>
    <s v="No Assigned L6"/>
    <m/>
    <s v="Hyperconverged"/>
    <s v="Y"/>
    <e v="#N/A"/>
    <s v="APJ"/>
    <s v="Japan"/>
    <n v="0.629"/>
    <m/>
    <m/>
    <s v="12/7"/>
    <s v="L1"/>
    <x v="240"/>
    <s v="Zhuo Chen"/>
    <s v=""/>
    <n v="14"/>
    <m/>
    <s v="HES"/>
    <n v="13"/>
    <x v="0"/>
    <n v="0"/>
    <m/>
    <e v="#N/A"/>
    <e v="#N/A"/>
    <m/>
    <s v="Japanese"/>
    <e v="#N/A"/>
  </r>
  <r>
    <x v="241"/>
    <x v="240"/>
    <s v="No Assigned L6"/>
    <m/>
    <s v="Spanish"/>
    <s v="Y"/>
    <e v="#N/A"/>
    <s v="LATAM"/>
    <s v="Other MMCLA"/>
    <n v="0.626"/>
    <m/>
    <m/>
    <e v="#N/A"/>
    <m/>
    <x v="241"/>
    <s v="Douglas Lumb"/>
    <s v=""/>
    <m/>
    <m/>
    <s v="HES"/>
    <n v="13"/>
    <x v="0"/>
    <n v="0"/>
    <m/>
    <e v="#N/A"/>
    <e v="#N/A"/>
    <m/>
    <s v="Spanish"/>
    <e v="#N/A"/>
  </r>
  <r>
    <x v="242"/>
    <x v="241"/>
    <s v="No Assigned L6"/>
    <m/>
    <s v="Hyperconverged"/>
    <s v="Y"/>
    <e v="#N/A"/>
    <s v="LATAM"/>
    <s v="Other MMCLA"/>
    <n v="0.626"/>
    <m/>
    <m/>
    <e v="#N/A"/>
    <m/>
    <x v="242"/>
    <s v="Geeta G-DellTeam"/>
    <s v=""/>
    <m/>
    <m/>
    <s v="HES"/>
    <n v="13"/>
    <x v="0"/>
    <n v="0"/>
    <m/>
    <e v="#N/A"/>
    <e v="#N/A"/>
    <m/>
    <s v="Spanish"/>
    <e v="#N/A"/>
  </r>
  <r>
    <x v="243"/>
    <x v="20"/>
    <s v="No Assigned L6"/>
    <s v="DPD"/>
    <s v="PowerProtect"/>
    <s v="Y"/>
    <e v="#N/A"/>
    <s v="NAMER"/>
    <m/>
    <n v="0.64800000000000002"/>
    <m/>
    <m/>
    <s v="12/7"/>
    <s v="L1"/>
    <x v="243"/>
    <e v="#N/A"/>
    <s v=""/>
    <n v="14"/>
    <m/>
    <s v="HES"/>
    <n v="13"/>
    <x v="0"/>
    <n v="0"/>
    <m/>
    <e v="#N/A"/>
    <e v="#N/A"/>
    <m/>
    <e v="#N/A"/>
    <e v="#N/A"/>
  </r>
  <r>
    <x v="244"/>
    <x v="242"/>
    <s v="No Assigned L6"/>
    <m/>
    <s v="Midrange"/>
    <s v="Y"/>
    <e v="#N/A"/>
    <s v="LATAM"/>
    <s v="ROLA"/>
    <n v="0.626"/>
    <m/>
    <m/>
    <m/>
    <m/>
    <x v="244"/>
    <s v="Douglas Lumb"/>
    <s v=""/>
    <m/>
    <m/>
    <s v="HES"/>
    <n v="13"/>
    <x v="0"/>
    <n v="0"/>
    <m/>
    <e v="#N/A"/>
    <e v="#N/A"/>
    <m/>
    <s v="Spanish"/>
    <e v="#N/A"/>
  </r>
  <r>
    <x v="245"/>
    <x v="243"/>
    <s v="No Assigned L6"/>
    <s v="Midrange"/>
    <s v="Midrange"/>
    <s v="Y"/>
    <e v="#N/A"/>
    <s v="NAMER"/>
    <e v="#N/A"/>
    <n v="0.64800000000000002"/>
    <m/>
    <m/>
    <s v="12/7"/>
    <m/>
    <x v="245"/>
    <s v="Douglas Lumb"/>
    <s v=""/>
    <n v="14"/>
    <m/>
    <s v="HES"/>
    <n v="13"/>
    <x v="0"/>
    <n v="0"/>
    <m/>
    <e v="#N/A"/>
    <e v="#N/A"/>
    <m/>
    <s v="English"/>
    <e v="#N/A"/>
  </r>
  <r>
    <x v="246"/>
    <x v="244"/>
    <s v="No Assigned L6"/>
    <s v="GNCS"/>
    <s v="Hyperconverged"/>
    <s v="Y"/>
    <e v="#N/A"/>
    <s v="NAMER"/>
    <e v="#N/A"/>
    <n v="0.64800000000000002"/>
    <m/>
    <m/>
    <s v="12/7"/>
    <m/>
    <x v="246"/>
    <s v="Douglas Lumb"/>
    <s v=""/>
    <n v="14"/>
    <m/>
    <s v="HES"/>
    <n v="13"/>
    <x v="0"/>
    <n v="0"/>
    <m/>
    <e v="#N/A"/>
    <e v="#N/A"/>
    <m/>
    <s v="English"/>
    <e v="#N/A"/>
  </r>
  <r>
    <x v="247"/>
    <x v="245"/>
    <s v="No Assigned L6"/>
    <s v="GNCS"/>
    <s v="Hyperconverged"/>
    <s v="Y"/>
    <e v="#N/A"/>
    <s v="NAMER"/>
    <e v="#N/A"/>
    <n v="0.64800000000000002"/>
    <m/>
    <m/>
    <s v="12/7"/>
    <m/>
    <x v="247"/>
    <s v="Douglas Lumb"/>
    <s v=""/>
    <n v="14"/>
    <m/>
    <s v="HES"/>
    <n v="13"/>
    <x v="0"/>
    <n v="0"/>
    <m/>
    <e v="#N/A"/>
    <e v="#N/A"/>
    <m/>
    <s v="Multiple Languages"/>
    <e v="#N/A"/>
  </r>
  <r>
    <x v="248"/>
    <x v="246"/>
    <s v="No Assigned L6"/>
    <s v="Midrange"/>
    <s v="Midrange"/>
    <s v="Y"/>
    <e v="#N/A"/>
    <s v="NAMER"/>
    <e v="#N/A"/>
    <n v="0.64800000000000002"/>
    <m/>
    <m/>
    <e v="#N/A"/>
    <m/>
    <x v="248"/>
    <s v="Geeta G-DellTeam"/>
    <s v=""/>
    <m/>
    <m/>
    <s v="HES"/>
    <n v="13"/>
    <x v="0"/>
    <n v="0"/>
    <m/>
    <e v="#N/A"/>
    <e v="#N/A"/>
    <m/>
    <s v="Multiple Languages"/>
    <e v="#N/A"/>
  </r>
  <r>
    <x v="249"/>
    <x v="247"/>
    <s v="D'Arcy, Mark"/>
    <s v="GNCS"/>
    <s v="VMWare"/>
    <s v="Y"/>
    <s v="Backline"/>
    <s v="Global"/>
    <s v="Global"/>
    <n v="0.63300000000000001"/>
    <n v="1.8670169726832081E-2"/>
    <m/>
    <s v="12/7"/>
    <s v="Non-L1"/>
    <x v="249"/>
    <s v="Zhuo Chen"/>
    <s v="Bethany Rana"/>
    <n v="14"/>
    <m/>
    <s v="HES"/>
    <n v="13"/>
    <x v="0"/>
    <n v="0"/>
    <s v="Global Solutions HCI DE"/>
    <s v="07:00-23:30 CST"/>
    <s v="Sat-Fri"/>
    <s v="Queue Got Merged in GS01"/>
    <s v="English"/>
    <e v="#N/A"/>
  </r>
  <r>
    <x v="250"/>
    <x v="248"/>
    <s v="D'Arcy, Mark"/>
    <s v="GNCS"/>
    <s v="Hyperconverged"/>
    <s v="Y"/>
    <s v="Backline"/>
    <s v="EMEA"/>
    <s v="Egypt"/>
    <n v="0.61699999999999999"/>
    <n v="3.8967379973253502E-2"/>
    <m/>
    <s v="8/5"/>
    <s v="CTE"/>
    <x v="250"/>
    <s v="Zhuo Chen"/>
    <s v="Bethany Rana"/>
    <n v="4"/>
    <m/>
    <s v="HES"/>
    <n v="13"/>
    <x v="0"/>
    <n v="0"/>
    <m/>
    <s v="24*7"/>
    <s v="Sat- Fri"/>
    <m/>
    <s v="Multiple Languages"/>
    <e v="#N/A"/>
  </r>
  <r>
    <x v="251"/>
    <x v="249"/>
    <s v="D'Arcy, Mark"/>
    <s v="GNCS"/>
    <s v="Hyperconverged"/>
    <s v="Y"/>
    <s v="Backline"/>
    <s v="Global"/>
    <s v="China"/>
    <n v="0.63300000000000001"/>
    <n v="1.8670169726832081E-2"/>
    <m/>
    <s v="24/7"/>
    <s v="Non-L1"/>
    <x v="251"/>
    <s v="Geeta G-DellTeam"/>
    <s v="Bethany Rana"/>
    <n v="24"/>
    <m/>
    <s v="HES"/>
    <n v="13"/>
    <x v="0"/>
    <n v="0"/>
    <s v="Global Solutions HCI DE"/>
    <s v="24*7"/>
    <s v="Sat- Fri"/>
    <s v="Queue Got Merged in GS01"/>
    <s v="Multiple Languages"/>
    <e v="#N/A"/>
  </r>
  <r>
    <x v="252"/>
    <x v="250"/>
    <s v="D'Arcy, Mark"/>
    <s v="GNCS"/>
    <s v="Hyperconverged"/>
    <s v="Y"/>
    <s v="Backline"/>
    <s v="Global"/>
    <s v="Australia"/>
    <n v="0.63300000000000001"/>
    <n v="1.8670169726832081E-2"/>
    <m/>
    <s v="24/7"/>
    <s v="Non-L1"/>
    <x v="252"/>
    <s v="Douglas Lumb"/>
    <s v="Bethany Rana"/>
    <n v="24"/>
    <m/>
    <s v="HES"/>
    <n v="13"/>
    <x v="0"/>
    <n v="0"/>
    <m/>
    <s v="24*7"/>
    <s v="Sat- Fri"/>
    <m/>
    <s v="English"/>
    <e v="#N/A"/>
  </r>
  <r>
    <x v="253"/>
    <x v="251"/>
    <s v="D'Arcy, Mark"/>
    <s v="GNCS"/>
    <s v="Global Solutions"/>
    <s v="Y"/>
    <s v="Backline"/>
    <s v="Global"/>
    <s v="Australia"/>
    <n v="0.63300000000000001"/>
    <n v="1.8670169726832081E-2"/>
    <m/>
    <s v="24/7"/>
    <s v="Non-L1"/>
    <x v="253"/>
    <s v="Douglas Lumb"/>
    <s v="Bethany Rana"/>
    <n v="24"/>
    <m/>
    <s v="HES"/>
    <n v="13"/>
    <x v="0"/>
    <n v="0"/>
    <s v="Global Solutions MS DE"/>
    <s v="24*7"/>
    <s v="Sat- Fri"/>
    <s v="Queue Got Merged in GS02"/>
    <s v="English"/>
    <e v="#N/A"/>
  </r>
  <r>
    <x v="254"/>
    <x v="252"/>
    <s v="Yap, Diane"/>
    <s v="GNCS"/>
    <s v="Hyperconverged"/>
    <s v="Y"/>
    <s v="Front Line"/>
    <s v="APJ"/>
    <s v="Australia"/>
    <n v="0.629"/>
    <n v="2.278539874447803E-2"/>
    <m/>
    <s v="15/7"/>
    <s v="L1"/>
    <x v="254"/>
    <s v="Douglas Lumb"/>
    <s v="Bethany Rana"/>
    <n v="16"/>
    <m/>
    <s v="HES"/>
    <n v="13"/>
    <x v="0"/>
    <n v="0"/>
    <m/>
    <s v="17:00-11:30 CST "/>
    <s v="Sat- Fri"/>
    <m/>
    <s v="Multiple Languages"/>
    <e v="#N/A"/>
  </r>
  <r>
    <x v="255"/>
    <x v="253"/>
    <s v="D'Arcy, Mark"/>
    <s v="GNCS"/>
    <s v="Hyperconverged"/>
    <s v="Y"/>
    <s v="Front Line"/>
    <s v="EMEA"/>
    <s v="Egypt"/>
    <n v="0.61699999999999999"/>
    <n v="0.05"/>
    <m/>
    <s v="24/7"/>
    <s v="L1"/>
    <x v="255"/>
    <s v="Douglas Lumb"/>
    <s v="Bethany Rana"/>
    <n v="24"/>
    <m/>
    <s v="HES"/>
    <n v="13"/>
    <x v="0"/>
    <n v="0"/>
    <m/>
    <s v="01:00-09:00 CST"/>
    <s v="Sat- Fri"/>
    <m/>
    <s v="Multiple Languages"/>
    <e v="#N/A"/>
  </r>
  <r>
    <x v="256"/>
    <x v="254"/>
    <s v="D'Arcy, Mark"/>
    <s v="GNCS"/>
    <s v="Hyperconverged"/>
    <s v="Y"/>
    <s v="Front Line"/>
    <s v="NAMER"/>
    <s v="Costa Rica"/>
    <n v="0.64800000000000002"/>
    <n v="2.0372233400402416E-2"/>
    <m/>
    <s v="12/7"/>
    <s v="L1"/>
    <x v="256"/>
    <s v="Douglas Lumb"/>
    <s v="Bethany Rana"/>
    <n v="14"/>
    <m/>
    <s v="HES"/>
    <n v="13"/>
    <x v="0"/>
    <n v="0"/>
    <m/>
    <s v="08:00-20:00 CST"/>
    <s v="Sat-Fri"/>
    <m/>
    <s v="English"/>
    <e v="#N/A"/>
  </r>
  <r>
    <x v="257"/>
    <x v="255"/>
    <s v="Yap, Diane"/>
    <s v="GNCS"/>
    <s v="Hyperconverged"/>
    <s v="Y"/>
    <s v="Front Line"/>
    <s v="APJ"/>
    <s v="India"/>
    <n v="0.629"/>
    <n v="0.05"/>
    <m/>
    <s v="9/7"/>
    <s v="L1"/>
    <x v="257"/>
    <s v="Douglas Lumb"/>
    <s v="Bethany Rana"/>
    <n v="9"/>
    <m/>
    <s v="HES"/>
    <n v="13"/>
    <x v="0"/>
    <n v="0"/>
    <m/>
    <s v="06:00-22:00 IST"/>
    <s v="Sat-Fri"/>
    <m/>
    <s v="English"/>
    <e v="#N/A"/>
  </r>
  <r>
    <x v="258"/>
    <x v="256"/>
    <s v="No Assigned L6"/>
    <m/>
    <m/>
    <s v="Y"/>
    <s v="Front Line"/>
    <s v="APJ"/>
    <s v="China"/>
    <n v="0.629"/>
    <m/>
    <m/>
    <m/>
    <m/>
    <x v="258"/>
    <s v="Douglas Lumb"/>
    <s v="Chen Zhou"/>
    <m/>
    <m/>
    <s v="HES"/>
    <m/>
    <x v="0"/>
    <n v="0"/>
    <m/>
    <e v="#N/A"/>
    <e v="#N/A"/>
    <m/>
    <s v="Mandarin"/>
    <e v="#N/A"/>
  </r>
  <r>
    <x v="259"/>
    <x v="257"/>
    <s v="No Assigned L6"/>
    <s v="Primary"/>
    <s v="Symmetrix"/>
    <s v="Y"/>
    <s v="Front Line"/>
    <s v="LATAM"/>
    <s v="Other MMCLA"/>
    <n v="0.626"/>
    <n v="1.5604681404421327E-2"/>
    <m/>
    <s v="16/5, 9/2"/>
    <s v="L1"/>
    <x v="259"/>
    <s v="Douglas Lumb"/>
    <s v="Darrick Nelsen"/>
    <n v="14"/>
    <m/>
    <s v="HES"/>
    <n v="13"/>
    <x v="0"/>
    <n v="0"/>
    <m/>
    <s v="05:00-21:00 CST"/>
    <s v="Mon-Fri"/>
    <m/>
    <s v="Multiple Languages"/>
    <e v="#N/A"/>
  </r>
  <r>
    <x v="260"/>
    <x v="258"/>
    <s v="No Assigned L6"/>
    <s v="Midrange"/>
    <s v="Midrange"/>
    <s v="Y"/>
    <s v="Front Line"/>
    <s v="LATAM"/>
    <s v="Other MMCLA"/>
    <n v="0.626"/>
    <n v="1.5604681404421327E-2"/>
    <m/>
    <n v="0"/>
    <s v="L1"/>
    <x v="260"/>
    <s v="Douglas Lumb"/>
    <s v="Darrick Nelsen"/>
    <n v="0"/>
    <m/>
    <s v="HES"/>
    <n v="13"/>
    <x v="0"/>
    <n v="0"/>
    <m/>
    <s v="05:00-23:00 CST"/>
    <s v="Sat-Fri"/>
    <m/>
    <s v="Multiple Languages"/>
    <e v="#N/A"/>
  </r>
  <r>
    <x v="261"/>
    <x v="259"/>
    <s v="No Assigned L6"/>
    <s v="DPD"/>
    <s v="Cloudboost"/>
    <s v="Y"/>
    <s v="Backline"/>
    <s v="Global"/>
    <s v="Ireland"/>
    <n v="0.63300000000000001"/>
    <n v="1.8670169726832081E-2"/>
    <m/>
    <n v="0"/>
    <s v="L1"/>
    <x v="261"/>
    <s v="Douglas Lumb"/>
    <s v="Khim Sun Lau"/>
    <n v="0"/>
    <m/>
    <s v="HES"/>
    <n v="13"/>
    <x v="0"/>
    <n v="0"/>
    <m/>
    <e v="#N/A"/>
    <e v="#N/A"/>
    <m/>
    <s v="English"/>
    <e v="#N/A"/>
  </r>
  <r>
    <x v="262"/>
    <x v="260"/>
    <s v="Punch, Patrick"/>
    <s v="DPD"/>
    <s v="Sourceone"/>
    <s v="Y"/>
    <s v="Backline"/>
    <s v="Global"/>
    <s v="Australia"/>
    <n v="0.63300000000000001"/>
    <n v="1.8670169726832081E-2"/>
    <m/>
    <s v="11/7"/>
    <s v="Non-L1"/>
    <x v="262"/>
    <s v="Douglas Lumb"/>
    <s v="Khim Sun Lau"/>
    <n v="12"/>
    <m/>
    <s v="HES"/>
    <n v="13"/>
    <x v="0"/>
    <n v="0"/>
    <m/>
    <s v="24*7"/>
    <s v="Sat- Fri"/>
    <m/>
    <s v="English"/>
    <e v="#N/A"/>
  </r>
  <r>
    <x v="263"/>
    <x v="261"/>
    <s v="No Assigned L6"/>
    <s v="DPD"/>
    <s v="DPSolutions"/>
    <s v="Y"/>
    <s v="Front Line"/>
    <s v="APJ"/>
    <s v="Australia"/>
    <n v="0.629"/>
    <n v="2.278539874447803E-2"/>
    <m/>
    <s v="12/5, 8/2"/>
    <s v="L1"/>
    <x v="263"/>
    <s v="Douglas Lumb"/>
    <s v="Khim Sun Lau"/>
    <n v="11"/>
    <m/>
    <s v="HES"/>
    <n v="13"/>
    <x v="0"/>
    <n v="0"/>
    <m/>
    <e v="#N/A"/>
    <e v="#N/A"/>
    <m/>
    <s v="Multiple Languages"/>
    <e v="#N/A"/>
  </r>
  <r>
    <x v="264"/>
    <x v="262"/>
    <s v="No Assigned L6"/>
    <s v="UDS"/>
    <s v="PowerScale"/>
    <s v="Y"/>
    <s v="Front Line"/>
    <s v="LATAM"/>
    <s v="Other MMCLA"/>
    <n v="0.626"/>
    <n v="1.5604681404421327E-2"/>
    <m/>
    <s v="9/5"/>
    <s v="L1"/>
    <x v="264"/>
    <s v="Douglas Lumb"/>
    <s v="Lucas Serafim"/>
    <n v="4"/>
    <m/>
    <s v="HES"/>
    <n v="13"/>
    <x v="0"/>
    <n v="0"/>
    <m/>
    <s v="06:00-23:00 CST"/>
    <s v="Mon-Fri"/>
    <m/>
    <s v="Multiple Languages"/>
    <e v="#N/A"/>
  </r>
  <r>
    <x v="265"/>
    <x v="263"/>
    <s v="No Assigned L6"/>
    <s v="UDS"/>
    <s v="OBJ"/>
    <s v="Y"/>
    <s v="Front Line"/>
    <s v="LATAM"/>
    <s v="Brazil"/>
    <n v="0.57099999999999995"/>
    <n v="1.5604681404421327E-2"/>
    <m/>
    <n v="0"/>
    <s v="L1"/>
    <x v="265"/>
    <s v="Douglas Lumb"/>
    <s v="Lucas Serafim"/>
    <n v="0"/>
    <m/>
    <s v="HES"/>
    <n v="13"/>
    <x v="0"/>
    <n v="0"/>
    <m/>
    <s v="06:00-19:00 CST"/>
    <s v="Mon-Fri"/>
    <m/>
    <s v="Multiple Languages"/>
    <e v="#N/A"/>
  </r>
  <r>
    <x v="266"/>
    <x v="264"/>
    <s v="No Assigned L6"/>
    <s v="DPD"/>
    <s v="Avamar"/>
    <s v="Y"/>
    <s v="Front Line"/>
    <s v="LATAM"/>
    <s v="Other MMCLA"/>
    <n v="0.626"/>
    <n v="1.5604681404421327E-2"/>
    <m/>
    <s v="9/7"/>
    <s v="L1"/>
    <x v="266"/>
    <s v="Douglas Lumb"/>
    <s v="Lucas Serafim"/>
    <n v="9"/>
    <m/>
    <s v="HES"/>
    <n v="13"/>
    <x v="0"/>
    <n v="0"/>
    <m/>
    <s v="06:00-19:00 CST"/>
    <s v="Mon-Fri"/>
    <m/>
    <s v="Multiple Languages"/>
    <e v="#N/A"/>
  </r>
  <r>
    <x v="267"/>
    <x v="265"/>
    <s v="No Assigned L6"/>
    <s v="DPD"/>
    <s v="DataDomain"/>
    <s v="Y"/>
    <s v="Front Line"/>
    <s v="LATAM"/>
    <s v="Other MMCLA"/>
    <n v="0.626"/>
    <n v="1.5604681404421327E-2"/>
    <m/>
    <s v="9/7"/>
    <s v="L1"/>
    <x v="267"/>
    <s v="Douglas Lumb"/>
    <s v="Lucas Serafim"/>
    <n v="9"/>
    <m/>
    <s v="HES"/>
    <n v="13"/>
    <x v="0"/>
    <n v="0"/>
    <m/>
    <s v="06:00-19:00 CST"/>
    <s v="Mon-Fri"/>
    <m/>
    <s v="Multiple Languages"/>
    <e v="#N/A"/>
  </r>
  <r>
    <x v="268"/>
    <x v="266"/>
    <s v="No Assigned L6"/>
    <s v="DPD"/>
    <s v="Networker"/>
    <s v="Y"/>
    <s v="Front Line"/>
    <s v="LATAM"/>
    <s v="Other MMCLA"/>
    <n v="0.626"/>
    <n v="1.5604681404421327E-2"/>
    <m/>
    <s v="12/5, 8/2"/>
    <s v="L1"/>
    <x v="268"/>
    <s v="Douglas Lumb"/>
    <s v="Lucas Serafim"/>
    <n v="11"/>
    <m/>
    <s v="HES"/>
    <n v="13"/>
    <x v="0"/>
    <n v="0"/>
    <m/>
    <s v="06:00-18:00 CST"/>
    <s v="Mon-Fri"/>
    <m/>
    <s v="Multiple Languages"/>
    <e v="#N/A"/>
  </r>
  <r>
    <x v="269"/>
    <x v="267"/>
    <s v="Kenneally, Niall"/>
    <s v="Midrange"/>
    <s v="Midrange"/>
    <s v="Y"/>
    <s v="Backline"/>
    <s v="Global"/>
    <s v="Australia"/>
    <n v="0.63300000000000001"/>
    <n v="1.8670169726832081E-2"/>
    <m/>
    <s v="24/7"/>
    <s v="Non-L1"/>
    <x v="269"/>
    <s v="Douglas Lumb"/>
    <s v="Miguel Galicia"/>
    <n v="24"/>
    <m/>
    <s v="HES"/>
    <n v="13"/>
    <x v="0"/>
    <n v="0"/>
    <s v="GLOBAL HES MIDRANGE Backline"/>
    <s v="24*7"/>
    <s v="Sat- Fri"/>
    <s v="Queue Got Merged in BL17"/>
    <s v="English"/>
    <e v="#N/A"/>
  </r>
  <r>
    <x v="270"/>
    <x v="268"/>
    <s v="Kenneally, Niall"/>
    <s v="Primary"/>
    <s v="XtremIO"/>
    <s v="Y"/>
    <s v="Backline"/>
    <s v="Global"/>
    <s v="Australia"/>
    <n v="0.63300000000000001"/>
    <n v="1.2145748987854251E-2"/>
    <m/>
    <s v="16/5, 9/2"/>
    <s v="Non-L1"/>
    <x v="270"/>
    <s v="Douglas Lumb"/>
    <s v="Miguel Galicia"/>
    <n v="14"/>
    <m/>
    <s v="HES"/>
    <n v="13"/>
    <x v="0"/>
    <n v="0"/>
    <s v="GLOBAL HES MIDRANGE Backline"/>
    <s v="24*7"/>
    <s v="Sat- Fri"/>
    <s v="Queue Got Merged in BL17"/>
    <s v="English"/>
    <e v="#N/A"/>
  </r>
  <r>
    <x v="271"/>
    <x v="269"/>
    <s v="Yap, Diane"/>
    <s v="Primary"/>
    <s v="Connectivity"/>
    <s v="Y"/>
    <s v="Front Line"/>
    <s v="APJ"/>
    <s v="India"/>
    <n v="0.629"/>
    <n v="2.278539874447803E-2"/>
    <m/>
    <s v="14/5, 9/1"/>
    <s v="L1"/>
    <x v="271"/>
    <s v="Douglas Lumb"/>
    <s v="Miguel Galicia"/>
    <n v="13"/>
    <m/>
    <s v="HES"/>
    <n v="13"/>
    <x v="0"/>
    <n v="0"/>
    <s v="Global Connectivity"/>
    <s v="Mon-Fri: 06:30--20:30 IST &amp; Sat-Sun: 11:30-20:30 IST"/>
    <s v="Sat- Fri"/>
    <s v="Queue Got Merged in GC22"/>
    <s v="Multiple Languages"/>
    <e v="#N/A"/>
  </r>
  <r>
    <x v="272"/>
    <x v="270"/>
    <s v="Yap, Diane"/>
    <s v="Primary"/>
    <s v="Integrated_Software"/>
    <s v="Y"/>
    <s v="Front Line"/>
    <s v="APJ"/>
    <s v="Australia"/>
    <n v="0.629"/>
    <n v="2.278539874447803E-2"/>
    <m/>
    <s v="15/7"/>
    <s v="L1"/>
    <x v="272"/>
    <s v="Douglas Lumb"/>
    <s v="Miguel Galicia"/>
    <n v="16"/>
    <m/>
    <s v="HES"/>
    <n v="13"/>
    <x v="0"/>
    <n v="0"/>
    <s v="Global Integrated Software"/>
    <s v="09:00-17:00 AEST"/>
    <s v="Sat- Fri"/>
    <s v="Queue Got Merged in HE12"/>
    <s v="Multiple Languages"/>
    <e v="#N/A"/>
  </r>
  <r>
    <x v="273"/>
    <x v="271"/>
    <s v="Yap, Diane"/>
    <s v="Primary"/>
    <s v="Symmetrix"/>
    <s v="Y"/>
    <s v="Front Line"/>
    <s v="APJ"/>
    <s v="Australia"/>
    <n v="0.629"/>
    <n v="2.278539874447803E-2"/>
    <m/>
    <s v="10/7"/>
    <s v="L1"/>
    <x v="273"/>
    <s v="Douglas Lumb"/>
    <s v="Miguel Galicia"/>
    <n v="12"/>
    <m/>
    <s v="HES"/>
    <n v="13"/>
    <x v="0"/>
    <n v="0"/>
    <s v="Global Symmetrix"/>
    <s v="07:00–17:00 AEST"/>
    <s v="Sat- Fri"/>
    <s v="Queue Got Merged in GC23"/>
    <s v="Multiple Languages"/>
    <e v="#N/A"/>
  </r>
  <r>
    <x v="274"/>
    <x v="272"/>
    <s v="Yap, Diane"/>
    <s v="Primary"/>
    <s v="SymmSW"/>
    <s v="Y"/>
    <s v="Front Line"/>
    <s v="APJ"/>
    <s v="Australia"/>
    <n v="0.629"/>
    <n v="2.278539874447803E-2"/>
    <m/>
    <s v="10/7"/>
    <s v="L1"/>
    <x v="274"/>
    <s v="Douglas Lumb"/>
    <s v="Miguel Galicia"/>
    <n v="12"/>
    <m/>
    <s v="HES"/>
    <n v="13"/>
    <x v="0"/>
    <n v="0"/>
    <s v="Global Symmetrix SW"/>
    <s v="08:00–16:00 AEST "/>
    <s v="Sat- Fri"/>
    <s v="Queue Got Merged in GC24"/>
    <s v="Multiple Languages"/>
    <e v="#N/A"/>
  </r>
  <r>
    <x v="275"/>
    <x v="273"/>
    <s v="Yap, Diane"/>
    <s v="Midrange"/>
    <s v="Midrange"/>
    <s v="Y"/>
    <s v="Front Line"/>
    <s v="APJ"/>
    <s v="Australia"/>
    <n v="0.629"/>
    <n v="2.033898305084746E-2"/>
    <m/>
    <s v="16/7"/>
    <s v="L1"/>
    <x v="275"/>
    <s v="Douglas Lumb"/>
    <s v="Miguel Galicia"/>
    <n v="16"/>
    <m/>
    <s v="HES"/>
    <n v="13"/>
    <x v="0"/>
    <n v="0"/>
    <s v="Global HES Midrange FL"/>
    <s v="18:00-14:00 EST"/>
    <s v="Sat- Fri"/>
    <s v="Queue Got Merged in GS05"/>
    <s v="Multiple Languages"/>
    <e v="#N/A"/>
  </r>
  <r>
    <x v="276"/>
    <x v="274"/>
    <s v="Yap, Diane"/>
    <s v="Primary"/>
    <s v="Vplex"/>
    <s v="Y"/>
    <s v="Front Line"/>
    <s v="APJ"/>
    <s v="Australia"/>
    <n v="0.629"/>
    <n v="2.278539874447803E-2"/>
    <m/>
    <s v="8/7"/>
    <s v="L1"/>
    <x v="276"/>
    <s v="Douglas Lumb"/>
    <s v="Miguel Galicia"/>
    <n v="9"/>
    <m/>
    <s v="HES"/>
    <n v="13"/>
    <x v="0"/>
    <n v="0"/>
    <s v="Global Vplex FL"/>
    <s v="08:00–16:00 AEST"/>
    <s v="Sat- Fri"/>
    <s v="Queue Got Merged in GC25"/>
    <s v="Multiple Languages"/>
    <e v="#N/A"/>
  </r>
  <r>
    <x v="277"/>
    <x v="275"/>
    <s v="Kenneally, Niall"/>
    <s v="Primary"/>
    <s v="Connectivity"/>
    <s v="Y"/>
    <s v="Front Line"/>
    <s v="EMEA"/>
    <s v="Egypt"/>
    <n v="0.61699999999999999"/>
    <n v="3.8967379973253502E-2"/>
    <m/>
    <s v="8/7"/>
    <s v="L1"/>
    <x v="277"/>
    <s v="Douglas Lumb"/>
    <s v="Miguel Galicia"/>
    <n v="9"/>
    <m/>
    <s v="HES"/>
    <n v="13"/>
    <x v="0"/>
    <n v="0"/>
    <s v="Global Connectivity"/>
    <s v="01:00-09:00 CST"/>
    <s v="Sat- Fri"/>
    <s v="Queue Got Merged in GC22"/>
    <s v="Multiple Languages"/>
    <e v="#N/A"/>
  </r>
  <r>
    <x v="278"/>
    <x v="276"/>
    <s v="Kenneally, Niall"/>
    <s v="Primary"/>
    <s v="Integrated_Software"/>
    <s v="Y"/>
    <s v="Front Line"/>
    <s v="EMEA"/>
    <s v="Egypt"/>
    <n v="0.61699999999999999"/>
    <n v="3.8967379973253502E-2"/>
    <m/>
    <s v="8/7"/>
    <s v="L1"/>
    <x v="278"/>
    <s v="Douglas Lumb"/>
    <s v="Miguel Galicia"/>
    <n v="9"/>
    <m/>
    <s v="HES"/>
    <n v="13"/>
    <x v="0"/>
    <n v="0"/>
    <s v="Global Integrated Software"/>
    <s v="01:00-09:00 CST"/>
    <s v="Sat- Fri"/>
    <s v="Queue Got Merged in HE12"/>
    <s v="Multiple Languages"/>
    <e v="#N/A"/>
  </r>
  <r>
    <x v="279"/>
    <x v="277"/>
    <s v="Kenneally, Niall"/>
    <s v="Primary"/>
    <s v="Symmetrix"/>
    <s v="Y"/>
    <s v="Front Line"/>
    <s v="EMEA"/>
    <s v="Egypt"/>
    <n v="0.61699999999999999"/>
    <n v="3.6022158773668489E-2"/>
    <m/>
    <s v="8/7"/>
    <s v="L1"/>
    <x v="279"/>
    <s v="Douglas Lumb"/>
    <s v="Miguel Galicia"/>
    <n v="9"/>
    <m/>
    <s v="HES"/>
    <n v="13"/>
    <x v="0"/>
    <n v="0"/>
    <s v="Global Symmetrix"/>
    <s v="01:00-09:00 CST"/>
    <s v="Sat- Fri"/>
    <s v="Queue Got Merged in GC23"/>
    <s v="Multiple Languages"/>
    <e v="#N/A"/>
  </r>
  <r>
    <x v="280"/>
    <x v="278"/>
    <s v="Kenneally, Niall"/>
    <s v="Primary"/>
    <s v="SymmSW"/>
    <s v="Y"/>
    <s v="Front Line"/>
    <s v="EMEA"/>
    <s v="Egypt"/>
    <n v="0.61699999999999999"/>
    <n v="3.8967379973253502E-2"/>
    <m/>
    <n v="0"/>
    <s v="L1"/>
    <x v="280"/>
    <s v="Douglas Lumb"/>
    <s v="Miguel Galicia"/>
    <n v="4"/>
    <m/>
    <s v="HES"/>
    <n v="13"/>
    <x v="0"/>
    <n v="0"/>
    <s v="Global Symmetrix SW"/>
    <s v="01:00-09:00 CST"/>
    <s v="Sat- Fri"/>
    <s v="Queue Got Merged in GC24"/>
    <s v="Multiple Languages"/>
    <e v="#N/A"/>
  </r>
  <r>
    <x v="281"/>
    <x v="279"/>
    <s v="Kenneally, Niall"/>
    <s v="Midrange"/>
    <s v="Midrange"/>
    <s v="Y"/>
    <s v="Front Line"/>
    <s v="EMEA"/>
    <s v="Egypt"/>
    <n v="0.61699999999999999"/>
    <n v="1.4950166112956811E-2"/>
    <m/>
    <s v="12/5, 8/2"/>
    <s v="L1"/>
    <x v="281"/>
    <s v="Douglas Lumb"/>
    <s v="Miguel Galicia"/>
    <n v="11"/>
    <m/>
    <s v="HES"/>
    <n v="13"/>
    <x v="0"/>
    <n v="0"/>
    <s v="Global HES Midrange FL"/>
    <s v="01:00-12:00 CST"/>
    <s v="Sat- Fri"/>
    <s v="Queue Got Merged in GS05"/>
    <s v="Multiple Languages"/>
    <e v="#N/A"/>
  </r>
  <r>
    <x v="282"/>
    <x v="280"/>
    <s v="Kenneally, Niall"/>
    <s v="Primary"/>
    <s v="Vplex"/>
    <s v="Y"/>
    <s v="Front Line"/>
    <s v="EMEA"/>
    <s v="Egypt"/>
    <n v="0.61699999999999999"/>
    <n v="3.2258064516129031E-2"/>
    <m/>
    <s v="8/7"/>
    <s v="L1"/>
    <x v="282"/>
    <s v="Douglas Lumb"/>
    <s v="Miguel Galicia"/>
    <n v="9"/>
    <m/>
    <s v="HES"/>
    <n v="13"/>
    <x v="0"/>
    <n v="0"/>
    <s v="Global Vplex FL"/>
    <s v="01:00-09:00 CST"/>
    <s v="Sat- Fri"/>
    <s v="Queue Got Merged in GC25"/>
    <s v="Multiple Languages"/>
    <e v="#N/A"/>
  </r>
  <r>
    <x v="283"/>
    <x v="281"/>
    <s v="Kenneally, Niall"/>
    <s v="Primary"/>
    <s v="XtremIO"/>
    <s v="Y"/>
    <s v="Front Line"/>
    <s v="EMEA"/>
    <s v="Egypt"/>
    <n v="0.61699999999999999"/>
    <n v="3.8967379973253502E-2"/>
    <m/>
    <s v="8/7"/>
    <s v="Non-L1"/>
    <x v="283"/>
    <s v="Douglas Lumb"/>
    <s v="Miguel Galicia"/>
    <n v="9"/>
    <m/>
    <s v="HES"/>
    <n v="13"/>
    <x v="0"/>
    <n v="0"/>
    <s v="GLOBAL HES MIDRANGE Backline"/>
    <s v="01:00-09:00 CST"/>
    <s v="Sat- Fri"/>
    <s v="Queue Got Merged in BL17"/>
    <s v="Multiple Languages"/>
    <e v="#N/A"/>
  </r>
  <r>
    <x v="284"/>
    <x v="282"/>
    <s v="No Assigned L6"/>
    <s v="Primary"/>
    <s v="SymmSW"/>
    <s v="Y"/>
    <s v="Front Line"/>
    <s v="LATAM"/>
    <s v="Other MMCLA"/>
    <n v="0.626"/>
    <m/>
    <m/>
    <n v="0"/>
    <s v="L1"/>
    <x v="284"/>
    <s v="Douglas Lumb"/>
    <s v="Miguel Galicia"/>
    <n v="0"/>
    <m/>
    <s v="HES"/>
    <n v="13"/>
    <x v="0"/>
    <n v="0"/>
    <m/>
    <e v="#N/A"/>
    <e v="#N/A"/>
    <m/>
    <s v="Multiple Languages"/>
    <e v="#N/A"/>
  </r>
  <r>
    <x v="285"/>
    <x v="283"/>
    <s v="Kenneally, Niall"/>
    <s v="Primary"/>
    <s v="Connectivity"/>
    <s v="Y"/>
    <s v="Front Line"/>
    <s v="NAMER"/>
    <s v="Costa Rica"/>
    <n v="0.64800000000000002"/>
    <n v="2.0441445869264104E-2"/>
    <m/>
    <s v="12/7"/>
    <s v="L1"/>
    <x v="285"/>
    <s v="Douglas Lumb"/>
    <s v="Miguel Galicia"/>
    <n v="14"/>
    <m/>
    <s v="HES"/>
    <n v="13"/>
    <x v="0"/>
    <n v="0"/>
    <s v="Global Connectivity"/>
    <s v="07:00-18:00 CST"/>
    <s v="Sat-Fri"/>
    <s v="Queue Got Merged in GC22"/>
    <s v="English"/>
    <e v="#N/A"/>
  </r>
  <r>
    <x v="286"/>
    <x v="20"/>
    <s v="No Assigned L6"/>
    <s v="Primary"/>
    <s v="Connectivity"/>
    <s v="Y"/>
    <e v="#N/A"/>
    <s v="NAMER"/>
    <s v="Costa Rica"/>
    <n v="0.64800000000000002"/>
    <n v="2.0441445869264104E-2"/>
    <m/>
    <n v="0"/>
    <s v="L1"/>
    <x v="286"/>
    <e v="#N/A"/>
    <s v="Miguel Galicia"/>
    <n v="0"/>
    <m/>
    <s v="HES"/>
    <n v="13"/>
    <x v="0"/>
    <n v="0"/>
    <m/>
    <e v="#N/A"/>
    <e v="#N/A"/>
    <m/>
    <e v="#N/A"/>
    <e v="#N/A"/>
  </r>
  <r>
    <x v="287"/>
    <x v="284"/>
    <s v="Kenneally, Niall"/>
    <s v="Primary"/>
    <s v="Integrated_Software"/>
    <s v="Y"/>
    <s v="Front Line"/>
    <s v="NAMER"/>
    <s v="United States"/>
    <n v="0.64800000000000002"/>
    <n v="2.0441445869264104E-2"/>
    <m/>
    <s v="12/5, 8/2"/>
    <s v="L1"/>
    <x v="287"/>
    <s v="Douglas Lumb"/>
    <s v="Miguel Galicia"/>
    <n v="11"/>
    <m/>
    <s v="HES"/>
    <n v="13"/>
    <x v="0"/>
    <n v="0"/>
    <s v="Global Integrated Software"/>
    <s v="07:00-18:00 CST"/>
    <s v="Sat-Fri"/>
    <s v="Queue Got Merged in HE12"/>
    <s v="English"/>
    <e v="#N/A"/>
  </r>
  <r>
    <x v="288"/>
    <x v="285"/>
    <s v="Kenneally, Niall"/>
    <s v="Primary"/>
    <s v="Symmetrix"/>
    <s v="Y"/>
    <s v="Front Line"/>
    <s v="NAMER"/>
    <s v="Costa Rica"/>
    <n v="0.64800000000000002"/>
    <n v="1.119402985074627E-2"/>
    <m/>
    <s v="15/7"/>
    <s v="L1"/>
    <x v="288"/>
    <s v="Douglas Lumb"/>
    <s v="Miguel Galicia"/>
    <n v="16"/>
    <m/>
    <s v="HES"/>
    <n v="13"/>
    <x v="0"/>
    <n v="0"/>
    <s v="Global Symmetrix"/>
    <s v="06:00-23:00 CST"/>
    <s v="Sat-Fri"/>
    <s v="Queue Got Merged in GC23"/>
    <s v="English"/>
    <e v="#N/A"/>
  </r>
  <r>
    <x v="289"/>
    <x v="286"/>
    <s v="Kenneally, Niall"/>
    <s v="Primary"/>
    <s v="SymmSW"/>
    <s v="Y"/>
    <s v="Front Line"/>
    <s v="NAMER"/>
    <s v="United States"/>
    <n v="0.64800000000000002"/>
    <n v="2.0441445869264104E-2"/>
    <m/>
    <s v="9/5"/>
    <s v="L1"/>
    <x v="289"/>
    <s v="Douglas Lumb"/>
    <s v="Miguel Galicia"/>
    <n v="4"/>
    <m/>
    <s v="HES"/>
    <n v="13"/>
    <x v="0"/>
    <n v="0"/>
    <s v="Global Symmetrix SW"/>
    <s v="08:00-17:00 CST"/>
    <s v="Sat-Fri"/>
    <s v="Queue Got Merged in GC24"/>
    <s v="English"/>
    <e v="#N/A"/>
  </r>
  <r>
    <x v="290"/>
    <x v="287"/>
    <s v="Kenneally, Niall"/>
    <s v="Midrange"/>
    <s v="Midrange"/>
    <s v="Y"/>
    <s v="Front Line"/>
    <s v="NAMER"/>
    <s v="United States"/>
    <n v="0.64800000000000002"/>
    <n v="2.0441445869264104E-2"/>
    <m/>
    <s v="12/7"/>
    <s v="L1"/>
    <x v="290"/>
    <s v="Douglas Lumb"/>
    <s v="Miguel Galicia"/>
    <n v="14"/>
    <m/>
    <s v="HES"/>
    <n v="13"/>
    <x v="0"/>
    <n v="0"/>
    <s v="Global HES Midrange FL"/>
    <s v="24*7"/>
    <s v="Sat- Fri"/>
    <s v="Queue Got Merged in GS05"/>
    <s v="English"/>
    <e v="#N/A"/>
  </r>
  <r>
    <x v="291"/>
    <x v="288"/>
    <s v="Kenneally, Niall"/>
    <s v="Primary"/>
    <s v="Vplex"/>
    <s v="Y"/>
    <s v="Front Line"/>
    <s v="NAMER"/>
    <s v="United States"/>
    <n v="0.64800000000000002"/>
    <n v="2.0441445869264104E-2"/>
    <m/>
    <s v="12/5, 8/2"/>
    <s v="L1"/>
    <x v="291"/>
    <s v="Douglas Lumb"/>
    <s v="Miguel Galicia"/>
    <n v="11"/>
    <m/>
    <s v="HES"/>
    <n v="13"/>
    <x v="0"/>
    <n v="0"/>
    <s v="Global Vplex FL"/>
    <s v="06:00-18:00 CST"/>
    <s v="Sat-Fri"/>
    <s v="Queue Got Merged in GC25"/>
    <s v="English"/>
    <e v="#N/A"/>
  </r>
  <r>
    <x v="292"/>
    <x v="20"/>
    <s v="No Assigned L6"/>
    <s v="Primary"/>
    <s v="Vplex"/>
    <s v="Y"/>
    <e v="#N/A"/>
    <s v="NAMER"/>
    <s v="United States"/>
    <n v="0.64800000000000002"/>
    <n v="2.0441445869264104E-2"/>
    <m/>
    <n v="0"/>
    <s v="L1"/>
    <x v="292"/>
    <e v="#N/A"/>
    <s v="Miguel Galicia"/>
    <n v="0"/>
    <m/>
    <s v="HES"/>
    <n v="13"/>
    <x v="0"/>
    <n v="0"/>
    <m/>
    <e v="#N/A"/>
    <e v="#N/A"/>
    <m/>
    <e v="#N/A"/>
    <e v="#N/A"/>
  </r>
  <r>
    <x v="293"/>
    <x v="289"/>
    <s v="No Assigned L6"/>
    <s v="Primary"/>
    <s v="XtremIO"/>
    <s v="Y"/>
    <s v="Front Line"/>
    <s v="NAMER"/>
    <s v="United States"/>
    <n v="0.64800000000000002"/>
    <n v="2.0441445869264104E-2"/>
    <m/>
    <n v="0"/>
    <s v="L1"/>
    <x v="293"/>
    <s v="Douglas Lumb"/>
    <s v="Miguel Galicia"/>
    <n v="0"/>
    <m/>
    <s v="HES"/>
    <n v="13"/>
    <x v="0"/>
    <n v="0"/>
    <m/>
    <e v="#N/A"/>
    <e v="#N/A"/>
    <m/>
    <s v="English"/>
    <e v="#N/A"/>
  </r>
  <r>
    <x v="294"/>
    <x v="290"/>
    <s v="Punch, Patrick"/>
    <s v="GNCS"/>
    <s v="APEX"/>
    <s v="Y"/>
    <s v="Backline"/>
    <s v="Global"/>
    <s v="Global"/>
    <n v="0.63300000000000001"/>
    <n v="1.8670169726832081E-2"/>
    <m/>
    <s v="12/7"/>
    <s v="L1"/>
    <x v="294"/>
    <s v="Zhuo Chen"/>
    <s v="StephenRaj  Kumar"/>
    <n v="14"/>
    <m/>
    <s v="HES"/>
    <n v="13"/>
    <x v="0"/>
    <n v="0"/>
    <m/>
    <s v="24*7"/>
    <s v="Sat- Fri"/>
    <m/>
    <s v="English"/>
    <e v="#N/A"/>
  </r>
  <r>
    <x v="295"/>
    <x v="291"/>
    <s v="No Assigned L6"/>
    <s v="DPD"/>
    <s v="DPSolutions"/>
    <s v="Y"/>
    <s v="Front Line"/>
    <s v="APJ"/>
    <s v="China"/>
    <n v="0.629"/>
    <n v="2.278539874447803E-2"/>
    <m/>
    <s v="11/5, 8/2"/>
    <s v="L1"/>
    <x v="295"/>
    <s v="Geeta G-DellTeam"/>
    <s v="StephenRaj  Kumar / CZ"/>
    <n v="12"/>
    <m/>
    <s v="HES"/>
    <n v="13"/>
    <x v="0"/>
    <n v="0"/>
    <m/>
    <e v="#N/A"/>
    <e v="#N/A"/>
    <m/>
    <s v="Mandarin"/>
    <e v="#N/A"/>
  </r>
  <r>
    <x v="296"/>
    <x v="292"/>
    <s v="Punch, Patrick"/>
    <s v="UDS"/>
    <s v="PowerScale"/>
    <s v="Y"/>
    <s v="Combined"/>
    <s v="APJ"/>
    <s v="Australia"/>
    <n v="0.629"/>
    <n v="1.0471204188481676E-2"/>
    <m/>
    <s v="15/7, Oncall"/>
    <s v="L1"/>
    <x v="296"/>
    <s v="Sarthak Shahir - Dellteam"/>
    <s v="Khim Sun Lau"/>
    <n v="16"/>
    <m/>
    <s v="HES"/>
    <n v="13"/>
    <x v="0"/>
    <n v="46"/>
    <m/>
    <s v="05:00-22:30 IST"/>
    <s v="Sat- Fri"/>
    <s v=""/>
    <s v="Multiple Languages"/>
    <s v="Mahajan, Rohit - Dell Team"/>
  </r>
  <r>
    <x v="297"/>
    <x v="293"/>
    <s v="D'Arcy, Mark"/>
    <s v="Enterprise"/>
    <s v="Enterprise"/>
    <s v="Y"/>
    <s v="Not Planned"/>
    <s v="APJ"/>
    <s v="China"/>
    <n v="0.63900000000000001"/>
    <m/>
    <m/>
    <s v="12/7"/>
    <s v="L1"/>
    <x v="297"/>
    <s v="Sarthak Shahir - Dellteam"/>
    <s v="StephenRaj  Kumar"/>
    <n v="14"/>
    <m/>
    <s v="Not Planned"/>
    <n v="13"/>
    <x v="0"/>
    <n v="9"/>
    <s v="Getting Merged to CCC CNS Mandarian"/>
    <s v="-"/>
    <s v="-"/>
    <s v=""/>
    <s v="Multiple Languages"/>
    <e v="#N/A"/>
  </r>
  <r>
    <x v="298"/>
    <x v="294"/>
    <s v="No Assigned L6"/>
    <m/>
    <s v="Enterprise"/>
    <s v="N"/>
    <e v="#N/A"/>
    <s v="Americas"/>
    <s v="United States"/>
    <m/>
    <m/>
    <m/>
    <s v="12/7"/>
    <s v="Quality Coach"/>
    <x v="298"/>
    <s v="Zhuo Chen"/>
    <s v=""/>
    <n v="14"/>
    <m/>
    <s v="Not Planned"/>
    <m/>
    <x v="0"/>
    <n v="0"/>
    <m/>
    <e v="#N/A"/>
    <e v="#N/A"/>
    <m/>
    <s v="English"/>
    <e v="#N/A"/>
  </r>
  <r>
    <x v="299"/>
    <x v="295"/>
    <s v="Talley, Chad"/>
    <s v="All"/>
    <s v="All"/>
    <s v="N"/>
    <e v="#N/A"/>
    <s v="APJ"/>
    <s v="China"/>
    <m/>
    <m/>
    <m/>
    <s v="12/7"/>
    <m/>
    <x v="299"/>
    <s v="Zhuo Chen"/>
    <s v=""/>
    <n v="14"/>
    <m/>
    <s v="Not Planned"/>
    <m/>
    <x v="0"/>
    <n v="1"/>
    <m/>
    <e v="#N/A"/>
    <e v="#N/A"/>
    <m/>
    <s v="Mandarin"/>
    <e v="#N/A"/>
  </r>
  <r>
    <x v="300"/>
    <x v="296"/>
    <s v="No Assigned L6"/>
    <s v="All"/>
    <s v="All"/>
    <s v="N"/>
    <e v="#N/A"/>
    <s v="EMEA"/>
    <s v="United Kingdom"/>
    <m/>
    <m/>
    <m/>
    <s v="12/7"/>
    <m/>
    <x v="300"/>
    <s v="Zhuo Chen"/>
    <s v=""/>
    <n v="14"/>
    <m/>
    <s v="Not Planned"/>
    <m/>
    <x v="0"/>
    <n v="0"/>
    <m/>
    <e v="#N/A"/>
    <e v="#N/A"/>
    <m/>
    <s v="English"/>
    <e v="#N/A"/>
  </r>
  <r>
    <x v="301"/>
    <x v="297"/>
    <s v="Christmas, James"/>
    <s v="Client"/>
    <s v="Client"/>
    <s v="N"/>
    <e v="#N/A"/>
    <s v="APJ"/>
    <s v="Australia"/>
    <m/>
    <m/>
    <m/>
    <s v="12/7"/>
    <m/>
    <x v="301"/>
    <s v="Narendra Singh - Dellteam"/>
    <s v=""/>
    <n v="14"/>
    <m/>
    <s v="Not Planned"/>
    <m/>
    <x v="0"/>
    <n v="35"/>
    <m/>
    <e v="#N/A"/>
    <e v="#N/A"/>
    <m/>
    <s v="English"/>
    <e v="#N/A"/>
  </r>
  <r>
    <x v="302"/>
    <x v="298"/>
    <s v="No Assigned L6"/>
    <m/>
    <s v="Server"/>
    <s v="N"/>
    <e v="#N/A"/>
    <s v="Americas"/>
    <s v="Brazil"/>
    <m/>
    <m/>
    <m/>
    <s v="12/7"/>
    <m/>
    <x v="302"/>
    <s v="Zhuo Chen"/>
    <s v=""/>
    <n v="14"/>
    <m/>
    <s v="Not Planned"/>
    <m/>
    <x v="0"/>
    <n v="0"/>
    <m/>
    <e v="#N/A"/>
    <e v="#N/A"/>
    <m/>
    <s v="Portuguese"/>
    <e v="#N/A"/>
  </r>
  <r>
    <x v="303"/>
    <x v="299"/>
    <s v="Demarest, Mark"/>
    <s v="Enterprise"/>
    <s v="Enterprise"/>
    <s v="N"/>
    <e v="#N/A"/>
    <m/>
    <m/>
    <m/>
    <m/>
    <m/>
    <s v="12/7"/>
    <m/>
    <x v="303"/>
    <s v="Zhuo Chen"/>
    <s v=""/>
    <n v="14"/>
    <m/>
    <s v="Not Planned"/>
    <m/>
    <x v="0"/>
    <n v="0"/>
    <m/>
    <e v="#N/A"/>
    <e v="#N/A"/>
    <m/>
    <s v="Portuguese"/>
    <e v="#N/A"/>
  </r>
  <r>
    <x v="304"/>
    <x v="300"/>
    <s v="Christmas, James"/>
    <s v="Client"/>
    <s v="Client"/>
    <s v="N"/>
    <s v="Not Planned"/>
    <s v="APJ"/>
    <s v="China"/>
    <m/>
    <m/>
    <m/>
    <s v="12/7"/>
    <m/>
    <x v="304"/>
    <s v="Jennifer Wang - Dellteam"/>
    <s v=""/>
    <n v="14"/>
    <m/>
    <s v="Not Planned"/>
    <m/>
    <x v="0"/>
    <n v="55"/>
    <m/>
    <e v="#N/A"/>
    <e v="#N/A"/>
    <m/>
    <s v="Mandarin"/>
    <e v="#N/A"/>
  </r>
  <r>
    <x v="305"/>
    <x v="301"/>
    <s v="Christmas, James"/>
    <s v="Client"/>
    <s v="Client"/>
    <s v="Y"/>
    <e v="#N/A"/>
    <m/>
    <m/>
    <m/>
    <m/>
    <m/>
    <m/>
    <m/>
    <x v="305"/>
    <s v="Jennifer Wang - Dellteam"/>
    <s v=""/>
    <m/>
    <m/>
    <s v="Not Planned"/>
    <m/>
    <x v="0"/>
    <n v="14"/>
    <m/>
    <e v="#N/A"/>
    <e v="#N/A"/>
    <m/>
    <s v="Mandarin"/>
    <e v="#N/A"/>
  </r>
  <r>
    <x v="306"/>
    <x v="302"/>
    <s v="No Assigned L6"/>
    <m/>
    <s v="Server"/>
    <s v="N"/>
    <e v="#N/A"/>
    <s v="APJ"/>
    <s v="China"/>
    <m/>
    <m/>
    <m/>
    <s v="12/7"/>
    <m/>
    <x v="306"/>
    <s v="Zhuo Chen"/>
    <s v=""/>
    <n v="14"/>
    <m/>
    <s v="Not Planned"/>
    <m/>
    <x v="0"/>
    <n v="0"/>
    <m/>
    <e v="#N/A"/>
    <e v="#N/A"/>
    <m/>
    <s v="English"/>
    <e v="#N/A"/>
  </r>
  <r>
    <x v="307"/>
    <x v="20"/>
    <s v="No Assigned L6"/>
    <m/>
    <e v="#N/A"/>
    <s v="N"/>
    <e v="#N/A"/>
    <m/>
    <m/>
    <m/>
    <m/>
    <m/>
    <s v="12/7"/>
    <m/>
    <x v="307"/>
    <e v="#N/A"/>
    <s v=""/>
    <n v="14"/>
    <m/>
    <s v="Not Planned"/>
    <m/>
    <x v="0"/>
    <n v="0"/>
    <m/>
    <e v="#N/A"/>
    <e v="#N/A"/>
    <m/>
    <e v="#N/A"/>
    <e v="#N/A"/>
  </r>
  <r>
    <x v="308"/>
    <x v="303"/>
    <s v="Banthia, Nishant"/>
    <s v="Client"/>
    <s v="Client"/>
    <s v="Y"/>
    <e v="#N/A"/>
    <m/>
    <m/>
    <m/>
    <m/>
    <m/>
    <m/>
    <m/>
    <x v="308"/>
    <s v="Jennifer Wang - Dellteam"/>
    <s v=""/>
    <m/>
    <m/>
    <s v="Not Planned"/>
    <m/>
    <x v="0"/>
    <n v="16.333333333333332"/>
    <m/>
    <e v="#N/A"/>
    <e v="#N/A"/>
    <m/>
    <s v="Mandarin"/>
    <e v="#N/A"/>
  </r>
  <r>
    <x v="309"/>
    <x v="304"/>
    <s v="No Assigned L6"/>
    <s v="CST"/>
    <s v="High End Storage"/>
    <s v="N"/>
    <e v="#N/A"/>
    <s v="NAMER"/>
    <s v="United States"/>
    <n v="0.64800000000000002"/>
    <m/>
    <m/>
    <s v="12/5"/>
    <s v="CST"/>
    <x v="309"/>
    <s v="Zhuo Chen"/>
    <s v=""/>
    <n v="8"/>
    <m/>
    <s v="Not Planned"/>
    <m/>
    <x v="0"/>
    <n v="0"/>
    <m/>
    <e v="#N/A"/>
    <e v="#N/A"/>
    <m/>
    <s v="English"/>
    <e v="#N/A"/>
  </r>
  <r>
    <x v="310"/>
    <x v="305"/>
    <s v="No Assigned L6"/>
    <m/>
    <s v="Storage"/>
    <s v="N"/>
    <e v="#N/A"/>
    <s v="Americas"/>
    <s v="Brazil"/>
    <m/>
    <m/>
    <m/>
    <s v="12/7"/>
    <s v="CTE"/>
    <x v="310"/>
    <s v="Zhuo Chen"/>
    <s v=""/>
    <n v="14"/>
    <m/>
    <s v="Not Planned"/>
    <m/>
    <x v="0"/>
    <n v="0"/>
    <m/>
    <e v="#N/A"/>
    <e v="#N/A"/>
    <m/>
    <s v="Portuguese"/>
    <e v="#N/A"/>
  </r>
  <r>
    <x v="311"/>
    <x v="306"/>
    <s v="No Assigned L6"/>
    <m/>
    <s v="Storage"/>
    <s v="N"/>
    <e v="#N/A"/>
    <s v="Americas"/>
    <s v="Latin America"/>
    <m/>
    <m/>
    <m/>
    <s v="12/7"/>
    <s v="CTE"/>
    <x v="311"/>
    <s v="Zhuo Chen"/>
    <s v=""/>
    <n v="14"/>
    <m/>
    <s v="Not Planned"/>
    <m/>
    <x v="0"/>
    <n v="0"/>
    <m/>
    <e v="#N/A"/>
    <e v="#N/A"/>
    <m/>
    <s v="Spanish"/>
    <e v="#N/A"/>
  </r>
  <r>
    <x v="312"/>
    <x v="307"/>
    <s v="No Assigned L6"/>
    <m/>
    <s v="Networking"/>
    <s v="N"/>
    <s v="Backline"/>
    <s v="Global"/>
    <s v="Multiple Countries"/>
    <m/>
    <m/>
    <m/>
    <s v="12/7"/>
    <m/>
    <x v="312"/>
    <s v="Zhuo Chen"/>
    <s v=""/>
    <n v="14"/>
    <m/>
    <s v="Not Planned"/>
    <m/>
    <x v="0"/>
    <n v="0"/>
    <m/>
    <e v="#N/A"/>
    <e v="#N/A"/>
    <m/>
    <s v="English"/>
    <e v="#N/A"/>
  </r>
  <r>
    <x v="313"/>
    <x v="308"/>
    <s v="No Assigned L6"/>
    <m/>
    <s v="Storage"/>
    <s v="N"/>
    <e v="#N/A"/>
    <s v="Global"/>
    <s v="Multiple Countries"/>
    <m/>
    <m/>
    <m/>
    <s v="12/7"/>
    <m/>
    <x v="313"/>
    <s v="Zhuo Chen"/>
    <s v=""/>
    <n v="14"/>
    <m/>
    <s v="Not Planned"/>
    <m/>
    <x v="0"/>
    <n v="0"/>
    <m/>
    <e v="#N/A"/>
    <e v="#N/A"/>
    <m/>
    <s v="English"/>
    <e v="#N/A"/>
  </r>
  <r>
    <x v="314"/>
    <x v="309"/>
    <s v="No Assigned L6"/>
    <m/>
    <s v="Server"/>
    <s v="N"/>
    <e v="#N/A"/>
    <s v="Global"/>
    <s v="Multiple Countries"/>
    <m/>
    <m/>
    <m/>
    <s v="12/7"/>
    <m/>
    <x v="314"/>
    <s v="Zhuo Chen"/>
    <s v=""/>
    <n v="14"/>
    <m/>
    <s v="Not Planned"/>
    <m/>
    <x v="0"/>
    <n v="0"/>
    <m/>
    <e v="#N/A"/>
    <e v="#N/A"/>
    <m/>
    <s v="English"/>
    <e v="#N/A"/>
  </r>
  <r>
    <x v="315"/>
    <x v="310"/>
    <s v="No Assigned L6"/>
    <m/>
    <s v="Networking"/>
    <s v="N"/>
    <e v="#N/A"/>
    <s v="Global"/>
    <s v="Multiple Countries"/>
    <m/>
    <m/>
    <m/>
    <s v="12/7"/>
    <s v="Manager"/>
    <x v="315"/>
    <s v="Zhuo Chen"/>
    <s v=""/>
    <n v="14"/>
    <m/>
    <s v="Not Planned"/>
    <m/>
    <x v="0"/>
    <n v="0"/>
    <m/>
    <e v="#N/A"/>
    <e v="#N/A"/>
    <m/>
    <s v="English"/>
    <e v="#N/A"/>
  </r>
  <r>
    <x v="316"/>
    <x v="311"/>
    <s v="Christmas, James"/>
    <s v="Client"/>
    <s v="Client"/>
    <s v="N"/>
    <e v="#N/A"/>
    <s v="EMEA"/>
    <s v="Israel"/>
    <m/>
    <m/>
    <m/>
    <s v="12/7"/>
    <m/>
    <x v="316"/>
    <s v="Michael Yumnam - Dellteam"/>
    <s v=""/>
    <n v="14"/>
    <m/>
    <s v="Not Planned"/>
    <m/>
    <x v="0"/>
    <n v="38.666666666666664"/>
    <m/>
    <e v="#N/A"/>
    <e v="#N/A"/>
    <m/>
    <s v="Hebrew"/>
    <e v="#N/A"/>
  </r>
  <r>
    <x v="317"/>
    <x v="312"/>
    <s v="No Assigned L6"/>
    <m/>
    <m/>
    <s v="N"/>
    <e v="#N/A"/>
    <m/>
    <m/>
    <m/>
    <m/>
    <m/>
    <s v="11/5"/>
    <m/>
    <x v="317"/>
    <s v="Vikesh Gupta - Dellteam"/>
    <s v=""/>
    <n v="8"/>
    <m/>
    <s v="Not Planned"/>
    <m/>
    <x v="0"/>
    <n v="0"/>
    <m/>
    <e v="#N/A"/>
    <e v="#N/A"/>
    <m/>
    <s v="Multiple Languages"/>
    <e v="#N/A"/>
  </r>
  <r>
    <x v="318"/>
    <x v="313"/>
    <s v="No Assigned L6"/>
    <m/>
    <s v="Networking"/>
    <s v="N"/>
    <e v="#N/A"/>
    <s v="EMEA"/>
    <s v="United Kingdom"/>
    <m/>
    <m/>
    <m/>
    <s v="12/7"/>
    <m/>
    <x v="318"/>
    <s v="Zhuo Chen"/>
    <s v=""/>
    <n v="14"/>
    <m/>
    <s v="Not Planned"/>
    <m/>
    <x v="0"/>
    <n v="0"/>
    <m/>
    <e v="#N/A"/>
    <e v="#N/A"/>
    <m/>
    <s v="Multiple Languages"/>
    <e v="#N/A"/>
  </r>
  <r>
    <x v="319"/>
    <x v="314"/>
    <s v="Corcoran, Conor"/>
    <s v="Enterprise"/>
    <s v="Enterprise"/>
    <s v="Y"/>
    <e v="#N/A"/>
    <s v="EMEA"/>
    <s v="United Kingdom"/>
    <n v="0.61699999999999999"/>
    <m/>
    <m/>
    <s v="12/7"/>
    <m/>
    <x v="319"/>
    <s v="Zhuo Chen"/>
    <s v=""/>
    <n v="14"/>
    <m/>
    <s v="Not Planned"/>
    <m/>
    <x v="0"/>
    <n v="4"/>
    <m/>
    <e v="#N/A"/>
    <e v="#N/A"/>
    <m/>
    <s v="Multiple Languages"/>
    <e v="#N/A"/>
  </r>
  <r>
    <x v="320"/>
    <x v="315"/>
    <s v="No Assigned L6"/>
    <m/>
    <s v="Enterprise"/>
    <s v="N"/>
    <e v="#N/A"/>
    <s v="EMEA"/>
    <s v="United Kingdom"/>
    <m/>
    <m/>
    <m/>
    <s v="12/7"/>
    <m/>
    <x v="320"/>
    <s v="Zhuo Chen"/>
    <s v=""/>
    <n v="14"/>
    <m/>
    <s v="Not Planned"/>
    <m/>
    <x v="0"/>
    <n v="0"/>
    <m/>
    <e v="#N/A"/>
    <e v="#N/A"/>
    <m/>
    <s v="Multiple Languages"/>
    <e v="#N/A"/>
  </r>
  <r>
    <x v="321"/>
    <x v="316"/>
    <s v="Venugopal, Lokesh"/>
    <s v="All"/>
    <s v="All"/>
    <s v="N"/>
    <e v="#N/A"/>
    <s v="EMEA"/>
    <s v="United Kingdom"/>
    <m/>
    <m/>
    <m/>
    <s v="12/7"/>
    <m/>
    <x v="321"/>
    <s v="Zhuo Chen"/>
    <s v=""/>
    <n v="14"/>
    <m/>
    <s v="Not Planned"/>
    <m/>
    <x v="0"/>
    <n v="1"/>
    <m/>
    <e v="#N/A"/>
    <e v="#N/A"/>
    <m/>
    <s v="Multiple Languages"/>
    <e v="#N/A"/>
  </r>
  <r>
    <x v="322"/>
    <x v="317"/>
    <s v="No Assigned L6"/>
    <m/>
    <s v="GNCS.VxRail"/>
    <s v="N"/>
    <e v="#N/A"/>
    <s v="EMEA"/>
    <s v="United Kingdom"/>
    <m/>
    <m/>
    <m/>
    <s v="12/7"/>
    <m/>
    <x v="322"/>
    <s v="Zhuo Chen"/>
    <s v=""/>
    <n v="14"/>
    <m/>
    <s v="Not Planned"/>
    <m/>
    <x v="0"/>
    <n v="0"/>
    <m/>
    <e v="#N/A"/>
    <e v="#N/A"/>
    <m/>
    <s v="Multiple Languages"/>
    <e v="#N/A"/>
  </r>
  <r>
    <x v="323"/>
    <x v="318"/>
    <s v="No Assigned L6"/>
    <m/>
    <s v="Cloud"/>
    <s v="N"/>
    <e v="#N/A"/>
    <s v="EMEA"/>
    <s v="United Kingdom"/>
    <m/>
    <m/>
    <m/>
    <s v="12/7"/>
    <m/>
    <x v="323"/>
    <s v="Zhuo Chen"/>
    <s v=""/>
    <n v="14"/>
    <m/>
    <s v="Not Planned"/>
    <m/>
    <x v="0"/>
    <n v="0"/>
    <m/>
    <e v="#N/A"/>
    <e v="#N/A"/>
    <m/>
    <s v="English"/>
    <e v="#N/A"/>
  </r>
  <r>
    <x v="324"/>
    <x v="319"/>
    <s v="No Assigned L6"/>
    <m/>
    <s v="Server"/>
    <s v="N"/>
    <e v="#N/A"/>
    <s v="EMEA"/>
    <s v="United Kingdom"/>
    <m/>
    <m/>
    <m/>
    <s v="12/7"/>
    <m/>
    <x v="324"/>
    <s v="Zhuo Chen"/>
    <s v=""/>
    <n v="14"/>
    <m/>
    <s v="Not Planned"/>
    <m/>
    <x v="0"/>
    <n v="0"/>
    <m/>
    <e v="#N/A"/>
    <e v="#N/A"/>
    <m/>
    <s v="English"/>
    <e v="#N/A"/>
  </r>
  <r>
    <x v="325"/>
    <x v="320"/>
    <s v="No Assigned L6"/>
    <m/>
    <s v="High End Storage"/>
    <s v="N"/>
    <e v="#N/A"/>
    <s v="Americas"/>
    <s v="United States"/>
    <m/>
    <m/>
    <m/>
    <s v="12/7"/>
    <m/>
    <x v="325"/>
    <s v="Zhuo Chen"/>
    <s v=""/>
    <n v="14"/>
    <m/>
    <s v="Not Planned"/>
    <m/>
    <x v="0"/>
    <n v="0"/>
    <m/>
    <e v="#N/A"/>
    <e v="#N/A"/>
    <m/>
    <s v="English"/>
    <e v="#N/A"/>
  </r>
  <r>
    <x v="326"/>
    <x v="321"/>
    <s v="No Assigned L6"/>
    <m/>
    <s v="High End Storage"/>
    <s v="N"/>
    <e v="#N/A"/>
    <s v="Americas"/>
    <s v="United States"/>
    <m/>
    <m/>
    <m/>
    <s v="12/7"/>
    <m/>
    <x v="326"/>
    <s v="Zhuo Chen"/>
    <s v=""/>
    <n v="14"/>
    <m/>
    <s v="Not Planned"/>
    <m/>
    <x v="0"/>
    <n v="0"/>
    <m/>
    <e v="#N/A"/>
    <e v="#N/A"/>
    <m/>
    <s v="English"/>
    <e v="#N/A"/>
  </r>
  <r>
    <x v="327"/>
    <x v="322"/>
    <s v="No Assigned L6"/>
    <m/>
    <s v="DPD.DPSolutions"/>
    <s v="N"/>
    <e v="#N/A"/>
    <s v="Global"/>
    <s v="Multiple Countries"/>
    <m/>
    <m/>
    <m/>
    <s v="12/7"/>
    <m/>
    <x v="327"/>
    <s v="Zhuo Chen"/>
    <s v=""/>
    <n v="14"/>
    <m/>
    <s v="Not Planned"/>
    <m/>
    <x v="0"/>
    <n v="0"/>
    <m/>
    <e v="#N/A"/>
    <e v="#N/A"/>
    <m/>
    <s v="English"/>
    <e v="#N/A"/>
  </r>
  <r>
    <x v="328"/>
    <x v="323"/>
    <s v="No Assigned L6"/>
    <m/>
    <s v="DPD.DPA"/>
    <s v="N"/>
    <e v="#N/A"/>
    <s v="Global"/>
    <s v="Multiple Countries"/>
    <m/>
    <m/>
    <m/>
    <s v="12/7"/>
    <s v="DSE"/>
    <x v="328"/>
    <s v="Zhuo Chen"/>
    <s v=""/>
    <n v="14"/>
    <m/>
    <s v="Not Planned"/>
    <m/>
    <x v="0"/>
    <n v="0"/>
    <m/>
    <e v="#N/A"/>
    <e v="#N/A"/>
    <m/>
    <s v="English"/>
    <e v="#N/A"/>
  </r>
  <r>
    <x v="329"/>
    <x v="324"/>
    <s v="No Assigned L6"/>
    <s v="RPS"/>
    <s v="High End Storage"/>
    <s v="N"/>
    <e v="#N/A"/>
    <s v="Global"/>
    <s v="Global"/>
    <n v="0.63300000000000001"/>
    <m/>
    <m/>
    <s v="12/7"/>
    <m/>
    <x v="329"/>
    <s v="Zhuo Chen"/>
    <s v=""/>
    <n v="14"/>
    <m/>
    <s v="Not Planned"/>
    <m/>
    <x v="0"/>
    <n v="0"/>
    <m/>
    <e v="#N/A"/>
    <e v="#N/A"/>
    <m/>
    <s v="Multiple Languages"/>
    <e v="#N/A"/>
  </r>
  <r>
    <x v="330"/>
    <x v="325"/>
    <s v="Christmas, James"/>
    <s v="Client"/>
    <m/>
    <s v="Y"/>
    <e v="#N/A"/>
    <m/>
    <m/>
    <m/>
    <m/>
    <m/>
    <m/>
    <m/>
    <x v="330"/>
    <s v="Geeta Tolani - Dellteam"/>
    <s v=""/>
    <m/>
    <m/>
    <s v="Not Planned"/>
    <m/>
    <x v="0"/>
    <n v="0"/>
    <m/>
    <s v="-"/>
    <s v="-"/>
    <m/>
    <s v="English"/>
    <e v="#N/A"/>
  </r>
  <r>
    <x v="331"/>
    <x v="326"/>
    <s v="Christmas, James"/>
    <s v="Client"/>
    <s v="Cloud Client"/>
    <s v="N"/>
    <e v="#N/A"/>
    <s v="APJ"/>
    <s v="India"/>
    <n v="0.629"/>
    <m/>
    <m/>
    <s v="12/7"/>
    <m/>
    <x v="331"/>
    <s v="Keser Singh - Dellteam"/>
    <s v=""/>
    <n v="14"/>
    <m/>
    <s v="Not Planned"/>
    <m/>
    <x v="0"/>
    <n v="12"/>
    <m/>
    <e v="#N/A"/>
    <e v="#N/A"/>
    <m/>
    <s v="English"/>
    <e v="#N/A"/>
  </r>
  <r>
    <x v="332"/>
    <x v="327"/>
    <s v="Banthia, Nishant"/>
    <s v="Client"/>
    <m/>
    <s v="Y"/>
    <e v="#N/A"/>
    <m/>
    <m/>
    <m/>
    <m/>
    <m/>
    <m/>
    <m/>
    <x v="332"/>
    <s v="Geeta Tolani - Dellteam"/>
    <s v=""/>
    <m/>
    <m/>
    <s v="Not Planned"/>
    <m/>
    <x v="0"/>
    <n v="326.33333333333331"/>
    <m/>
    <e v="#N/A"/>
    <e v="#N/A"/>
    <m/>
    <s v="English"/>
    <e v="#N/A"/>
  </r>
  <r>
    <x v="333"/>
    <x v="328"/>
    <s v="Banthia, Nishant"/>
    <s v="Client"/>
    <m/>
    <s v="Y"/>
    <e v="#N/A"/>
    <m/>
    <m/>
    <m/>
    <m/>
    <m/>
    <m/>
    <m/>
    <x v="333"/>
    <s v="Geeta Tolani - Dellteam"/>
    <s v=""/>
    <m/>
    <m/>
    <s v="Not Planned"/>
    <m/>
    <x v="0"/>
    <n v="37.333333333333336"/>
    <m/>
    <e v="#N/A"/>
    <e v="#N/A"/>
    <m/>
    <s v="English"/>
    <e v="#N/A"/>
  </r>
  <r>
    <x v="334"/>
    <x v="329"/>
    <s v="Christmas, James"/>
    <s v="Client"/>
    <s v="Client"/>
    <s v="N"/>
    <e v="#N/A"/>
    <s v="Global"/>
    <s v="Global"/>
    <n v="0.63300000000000001"/>
    <m/>
    <m/>
    <s v="12/7"/>
    <s v="L1"/>
    <x v="334"/>
    <s v="Michael Yumnam - Dellteam"/>
    <s v=""/>
    <n v="14"/>
    <m/>
    <s v="Not Planned"/>
    <m/>
    <x v="0"/>
    <n v="106"/>
    <m/>
    <e v="#N/A"/>
    <e v="#N/A"/>
    <m/>
    <s v="Multiple Languages"/>
    <e v="#N/A"/>
  </r>
  <r>
    <x v="335"/>
    <x v="330"/>
    <s v="No Assigned L6"/>
    <m/>
    <s v="Server"/>
    <s v="N"/>
    <e v="#N/A"/>
    <s v="APJ"/>
    <s v="Malaysia"/>
    <m/>
    <m/>
    <m/>
    <s v="12/7"/>
    <m/>
    <x v="335"/>
    <s v="Zhuo Chen"/>
    <s v=""/>
    <n v="14"/>
    <m/>
    <s v="Not Planned"/>
    <m/>
    <x v="0"/>
    <n v="0"/>
    <m/>
    <e v="#N/A"/>
    <e v="#N/A"/>
    <m/>
    <s v="English"/>
    <e v="#N/A"/>
  </r>
  <r>
    <x v="336"/>
    <x v="331"/>
    <s v="Christmas, James"/>
    <s v="Client"/>
    <m/>
    <s v="Y"/>
    <e v="#N/A"/>
    <m/>
    <m/>
    <m/>
    <m/>
    <m/>
    <m/>
    <m/>
    <x v="336"/>
    <s v="Titu Sharma - Dellteam"/>
    <s v=""/>
    <m/>
    <m/>
    <s v="Not Planned"/>
    <m/>
    <x v="0"/>
    <n v="47.333333333333336"/>
    <m/>
    <e v="#N/A"/>
    <e v="#N/A"/>
    <m/>
    <s v="English"/>
    <e v="#N/A"/>
  </r>
  <r>
    <x v="337"/>
    <x v="332"/>
    <s v="No Assigned L6"/>
    <m/>
    <s v="Server"/>
    <s v="N"/>
    <e v="#N/A"/>
    <s v="Americas"/>
    <s v="United States"/>
    <m/>
    <m/>
    <m/>
    <s v="12/7"/>
    <m/>
    <x v="337"/>
    <s v="Zhuo Chen"/>
    <s v=""/>
    <n v="14"/>
    <m/>
    <s v="Not Planned"/>
    <m/>
    <x v="0"/>
    <n v="0"/>
    <m/>
    <e v="#N/A"/>
    <e v="#N/A"/>
    <m/>
    <s v="English"/>
    <e v="#N/A"/>
  </r>
  <r>
    <x v="338"/>
    <x v="333"/>
    <s v="No Assigned L6"/>
    <m/>
    <s v="Server"/>
    <s v="N"/>
    <e v="#N/A"/>
    <s v="Americas"/>
    <s v="United States"/>
    <m/>
    <m/>
    <m/>
    <s v="12/7"/>
    <m/>
    <x v="338"/>
    <s v="Zhuo Chen"/>
    <s v=""/>
    <n v="14"/>
    <m/>
    <s v="Not Planned"/>
    <m/>
    <x v="0"/>
    <n v="0"/>
    <m/>
    <e v="#N/A"/>
    <e v="#N/A"/>
    <m/>
    <s v="English"/>
    <e v="#N/A"/>
  </r>
  <r>
    <x v="339"/>
    <x v="334"/>
    <s v="Fitzgerald, Richard"/>
    <m/>
    <m/>
    <s v="N"/>
    <e v="#N/A"/>
    <m/>
    <m/>
    <m/>
    <m/>
    <m/>
    <m/>
    <m/>
    <x v="339"/>
    <s v="Zhuo Chen"/>
    <s v=""/>
    <m/>
    <m/>
    <s v="Not Planned"/>
    <m/>
    <x v="0"/>
    <n v="8"/>
    <m/>
    <e v="#N/A"/>
    <e v="#N/A"/>
    <m/>
    <s v="Multiple Languages"/>
    <e v="#N/A"/>
  </r>
  <r>
    <x v="340"/>
    <x v="335"/>
    <s v="No Assigned L6"/>
    <s v="DPD"/>
    <s v="Enterprise"/>
    <s v="N"/>
    <e v="#N/A"/>
    <s v="Global"/>
    <s v="Multiple Countries"/>
    <m/>
    <m/>
    <m/>
    <m/>
    <m/>
    <x v="340"/>
    <s v="Zhuo Chen"/>
    <s v=""/>
    <m/>
    <m/>
    <s v="Not Planned"/>
    <m/>
    <x v="0"/>
    <n v="0"/>
    <m/>
    <e v="#N/A"/>
    <e v="#N/A"/>
    <m/>
    <s v="Multiple Languages"/>
    <e v="#N/A"/>
  </r>
  <r>
    <x v="341"/>
    <x v="336"/>
    <s v="No Assigned L6"/>
    <m/>
    <m/>
    <s v="N"/>
    <e v="#N/A"/>
    <m/>
    <m/>
    <m/>
    <m/>
    <m/>
    <m/>
    <m/>
    <x v="341"/>
    <s v="Zhuo Chen"/>
    <s v=""/>
    <m/>
    <m/>
    <s v="Not Planned"/>
    <m/>
    <x v="0"/>
    <n v="0"/>
    <m/>
    <e v="#N/A"/>
    <e v="#N/A"/>
    <m/>
    <s v="Multiple Languages"/>
    <e v="#N/A"/>
  </r>
  <r>
    <x v="342"/>
    <x v="337"/>
    <s v="No Assigned L6"/>
    <m/>
    <s v="Enterprise"/>
    <s v="N"/>
    <e v="#N/A"/>
    <s v="Global"/>
    <s v="Multiple Countries"/>
    <m/>
    <m/>
    <m/>
    <m/>
    <m/>
    <x v="342"/>
    <s v="Zhuo Chen"/>
    <s v=""/>
    <m/>
    <m/>
    <s v="Not Planned"/>
    <m/>
    <x v="0"/>
    <n v="0"/>
    <m/>
    <e v="#N/A"/>
    <e v="#N/A"/>
    <m/>
    <s v="Multiple Languages"/>
    <e v="#N/A"/>
  </r>
  <r>
    <x v="343"/>
    <x v="338"/>
    <s v="No Assigned L6"/>
    <s v="GNCS"/>
    <s v="Enterprise"/>
    <s v="N"/>
    <e v="#N/A"/>
    <s v="Global"/>
    <s v="Multiple Countries"/>
    <m/>
    <m/>
    <m/>
    <m/>
    <m/>
    <x v="343"/>
    <s v="Zhuo Chen"/>
    <s v=""/>
    <m/>
    <m/>
    <s v="Not Planned"/>
    <m/>
    <x v="0"/>
    <n v="0"/>
    <m/>
    <e v="#N/A"/>
    <e v="#N/A"/>
    <m/>
    <s v="Multiple Languages"/>
    <e v="#N/A"/>
  </r>
  <r>
    <x v="344"/>
    <x v="339"/>
    <s v="No Assigned L6"/>
    <m/>
    <s v="Enterprise"/>
    <s v="N"/>
    <e v="#N/A"/>
    <s v="Global"/>
    <s v="Multiple Countries"/>
    <m/>
    <m/>
    <m/>
    <m/>
    <m/>
    <x v="344"/>
    <s v="Zhuo Chen"/>
    <s v=""/>
    <m/>
    <m/>
    <s v="Not Planned"/>
    <m/>
    <x v="0"/>
    <n v="0"/>
    <m/>
    <e v="#N/A"/>
    <e v="#N/A"/>
    <m/>
    <s v="Multiple Languages"/>
    <e v="#N/A"/>
  </r>
  <r>
    <x v="345"/>
    <x v="340"/>
    <s v="No Assigned L6"/>
    <m/>
    <s v="Enterprise"/>
    <s v="N"/>
    <e v="#N/A"/>
    <s v="Global"/>
    <s v="Multiple Countries"/>
    <m/>
    <m/>
    <m/>
    <m/>
    <m/>
    <x v="345"/>
    <s v="Zhuo Chen"/>
    <s v=""/>
    <m/>
    <m/>
    <s v="Not Planned"/>
    <m/>
    <x v="0"/>
    <n v="0"/>
    <m/>
    <e v="#N/A"/>
    <e v="#N/A"/>
    <m/>
    <s v="Multiple Languages"/>
    <e v="#N/A"/>
  </r>
  <r>
    <x v="346"/>
    <x v="341"/>
    <s v="No Assigned L6"/>
    <m/>
    <s v="Enterprise"/>
    <s v="N"/>
    <e v="#N/A"/>
    <s v="NAMER"/>
    <s v="United States"/>
    <n v="0.64800000000000002"/>
    <m/>
    <m/>
    <s v="12/7"/>
    <m/>
    <x v="346"/>
    <s v="Zhuo Chen"/>
    <s v=""/>
    <n v="14"/>
    <m/>
    <s v="Not Planned"/>
    <m/>
    <x v="0"/>
    <n v="0"/>
    <m/>
    <e v="#N/A"/>
    <e v="#N/A"/>
    <m/>
    <s v="Multiple Languages"/>
    <e v="#N/A"/>
  </r>
  <r>
    <x v="347"/>
    <x v="342"/>
    <s v="No Assigned L6"/>
    <m/>
    <s v="Enterprise"/>
    <s v="N"/>
    <e v="#N/A"/>
    <s v="Global"/>
    <s v="Multiple Countries"/>
    <m/>
    <m/>
    <m/>
    <m/>
    <m/>
    <x v="347"/>
    <s v="Zhuo Chen"/>
    <s v=""/>
    <m/>
    <m/>
    <s v="Not Planned"/>
    <m/>
    <x v="0"/>
    <n v="0"/>
    <m/>
    <e v="#N/A"/>
    <e v="#N/A"/>
    <m/>
    <s v="Multiple Languages"/>
    <e v="#N/A"/>
  </r>
  <r>
    <x v="348"/>
    <x v="343"/>
    <s v="Brown, Dexter"/>
    <m/>
    <s v="Enterprise"/>
    <s v="N"/>
    <e v="#N/A"/>
    <s v="Global"/>
    <s v="Global"/>
    <n v="0.63300000000000001"/>
    <m/>
    <m/>
    <s v="12/7"/>
    <s v="Manager"/>
    <x v="348"/>
    <s v="Zhuo Chen"/>
    <s v=""/>
    <n v="14"/>
    <m/>
    <s v="Not Planned"/>
    <m/>
    <x v="0"/>
    <n v="7"/>
    <m/>
    <e v="#N/A"/>
    <e v="#N/A"/>
    <m/>
    <s v="Multiple Languages"/>
    <e v="#N/A"/>
  </r>
  <r>
    <x v="349"/>
    <x v="344"/>
    <s v="No Assigned L6"/>
    <m/>
    <s v="Enterprise"/>
    <s v="N"/>
    <e v="#N/A"/>
    <s v="Global"/>
    <s v="Multiple Countries"/>
    <m/>
    <m/>
    <m/>
    <m/>
    <s v="Technical Lead"/>
    <x v="349"/>
    <s v="Zhuo Chen"/>
    <s v=""/>
    <m/>
    <m/>
    <s v="Not Planned"/>
    <m/>
    <x v="0"/>
    <n v="0"/>
    <m/>
    <e v="#N/A"/>
    <e v="#N/A"/>
    <m/>
    <s v="Multiple Languages"/>
    <e v="#N/A"/>
  </r>
  <r>
    <x v="350"/>
    <x v="345"/>
    <s v="Semler, Jeff"/>
    <m/>
    <s v="Enterprise"/>
    <s v="N"/>
    <e v="#N/A"/>
    <s v="Global"/>
    <s v="Multiple Countries"/>
    <m/>
    <m/>
    <m/>
    <m/>
    <m/>
    <x v="350"/>
    <s v="Zhuo Chen"/>
    <s v=""/>
    <m/>
    <m/>
    <s v="Not Planned"/>
    <m/>
    <x v="0"/>
    <n v="3"/>
    <m/>
    <e v="#N/A"/>
    <e v="#N/A"/>
    <m/>
    <s v="Multiple Languages"/>
    <e v="#N/A"/>
  </r>
  <r>
    <x v="351"/>
    <x v="346"/>
    <s v="No Assigned L6"/>
    <m/>
    <s v="Enterprise"/>
    <s v="N"/>
    <e v="#N/A"/>
    <s v="Global"/>
    <s v="Multiple Countries"/>
    <m/>
    <m/>
    <m/>
    <m/>
    <s v="WFM"/>
    <x v="351"/>
    <s v="Zhuo Chen"/>
    <s v=""/>
    <m/>
    <m/>
    <s v="Not Planned"/>
    <m/>
    <x v="0"/>
    <n v="0"/>
    <m/>
    <e v="#N/A"/>
    <e v="#N/A"/>
    <m/>
    <s v="Multiple Languages"/>
    <e v="#N/A"/>
  </r>
  <r>
    <x v="352"/>
    <x v="347"/>
    <s v="Otto, Jacob"/>
    <m/>
    <s v="Enterprise"/>
    <s v="N"/>
    <e v="#N/A"/>
    <s v="Global"/>
    <s v="Multiple Countries"/>
    <m/>
    <m/>
    <m/>
    <m/>
    <s v="Manager"/>
    <x v="352"/>
    <s v="Zhuo Chen"/>
    <s v=""/>
    <m/>
    <m/>
    <s v="Not Planned"/>
    <m/>
    <x v="0"/>
    <n v="0"/>
    <m/>
    <e v="#N/A"/>
    <e v="#N/A"/>
    <m/>
    <s v="Multiple Languages"/>
    <e v="#N/A"/>
  </r>
  <r>
    <x v="353"/>
    <x v="348"/>
    <s v="No Assigned L6"/>
    <m/>
    <s v="Enterprise"/>
    <s v="N"/>
    <e v="#N/A"/>
    <s v="Global"/>
    <s v="Multiple Countries"/>
    <m/>
    <m/>
    <m/>
    <m/>
    <m/>
    <x v="353"/>
    <s v="Zhuo Chen"/>
    <s v=""/>
    <m/>
    <m/>
    <s v="Not Planned"/>
    <m/>
    <x v="0"/>
    <n v="0"/>
    <m/>
    <e v="#N/A"/>
    <e v="#N/A"/>
    <m/>
    <s v="Multiple Languages"/>
    <e v="#N/A"/>
  </r>
  <r>
    <x v="354"/>
    <x v="349"/>
    <s v="No Assigned L6"/>
    <m/>
    <s v="Enterprise"/>
    <s v="N"/>
    <e v="#N/A"/>
    <s v="Global"/>
    <s v="Multiple Countries"/>
    <m/>
    <m/>
    <m/>
    <m/>
    <s v="WFM"/>
    <x v="354"/>
    <s v="Zhuo Chen"/>
    <s v=""/>
    <m/>
    <m/>
    <s v="Not Planned"/>
    <m/>
    <x v="0"/>
    <n v="0"/>
    <m/>
    <e v="#N/A"/>
    <e v="#N/A"/>
    <m/>
    <s v="Multiple Languages"/>
    <e v="#N/A"/>
  </r>
  <r>
    <x v="355"/>
    <x v="350"/>
    <s v="No Assigned L6"/>
    <m/>
    <s v="Networking"/>
    <s v="N"/>
    <s v="Backline"/>
    <s v="Global"/>
    <s v="Global"/>
    <n v="0.63300000000000001"/>
    <m/>
    <m/>
    <s v="12/7"/>
    <m/>
    <x v="355"/>
    <s v="Zhuo Chen"/>
    <s v=""/>
    <n v="14"/>
    <m/>
    <s v="Not Planned"/>
    <m/>
    <x v="0"/>
    <n v="0"/>
    <m/>
    <e v="#N/A"/>
    <e v="#N/A"/>
    <m/>
    <s v="English"/>
    <e v="#N/A"/>
  </r>
  <r>
    <x v="356"/>
    <x v="351"/>
    <s v="No Assigned L6"/>
    <m/>
    <s v="Server"/>
    <s v="N"/>
    <s v="Backline"/>
    <s v="Global"/>
    <s v="Multiple Countries"/>
    <m/>
    <m/>
    <m/>
    <m/>
    <m/>
    <x v="356"/>
    <s v="Zhuo Chen"/>
    <s v=""/>
    <m/>
    <m/>
    <s v="Not Planned"/>
    <m/>
    <x v="0"/>
    <n v="0"/>
    <m/>
    <e v="#N/A"/>
    <e v="#N/A"/>
    <m/>
    <s v="English"/>
    <e v="#N/A"/>
  </r>
  <r>
    <x v="357"/>
    <x v="352"/>
    <s v="Banthia, Nishant"/>
    <s v="Client"/>
    <m/>
    <s v="Y"/>
    <e v="#N/A"/>
    <m/>
    <m/>
    <m/>
    <m/>
    <m/>
    <m/>
    <m/>
    <x v="357"/>
    <s v="Keser Singh - Dellteam"/>
    <s v=""/>
    <m/>
    <m/>
    <s v="Not Planned"/>
    <m/>
    <x v="0"/>
    <n v="141.33333333333334"/>
    <m/>
    <e v="#N/A"/>
    <e v="#N/A"/>
    <m/>
    <s v="English"/>
    <e v="#N/A"/>
  </r>
  <r>
    <x v="358"/>
    <x v="353"/>
    <s v="No Assigned L6"/>
    <s v="Server"/>
    <s v="CTE Pro"/>
    <s v="N"/>
    <e v="#N/A"/>
    <s v="Asia"/>
    <s v="Philippines"/>
    <m/>
    <m/>
    <m/>
    <m/>
    <s v="CTE"/>
    <x v="358"/>
    <s v="Taini Liang - Dellteam"/>
    <s v=""/>
    <m/>
    <m/>
    <s v="Not Planned"/>
    <m/>
    <x v="0"/>
    <n v="0"/>
    <m/>
    <e v="#N/A"/>
    <e v="#N/A"/>
    <m/>
    <s v="English"/>
    <e v="#N/A"/>
  </r>
  <r>
    <x v="359"/>
    <x v="354"/>
    <s v="Otto, Jacob"/>
    <s v="Enterprise"/>
    <s v="Enterprise"/>
    <s v="Y"/>
    <e v="#N/A"/>
    <s v="APJ"/>
    <s v="China"/>
    <n v="0.629"/>
    <m/>
    <m/>
    <m/>
    <m/>
    <x v="359"/>
    <s v="Zhuo Chen"/>
    <s v=""/>
    <m/>
    <m/>
    <s v="Not Planned"/>
    <m/>
    <x v="0"/>
    <n v="1"/>
    <m/>
    <e v="#N/A"/>
    <e v="#N/A"/>
    <m/>
    <s v="Multiple Languages"/>
    <e v="#N/A"/>
  </r>
  <r>
    <x v="360"/>
    <x v="355"/>
    <s v="No Assigned L6"/>
    <m/>
    <s v="Server"/>
    <s v="Y"/>
    <e v="#N/A"/>
    <s v="Americas"/>
    <s v="ROLA"/>
    <m/>
    <m/>
    <m/>
    <m/>
    <m/>
    <x v="360"/>
    <s v="Zhuo Chen"/>
    <s v=""/>
    <m/>
    <m/>
    <s v="Not Planned"/>
    <m/>
    <x v="0"/>
    <n v="0"/>
    <m/>
    <e v="#N/A"/>
    <e v="#N/A"/>
    <m/>
    <s v="English/Spanish"/>
    <e v="#N/A"/>
  </r>
  <r>
    <x v="361"/>
    <x v="356"/>
    <s v="Demarest, Mark"/>
    <s v="Enterprise"/>
    <s v="Enterprise"/>
    <s v="Y"/>
    <e v="#N/A"/>
    <s v="LATAM"/>
    <s v="ROLA"/>
    <n v="0.626"/>
    <m/>
    <m/>
    <m/>
    <m/>
    <x v="361"/>
    <s v="Zhuo Chen"/>
    <s v=""/>
    <m/>
    <m/>
    <s v="Not Planned"/>
    <m/>
    <x v="0"/>
    <n v="0"/>
    <m/>
    <e v="#N/A"/>
    <e v="#N/A"/>
    <m/>
    <s v="Spanish"/>
    <e v="#N/A"/>
  </r>
  <r>
    <x v="362"/>
    <x v="357"/>
    <s v="Demarest, Mark"/>
    <s v="Enterprise"/>
    <s v="Enterprise"/>
    <s v="Y"/>
    <e v="#N/A"/>
    <s v="NAMER"/>
    <s v="United States"/>
    <n v="0.64800000000000002"/>
    <m/>
    <m/>
    <s v="12/7"/>
    <m/>
    <x v="362"/>
    <s v="Zhuo Chen"/>
    <s v=""/>
    <n v="14"/>
    <m/>
    <s v="Not Planned"/>
    <m/>
    <x v="0"/>
    <n v="1"/>
    <m/>
    <e v="#N/A"/>
    <e v="#N/A"/>
    <m/>
    <s v="English"/>
    <e v="#N/A"/>
  </r>
  <r>
    <x v="363"/>
    <x v="358"/>
    <s v="No Assigned L6"/>
    <s v="RPS"/>
    <s v="Server"/>
    <s v="N"/>
    <e v="#N/A"/>
    <s v="Global"/>
    <s v="Global"/>
    <n v="0.63300000000000001"/>
    <m/>
    <m/>
    <s v="12/7"/>
    <m/>
    <x v="363"/>
    <s v="Zhuo Chen"/>
    <s v=""/>
    <n v="14"/>
    <m/>
    <s v="Not Planned"/>
    <m/>
    <x v="0"/>
    <n v="0"/>
    <m/>
    <e v="#N/A"/>
    <e v="#N/A"/>
    <m/>
    <s v="English"/>
    <e v="#N/A"/>
  </r>
  <r>
    <x v="364"/>
    <x v="359"/>
    <s v="No Assigned L6"/>
    <m/>
    <s v="Enterprise"/>
    <s v="N"/>
    <e v="#N/A"/>
    <s v="Americas"/>
    <s v="United States"/>
    <m/>
    <m/>
    <m/>
    <m/>
    <m/>
    <x v="364"/>
    <s v="Zhuo Chen"/>
    <s v=""/>
    <m/>
    <m/>
    <s v="Not Planned"/>
    <m/>
    <x v="0"/>
    <n v="0"/>
    <m/>
    <e v="#N/A"/>
    <e v="#N/A"/>
    <m/>
    <s v="English"/>
    <e v="#N/A"/>
  </r>
  <r>
    <x v="365"/>
    <x v="360"/>
    <s v="No Assigned L6"/>
    <m/>
    <s v="Enterprise"/>
    <s v="N"/>
    <e v="#N/A"/>
    <s v="Americas"/>
    <s v="United States"/>
    <m/>
    <m/>
    <m/>
    <m/>
    <m/>
    <x v="365"/>
    <s v="Zhuo Chen"/>
    <s v=""/>
    <m/>
    <m/>
    <s v="Not Planned"/>
    <m/>
    <x v="0"/>
    <n v="0"/>
    <m/>
    <e v="#N/A"/>
    <e v="#N/A"/>
    <m/>
    <s v="English"/>
    <e v="#N/A"/>
  </r>
  <r>
    <x v="366"/>
    <x v="361"/>
    <s v="No Assigned L6"/>
    <m/>
    <s v="Networking"/>
    <s v="N"/>
    <e v="#N/A"/>
    <s v="Americas"/>
    <s v="United States"/>
    <m/>
    <m/>
    <m/>
    <m/>
    <m/>
    <x v="366"/>
    <s v="Zhuo Chen"/>
    <s v=""/>
    <m/>
    <m/>
    <s v="Not Planned"/>
    <m/>
    <x v="0"/>
    <n v="0"/>
    <m/>
    <e v="#N/A"/>
    <e v="#N/A"/>
    <m/>
    <s v="English"/>
    <e v="#N/A"/>
  </r>
  <r>
    <x v="367"/>
    <x v="362"/>
    <s v="No Assigned L6"/>
    <m/>
    <s v="Server"/>
    <s v="N"/>
    <e v="#N/A"/>
    <s v="Americas"/>
    <s v="United States"/>
    <m/>
    <m/>
    <m/>
    <m/>
    <m/>
    <x v="367"/>
    <s v="Zhuo Chen"/>
    <s v=""/>
    <m/>
    <m/>
    <s v="Not Planned"/>
    <m/>
    <x v="0"/>
    <n v="0"/>
    <m/>
    <e v="#N/A"/>
    <e v="#N/A"/>
    <m/>
    <s v="English"/>
    <e v="#N/A"/>
  </r>
  <r>
    <x v="368"/>
    <x v="363"/>
    <s v="No Assigned L6"/>
    <m/>
    <s v="Enterprise"/>
    <s v="N"/>
    <e v="#N/A"/>
    <s v="Americas"/>
    <s v="United States"/>
    <m/>
    <m/>
    <m/>
    <m/>
    <m/>
    <x v="368"/>
    <s v="Zhuo Chen"/>
    <s v=""/>
    <m/>
    <m/>
    <s v="Not Planned"/>
    <m/>
    <x v="0"/>
    <n v="0"/>
    <m/>
    <e v="#N/A"/>
    <e v="#N/A"/>
    <m/>
    <s v="English"/>
    <e v="#N/A"/>
  </r>
  <r>
    <x v="369"/>
    <x v="364"/>
    <s v="No Assigned L6"/>
    <m/>
    <s v="Enterprise"/>
    <s v="N"/>
    <e v="#N/A"/>
    <s v="Americas"/>
    <s v="United States"/>
    <m/>
    <m/>
    <m/>
    <m/>
    <m/>
    <x v="369"/>
    <s v="Zhuo Chen"/>
    <s v=""/>
    <m/>
    <m/>
    <s v="Not Planned"/>
    <m/>
    <x v="0"/>
    <n v="0"/>
    <m/>
    <e v="#N/A"/>
    <e v="#N/A"/>
    <m/>
    <s v="English"/>
    <e v="#N/A"/>
  </r>
  <r>
    <x v="370"/>
    <x v="365"/>
    <s v="No Assigned L6"/>
    <m/>
    <s v="Enterprise"/>
    <s v="N"/>
    <e v="#N/A"/>
    <s v="Americas"/>
    <s v="United States"/>
    <m/>
    <m/>
    <m/>
    <m/>
    <m/>
    <x v="370"/>
    <s v="Zhuo Chen"/>
    <s v=""/>
    <m/>
    <m/>
    <s v="Not Planned"/>
    <m/>
    <x v="0"/>
    <n v="0"/>
    <m/>
    <e v="#N/A"/>
    <e v="#N/A"/>
    <m/>
    <s v="English"/>
    <e v="#N/A"/>
  </r>
  <r>
    <x v="371"/>
    <x v="366"/>
    <s v="No Assigned L6"/>
    <m/>
    <s v="Enterprise"/>
    <s v="N"/>
    <e v="#N/A"/>
    <s v="Americas"/>
    <s v="United States"/>
    <m/>
    <m/>
    <m/>
    <m/>
    <m/>
    <x v="371"/>
    <s v="Zhuo Chen"/>
    <s v=""/>
    <m/>
    <m/>
    <s v="Not Planned"/>
    <m/>
    <x v="0"/>
    <n v="0"/>
    <m/>
    <e v="#N/A"/>
    <e v="#N/A"/>
    <m/>
    <s v="English"/>
    <e v="#N/A"/>
  </r>
  <r>
    <x v="372"/>
    <x v="367"/>
    <s v="No Assigned L6"/>
    <s v="Social"/>
    <s v="Enterprise"/>
    <s v="N"/>
    <e v="#N/A"/>
    <s v="EMEA"/>
    <s v="France"/>
    <n v="0.61699999999999999"/>
    <m/>
    <m/>
    <s v="12/7"/>
    <s v="L1"/>
    <x v="372"/>
    <s v="Zhuo Chen"/>
    <s v=""/>
    <n v="14"/>
    <m/>
    <s v="Not Planned"/>
    <m/>
    <x v="0"/>
    <n v="0"/>
    <m/>
    <e v="#N/A"/>
    <e v="#N/A"/>
    <m/>
    <s v="Spanish"/>
    <e v="#N/A"/>
  </r>
  <r>
    <x v="373"/>
    <x v="368"/>
    <s v="Banthia, Nishant"/>
    <s v="Client"/>
    <s v="Client"/>
    <s v="N"/>
    <e v="#N/A"/>
    <s v="APJ"/>
    <s v="Thailand"/>
    <m/>
    <m/>
    <m/>
    <m/>
    <m/>
    <x v="373"/>
    <s v="Narendra Singh - Dellteam"/>
    <s v=""/>
    <m/>
    <m/>
    <s v="Not Planned"/>
    <m/>
    <x v="0"/>
    <n v="28"/>
    <m/>
    <e v="#N/A"/>
    <e v="#N/A"/>
    <m/>
    <s v="Thai"/>
    <e v="#N/A"/>
  </r>
  <r>
    <x v="374"/>
    <x v="369"/>
    <s v="Banthia, Nishant"/>
    <s v="Client"/>
    <s v="Workstation"/>
    <s v="N"/>
    <e v="#N/A"/>
    <s v="APJ"/>
    <s v="China"/>
    <m/>
    <m/>
    <m/>
    <m/>
    <m/>
    <x v="374"/>
    <s v="Jennifer Wang - Dellteam"/>
    <s v=""/>
    <m/>
    <m/>
    <s v="Not Planned"/>
    <m/>
    <x v="0"/>
    <n v="4"/>
    <m/>
    <e v="#N/A"/>
    <e v="#N/A"/>
    <m/>
    <s v="Mandarin"/>
    <e v="#N/A"/>
  </r>
  <r>
    <x v="375"/>
    <x v="370"/>
    <s v="Banthia, Nishant"/>
    <m/>
    <m/>
    <s v="N"/>
    <e v="#N/A"/>
    <m/>
    <m/>
    <m/>
    <m/>
    <m/>
    <m/>
    <m/>
    <x v="375"/>
    <s v="Keser Singh - Dellteam"/>
    <s v=""/>
    <m/>
    <m/>
    <s v="Not Planned"/>
    <m/>
    <x v="0"/>
    <n v="0"/>
    <m/>
    <e v="#N/A"/>
    <e v="#N/A"/>
    <m/>
    <s v="English"/>
    <e v="#N/A"/>
  </r>
  <r>
    <x v="376"/>
    <x v="371"/>
    <s v="No Assigned L6"/>
    <m/>
    <s v="Client"/>
    <s v="N"/>
    <e v="#N/A"/>
    <s v="APJ"/>
    <s v="Vietnam"/>
    <m/>
    <m/>
    <m/>
    <m/>
    <m/>
    <x v="376"/>
    <s v="Narendra Singh - Dellteam"/>
    <s v=""/>
    <m/>
    <m/>
    <s v="Not Planned"/>
    <m/>
    <x v="0"/>
    <n v="0"/>
    <m/>
    <e v="#N/A"/>
    <e v="#N/A"/>
    <m/>
    <s v="Vietnamese"/>
    <e v="#N/A"/>
  </r>
  <r>
    <x v="377"/>
    <x v="372"/>
    <s v="Christmas, James"/>
    <s v="Client"/>
    <m/>
    <s v="Y"/>
    <e v="#N/A"/>
    <m/>
    <m/>
    <m/>
    <m/>
    <m/>
    <m/>
    <m/>
    <x v="377"/>
    <s v="Narendra Singh - Dellteam"/>
    <s v=""/>
    <m/>
    <m/>
    <s v="Not Planned"/>
    <m/>
    <x v="0"/>
    <n v="25"/>
    <m/>
    <e v="#N/A"/>
    <e v="#N/A"/>
    <m/>
    <s v="Vietnamese"/>
    <e v="#N/A"/>
  </r>
  <r>
    <x v="378"/>
    <x v="373"/>
    <s v="No Assigned L6"/>
    <m/>
    <s v="High End Storage"/>
    <s v="N"/>
    <e v="#N/A"/>
    <s v="Global"/>
    <s v="Multiple Countries"/>
    <n v="0.63300000000000001"/>
    <m/>
    <m/>
    <m/>
    <m/>
    <x v="378"/>
    <s v="Zhuo Chen"/>
    <s v=""/>
    <m/>
    <m/>
    <s v="Not Planned"/>
    <m/>
    <x v="0"/>
    <n v="0"/>
    <m/>
    <e v="#N/A"/>
    <e v="#N/A"/>
    <m/>
    <s v="English"/>
    <e v="#N/A"/>
  </r>
  <r>
    <x v="379"/>
    <x v="374"/>
    <s v="No Assigned L6"/>
    <s v="WFM"/>
    <s v="High End Storage"/>
    <s v="N"/>
    <e v="#N/A"/>
    <s v="LATAM"/>
    <s v="Brazil"/>
    <n v="0.57099999999999995"/>
    <m/>
    <m/>
    <s v="12/7"/>
    <s v="WFM"/>
    <x v="379"/>
    <s v="Zhuo Chen"/>
    <s v=""/>
    <n v="14"/>
    <m/>
    <s v="Not Planned"/>
    <m/>
    <x v="0"/>
    <n v="0"/>
    <m/>
    <e v="#N/A"/>
    <e v="#N/A"/>
    <m/>
    <s v="Multiple Languages"/>
    <e v="#N/A"/>
  </r>
  <r>
    <x v="380"/>
    <x v="375"/>
    <s v="D'Arcy, Mark"/>
    <s v="Server"/>
    <s v="Server"/>
    <s v="Y"/>
    <s v="Backline"/>
    <s v="Global"/>
    <s v="Global"/>
    <n v="0.63300000000000001"/>
    <n v="4.2372881355932203E-3"/>
    <m/>
    <s v="12/7"/>
    <s v="Non-L1"/>
    <x v="380"/>
    <s v="Zhuo Chen"/>
    <s v="Bethany Rana"/>
    <n v="14"/>
    <m/>
    <s v="Not Planned"/>
    <n v="13"/>
    <x v="0"/>
    <n v="0"/>
    <s v="Global Solutions MS DE"/>
    <s v="-"/>
    <s v="-"/>
    <s v="Queue Got Merged in GS02"/>
    <s v="English"/>
    <e v="#N/A"/>
  </r>
  <r>
    <x v="381"/>
    <x v="376"/>
    <s v="D'Arcy, Mark"/>
    <s v="Server"/>
    <s v="Server"/>
    <s v="Y"/>
    <e v="#N/A"/>
    <s v="EMEA"/>
    <s v="Germany"/>
    <n v="0.61699999999999999"/>
    <n v="3.8967379973253502E-2"/>
    <m/>
    <s v="12/7"/>
    <s v="L1"/>
    <x v="381"/>
    <s v="Zhuo Chen"/>
    <s v="Bethany Rana"/>
    <n v="14"/>
    <m/>
    <s v="Not Planned"/>
    <n v="13"/>
    <x v="0"/>
    <n v="0"/>
    <m/>
    <s v="-"/>
    <s v="-"/>
    <m/>
    <s v="German"/>
    <e v="#N/A"/>
  </r>
  <r>
    <x v="382"/>
    <x v="377"/>
    <s v="Yap, Diane"/>
    <s v="CTE"/>
    <s v="CTE"/>
    <s v="Y"/>
    <e v="#N/A"/>
    <s v="Global"/>
    <s v="Global"/>
    <n v="0.63300000000000001"/>
    <m/>
    <m/>
    <s v="10/5"/>
    <s v="L1"/>
    <x v="382"/>
    <s v="Taini Liang - Dellteam"/>
    <s v="Chen Zhou"/>
    <n v="7"/>
    <m/>
    <s v="Not Planned"/>
    <n v="13"/>
    <x v="0"/>
    <n v="0"/>
    <m/>
    <s v="08:00-16:00 (GMT+10)"/>
    <s v="Mon-Fri"/>
    <m/>
    <s v="English"/>
    <e v="#N/A"/>
  </r>
  <r>
    <x v="383"/>
    <x v="378"/>
    <s v="Yap, Diane"/>
    <s v="CTE"/>
    <s v="CTE"/>
    <s v="Y"/>
    <e v="#N/A"/>
    <s v="Global"/>
    <s v="Global"/>
    <n v="0.63300000000000001"/>
    <m/>
    <m/>
    <s v="10/5"/>
    <s v="L1"/>
    <x v="383"/>
    <s v="Taini Liang - Dellteam"/>
    <s v="Chen Zhou"/>
    <n v="7"/>
    <m/>
    <s v="Not Planned"/>
    <n v="13"/>
    <x v="0"/>
    <n v="0"/>
    <m/>
    <s v="10:00-20:00 IST (Mon-Fri), 10:00-19:00 (Sat-Sun)"/>
    <s v="Sat-Fri"/>
    <m/>
    <s v="English"/>
    <e v="#N/A"/>
  </r>
  <r>
    <x v="384"/>
    <x v="379"/>
    <s v="Yap, Diane"/>
    <s v="All"/>
    <s v="All"/>
    <s v="N"/>
    <e v="#N/A"/>
    <s v="EMEA"/>
    <s v="UKI"/>
    <n v="0.61699999999999999"/>
    <m/>
    <m/>
    <s v="12/7"/>
    <s v="L1"/>
    <x v="384"/>
    <s v="Zhuo Chen"/>
    <s v="Chen Zhou"/>
    <n v="14"/>
    <m/>
    <s v="Not Planned"/>
    <n v="13"/>
    <x v="0"/>
    <n v="7"/>
    <m/>
    <s v="-"/>
    <s v="-"/>
    <m/>
    <s v="Multiple Languages"/>
    <e v="#N/A"/>
  </r>
  <r>
    <x v="385"/>
    <x v="380"/>
    <s v="Yap, Diane"/>
    <s v="All"/>
    <s v="All"/>
    <s v="N"/>
    <e v="#N/A"/>
    <s v="APJ"/>
    <s v="India"/>
    <n v="0.629"/>
    <m/>
    <m/>
    <s v="12/7"/>
    <s v="L1"/>
    <x v="385"/>
    <s v="Zhuo Chen"/>
    <s v="Chen Zhou"/>
    <n v="14"/>
    <m/>
    <s v="Not Planned"/>
    <n v="13"/>
    <x v="0"/>
    <n v="0"/>
    <m/>
    <s v="-"/>
    <s v="-"/>
    <m/>
    <s v="English"/>
    <e v="#N/A"/>
  </r>
  <r>
    <x v="386"/>
    <x v="381"/>
    <s v="Yap, Diane"/>
    <s v="Enterprise"/>
    <s v="Enterprise"/>
    <s v="N"/>
    <e v="#N/A"/>
    <m/>
    <m/>
    <m/>
    <m/>
    <m/>
    <m/>
    <s v="Non-L1"/>
    <x v="386"/>
    <s v="Zhuo Chen"/>
    <s v="Chen Zhou"/>
    <n v="0"/>
    <m/>
    <s v="Not Planned"/>
    <n v="13"/>
    <x v="0"/>
    <n v="0"/>
    <m/>
    <s v="-"/>
    <s v="-"/>
    <m/>
    <s v="Multiple Languages"/>
    <e v="#N/A"/>
  </r>
  <r>
    <x v="387"/>
    <x v="382"/>
    <s v="D'Arcy, Mark"/>
    <s v="Enterprise"/>
    <s v="Enterprise"/>
    <s v="Y"/>
    <e v="#N/A"/>
    <s v="APJ"/>
    <s v="India"/>
    <n v="0.629"/>
    <m/>
    <m/>
    <s v="12/7"/>
    <s v="L1"/>
    <x v="387"/>
    <s v="Zhuo Chen"/>
    <s v="Douglas Lumb"/>
    <n v="14"/>
    <m/>
    <s v="Not Planned"/>
    <n v="13"/>
    <x v="0"/>
    <n v="0"/>
    <s v="Global Compute English"/>
    <s v="-"/>
    <s v="-"/>
    <s v="Queue Got Merged in GC21"/>
    <s v="English"/>
    <e v="#N/A"/>
  </r>
  <r>
    <x v="388"/>
    <x v="383"/>
    <s v="D'Arcy, Mark"/>
    <s v="Enterprise"/>
    <s v="Enterprise"/>
    <s v="N"/>
    <e v="#N/A"/>
    <s v="EMEA"/>
    <s v="Egypt"/>
    <n v="0.61699999999999999"/>
    <m/>
    <m/>
    <s v="12/7"/>
    <s v="L1"/>
    <x v="388"/>
    <s v="Zhuo Chen"/>
    <s v="Douglas Lumb"/>
    <n v="14"/>
    <m/>
    <s v="Not Planned"/>
    <n v="13"/>
    <x v="0"/>
    <n v="1"/>
    <m/>
    <s v="-"/>
    <s v="-"/>
    <m/>
    <s v="Multiple Languages"/>
    <e v="#N/A"/>
  </r>
  <r>
    <x v="389"/>
    <x v="384"/>
    <s v="D'Arcy, Mark"/>
    <s v="Enterprise"/>
    <s v="Enterprise"/>
    <s v="N"/>
    <e v="#N/A"/>
    <s v="EMEA"/>
    <m/>
    <n v="0.61699999999999999"/>
    <m/>
    <m/>
    <m/>
    <s v="L1"/>
    <x v="389"/>
    <s v="Zhuo Chen"/>
    <s v="Douglas Lumb"/>
    <n v="0"/>
    <m/>
    <s v="Not Planned"/>
    <n v="13"/>
    <x v="0"/>
    <n v="0"/>
    <m/>
    <s v="-"/>
    <s v="-"/>
    <m/>
    <s v="Italian"/>
    <e v="#N/A"/>
  </r>
  <r>
    <x v="390"/>
    <x v="385"/>
    <s v="D'Arcy, Mark"/>
    <s v="Enterprise"/>
    <s v="Enterprise"/>
    <s v="N"/>
    <e v="#N/A"/>
    <s v="NAMER"/>
    <m/>
    <n v="0.64800000000000002"/>
    <m/>
    <m/>
    <m/>
    <s v="L1"/>
    <x v="390"/>
    <s v="Zhuo Chen"/>
    <s v="Douglas Lumb"/>
    <n v="0"/>
    <m/>
    <s v="Not Planned"/>
    <n v="13"/>
    <x v="0"/>
    <n v="2"/>
    <m/>
    <s v="-"/>
    <s v="-"/>
    <m/>
    <s v="English"/>
    <e v="#N/A"/>
  </r>
  <r>
    <x v="391"/>
    <x v="386"/>
    <s v="D'Arcy, Mark"/>
    <s v="Enterprise"/>
    <s v="Enterprise"/>
    <s v="N"/>
    <e v="#N/A"/>
    <s v="APJ"/>
    <s v="India"/>
    <n v="0.629"/>
    <m/>
    <m/>
    <s v="12/7"/>
    <s v="L1"/>
    <x v="391"/>
    <s v="Taini Liang - Dellteam"/>
    <s v="Douglas Lumb"/>
    <n v="14"/>
    <m/>
    <s v="Not Planned"/>
    <n v="13"/>
    <x v="0"/>
    <n v="0"/>
    <m/>
    <s v="-"/>
    <s v="-"/>
    <m/>
    <s v="English"/>
    <e v="#N/A"/>
  </r>
  <r>
    <x v="392"/>
    <x v="387"/>
    <s v="No Assigned L6"/>
    <s v="DPD"/>
    <s v="DPSolutions"/>
    <s v="N"/>
    <e v="#N/A"/>
    <s v="APJ"/>
    <e v="#N/A"/>
    <m/>
    <m/>
    <m/>
    <s v="11/5, 8/2"/>
    <s v="L1"/>
    <x v="392"/>
    <s v="Douglas Lumb"/>
    <s v="Khim Sun Lau"/>
    <n v="12"/>
    <m/>
    <s v="Not Planned"/>
    <m/>
    <x v="0"/>
    <n v="0"/>
    <m/>
    <e v="#N/A"/>
    <e v="#N/A"/>
    <m/>
    <s v="English"/>
    <e v="#N/A"/>
  </r>
  <r>
    <x v="393"/>
    <x v="388"/>
    <s v="Kenneally, Niall"/>
    <s v="Enterprise"/>
    <s v="Enterprise"/>
    <s v="N"/>
    <e v="#N/A"/>
    <s v="LATAM"/>
    <s v="Panama"/>
    <n v="0.626"/>
    <m/>
    <m/>
    <s v="12/7"/>
    <s v="Non-L1"/>
    <x v="393"/>
    <s v="Zhuo Chen"/>
    <s v="Miguel Galicia"/>
    <n v="14"/>
    <m/>
    <s v="Not Planned"/>
    <n v="13"/>
    <x v="0"/>
    <n v="0"/>
    <m/>
    <s v="-"/>
    <s v="-"/>
    <s v=""/>
    <s v="Multiple Languages"/>
    <e v="#N/A"/>
  </r>
  <r>
    <x v="394"/>
    <x v="389"/>
    <s v="No Assigned L6"/>
    <m/>
    <s v="Enterprise"/>
    <s v="N"/>
    <e v="#N/A"/>
    <s v="EMEA"/>
    <s v="Egypt"/>
    <n v="0.61699999999999999"/>
    <m/>
    <m/>
    <s v="12/7"/>
    <s v="Quality Coach"/>
    <x v="394"/>
    <s v="Zhuo Chen"/>
    <s v="Miguel Galicia"/>
    <n v="14"/>
    <m/>
    <s v="Not Planned"/>
    <m/>
    <x v="0"/>
    <n v="0"/>
    <m/>
    <e v="#N/A"/>
    <e v="#N/A"/>
    <m/>
    <s v="Multiple Languages"/>
    <e v="#N/A"/>
  </r>
  <r>
    <x v="395"/>
    <x v="390"/>
    <s v="Brown, Dexter"/>
    <s v="RPS"/>
    <s v="Server"/>
    <s v="N"/>
    <e v="#N/A"/>
    <s v="Global"/>
    <s v="Global"/>
    <n v="0.63300000000000001"/>
    <m/>
    <m/>
    <s v="12/7"/>
    <s v="Non-L1"/>
    <x v="395"/>
    <s v="Zhuo Chen"/>
    <s v="StephenRaj  Kumar"/>
    <n v="14"/>
    <m/>
    <s v="Not Planned"/>
    <n v="13"/>
    <x v="0"/>
    <n v="0"/>
    <m/>
    <s v="-"/>
    <s v="-"/>
    <m/>
    <s v="English"/>
    <e v="#N/A"/>
  </r>
  <r>
    <x v="396"/>
    <x v="391"/>
    <s v="Brown, Dexter"/>
    <s v="Server"/>
    <s v="Server"/>
    <s v="Y"/>
    <e v="#N/A"/>
    <s v="APJ"/>
    <s v="India"/>
    <n v="0.629"/>
    <n v="2.278539874447803E-2"/>
    <m/>
    <s v="24/5"/>
    <s v="L1"/>
    <x v="396"/>
    <s v="Vikesh Gupta - Dellteam"/>
    <s v="StephenRaj  Kumar"/>
    <n v="16"/>
    <m/>
    <s v="Not Planned"/>
    <n v="13"/>
    <x v="0"/>
    <n v="0"/>
    <m/>
    <s v="24*7"/>
    <s v="Sat- Fri"/>
    <m/>
    <s v="English"/>
    <e v="#N/A"/>
  </r>
  <r>
    <x v="397"/>
    <x v="392"/>
    <s v="Brown, Dexter"/>
    <s v="WFM"/>
    <s v="High End Storage"/>
    <s v="N"/>
    <e v="#N/A"/>
    <s v="NAMER"/>
    <s v="United States"/>
    <n v="0.64800000000000002"/>
    <m/>
    <m/>
    <s v="12/7"/>
    <s v="Non-L1"/>
    <x v="397"/>
    <s v="Zhuo Chen"/>
    <s v="StephenRaj  Kumar"/>
    <n v="14"/>
    <m/>
    <s v="Not Planned"/>
    <n v="13"/>
    <x v="0"/>
    <n v="0"/>
    <m/>
    <s v="-"/>
    <s v="-"/>
    <m/>
    <s v="English"/>
    <e v="#N/A"/>
  </r>
  <r>
    <x v="398"/>
    <x v="393"/>
    <s v="Brown, Dexter"/>
    <s v="WFM"/>
    <s v="High End Storage"/>
    <s v="N"/>
    <e v="#N/A"/>
    <s v="APJ"/>
    <s v="India"/>
    <n v="0.629"/>
    <m/>
    <m/>
    <s v="12/7"/>
    <s v="Non-L1"/>
    <x v="398"/>
    <s v="Zhuo Chen"/>
    <s v="StephenRaj  Kumar"/>
    <n v="14"/>
    <m/>
    <s v="Not Planned"/>
    <n v="13"/>
    <x v="0"/>
    <n v="0"/>
    <m/>
    <s v="-"/>
    <s v="-"/>
    <s v=""/>
    <s v="Multiple Languages"/>
    <e v="#N/A"/>
  </r>
  <r>
    <x v="399"/>
    <x v="394"/>
    <s v="Brown, Dexter"/>
    <s v="WFM"/>
    <s v="High End Storage"/>
    <s v="N"/>
    <e v="#N/A"/>
    <s v="APJ"/>
    <s v="Australia"/>
    <n v="0.629"/>
    <m/>
    <m/>
    <s v="12/7"/>
    <s v="Non-L1"/>
    <x v="399"/>
    <s v="Zhuo Chen"/>
    <s v="StephenRaj  Kumar"/>
    <n v="14"/>
    <m/>
    <s v="Not Planned"/>
    <n v="13"/>
    <x v="0"/>
    <n v="0"/>
    <m/>
    <s v="-"/>
    <s v="-"/>
    <s v=""/>
    <s v="Multiple Languages"/>
    <e v="#N/A"/>
  </r>
  <r>
    <x v="400"/>
    <x v="395"/>
    <s v="Christmas, James"/>
    <s v="Client"/>
    <m/>
    <s v="N"/>
    <e v="#N/A"/>
    <s v="APJ"/>
    <s v="India"/>
    <m/>
    <m/>
    <m/>
    <m/>
    <s v="L1"/>
    <x v="400"/>
    <s v="Manish Gahlawat-Dellteam"/>
    <m/>
    <m/>
    <m/>
    <s v="Not Planned"/>
    <m/>
    <x v="0"/>
    <n v="2"/>
    <m/>
    <e v="#N/A"/>
    <e v="#N/A"/>
    <m/>
    <s v="English"/>
    <e v="#N/A"/>
  </r>
  <r>
    <x v="401"/>
    <x v="396"/>
    <s v="Morgan, Melissa"/>
    <s v="Enterprise"/>
    <s v="Enterprise"/>
    <s v="N"/>
    <e v="#N/A"/>
    <s v="Global"/>
    <s v="Global"/>
    <m/>
    <m/>
    <m/>
    <m/>
    <s v="Non-L1"/>
    <x v="401"/>
    <s v="Zhuo Chen"/>
    <m/>
    <n v="0"/>
    <m/>
    <s v="Not Planned"/>
    <n v="13"/>
    <x v="0"/>
    <n v="3"/>
    <m/>
    <s v="-"/>
    <s v="-"/>
    <m/>
    <s v="Multiple Languages"/>
    <e v="#N/A"/>
  </r>
  <r>
    <x v="402"/>
    <x v="397"/>
    <s v="Johnson, Meghan"/>
    <s v="CTE"/>
    <s v="CTE"/>
    <s v="Y"/>
    <e v="#N/A"/>
    <s v="APJ"/>
    <s v="India"/>
    <m/>
    <m/>
    <m/>
    <m/>
    <s v="CTE"/>
    <x v="402"/>
    <s v="Manish Gahlawat - Dellteam"/>
    <m/>
    <m/>
    <m/>
    <s v="Not Planned"/>
    <m/>
    <x v="0"/>
    <n v="111"/>
    <m/>
    <e v="#N/A"/>
    <e v="#N/A"/>
    <m/>
    <s v="English"/>
    <e v="#N/A"/>
  </r>
  <r>
    <x v="403"/>
    <x v="398"/>
    <s v="No Assigned L6"/>
    <s v="Midrange"/>
    <s v="Midrange"/>
    <s v="Y"/>
    <e v="#N/A"/>
    <s v="NAMER"/>
    <e v="#N/A"/>
    <n v="0.64800000000000002"/>
    <m/>
    <m/>
    <s v="12/7"/>
    <m/>
    <x v="403"/>
    <s v="Douglas Lumb"/>
    <s v=""/>
    <n v="14"/>
    <m/>
    <s v="Not Planned"/>
    <n v="13"/>
    <x v="0"/>
    <n v="0"/>
    <m/>
    <e v="#N/A"/>
    <e v="#N/A"/>
    <m/>
    <s v="Multiple Languages"/>
    <e v="#N/A"/>
  </r>
  <r>
    <x v="404"/>
    <x v="399"/>
    <s v="Copeland, Jessica"/>
    <s v="Storage"/>
    <m/>
    <s v="Y"/>
    <s v="Not Planned"/>
    <m/>
    <m/>
    <m/>
    <m/>
    <m/>
    <m/>
    <m/>
    <x v="404"/>
    <s v="Douglas Lumb"/>
    <s v=""/>
    <m/>
    <m/>
    <s v="Not Planned"/>
    <m/>
    <x v="0"/>
    <n v="11.333333333333334"/>
    <m/>
    <e v="#N/A"/>
    <e v="#N/A"/>
    <m/>
    <s v="English"/>
    <e v="#N/A"/>
  </r>
  <r>
    <x v="405"/>
    <x v="400"/>
    <s v="Copeland, Jessica"/>
    <m/>
    <m/>
    <s v="Y"/>
    <s v="Not Planned"/>
    <m/>
    <m/>
    <m/>
    <m/>
    <m/>
    <m/>
    <m/>
    <x v="405"/>
    <s v="Douglas Lumb"/>
    <s v=""/>
    <m/>
    <m/>
    <s v="Not Planned"/>
    <m/>
    <x v="0"/>
    <n v="51"/>
    <m/>
    <e v="#N/A"/>
    <e v="#N/A"/>
    <m/>
    <s v="English"/>
    <e v="#N/A"/>
  </r>
  <r>
    <x v="406"/>
    <x v="401"/>
    <s v="Copeland, Jessica"/>
    <m/>
    <m/>
    <s v="Y"/>
    <s v="Not Planned"/>
    <m/>
    <m/>
    <m/>
    <m/>
    <m/>
    <m/>
    <m/>
    <x v="406"/>
    <s v="Douglas Lumb"/>
    <s v=""/>
    <m/>
    <m/>
    <s v="Not Planned"/>
    <m/>
    <x v="0"/>
    <n v="4"/>
    <m/>
    <e v="#N/A"/>
    <e v="#N/A"/>
    <m/>
    <s v="English"/>
    <e v="#N/A"/>
  </r>
  <r>
    <x v="407"/>
    <x v="402"/>
    <s v="Copeland, Jessica"/>
    <m/>
    <m/>
    <s v="Y"/>
    <s v="Not Planned"/>
    <m/>
    <m/>
    <m/>
    <m/>
    <m/>
    <m/>
    <m/>
    <x v="407"/>
    <s v="Douglas Lumb"/>
    <s v=""/>
    <m/>
    <m/>
    <s v="Not Planned"/>
    <n v="13"/>
    <x v="0"/>
    <n v="30.333333333333332"/>
    <m/>
    <e v="#N/A"/>
    <e v="#N/A"/>
    <m/>
    <s v="English"/>
    <e v="#N/A"/>
  </r>
  <r>
    <x v="408"/>
    <x v="403"/>
    <s v="Brown, Dexter"/>
    <s v="E2E"/>
    <s v="E2E Connectivity"/>
    <s v="Y"/>
    <s v="Backline"/>
    <s v="Global"/>
    <s v="Global"/>
    <n v="0.63300000000000001"/>
    <n v="1.5037593984962405E-2"/>
    <m/>
    <s v="12/7"/>
    <s v="Non-L1"/>
    <x v="408"/>
    <s v="Jayant Chandekar - Dellteam"/>
    <s v="Marcy Jelinek"/>
    <n v="14"/>
    <m/>
    <s v="Custom Model"/>
    <n v="13"/>
    <x v="1"/>
    <n v="28"/>
    <m/>
    <s v="24*7"/>
    <s v="Sat- Fri"/>
    <m/>
    <s v="English"/>
    <s v="Mahajan, Rohit - Dell Team"/>
  </r>
  <r>
    <x v="409"/>
    <x v="404"/>
    <s v="Yap, Diane"/>
    <s v="GIST"/>
    <s v="GIST"/>
    <s v="Y"/>
    <s v="Front Line"/>
    <s v="APJ"/>
    <s v="Japan"/>
    <n v="0.58199999999999996"/>
    <n v="2.278539874447803E-2"/>
    <m/>
    <n v="0"/>
    <s v="L1"/>
    <x v="409"/>
    <s v="Vasudev Warik - Dellteam"/>
    <s v="StephenRaj  Kumar"/>
    <n v="12"/>
    <m/>
    <s v="Custom Model"/>
    <n v="13"/>
    <x v="1"/>
    <n v="10"/>
    <m/>
    <s v="24*7"/>
    <s v="Sat- Fri"/>
    <s v=""/>
    <s v="Japanese"/>
    <s v="Shankar Yadav, Shiv - Dell Team"/>
  </r>
  <r>
    <x v="410"/>
    <x v="405"/>
    <s v="D'Arcy, Mark"/>
    <s v="GNCS"/>
    <s v="Powerflex"/>
    <s v="Y"/>
    <s v="Front Line"/>
    <s v="Global"/>
    <s v="Global"/>
    <n v="0.63300000000000001"/>
    <n v="5.859375E-3"/>
    <m/>
    <m/>
    <s v="L1"/>
    <x v="410"/>
    <s v="Arpit Rathod - Dellteam"/>
    <s v="Khim Sun Lau"/>
    <n v="24"/>
    <m/>
    <s v="Custom Model"/>
    <n v="13"/>
    <x v="1"/>
    <n v="90.666666666666671"/>
    <m/>
    <m/>
    <m/>
    <s v=""/>
    <s v="English"/>
    <s v="Mahajan, Rohit - Dell Team"/>
  </r>
  <r>
    <x v="411"/>
    <x v="406"/>
    <s v="D'Arcy, Mark"/>
    <s v="GNCS"/>
    <s v="Powerflex"/>
    <s v="Y"/>
    <s v="Backline"/>
    <s v="Global"/>
    <s v="Global"/>
    <n v="0.63300000000000001"/>
    <n v="1.8670169726832081E-2"/>
    <m/>
    <m/>
    <s v="Non-L1"/>
    <x v="411"/>
    <s v="Arpit Rathod - Dellteam"/>
    <s v="Bethany Rana"/>
    <n v="24"/>
    <m/>
    <s v="Custom Model"/>
    <n v="13"/>
    <x v="1"/>
    <n v="53"/>
    <m/>
    <m/>
    <m/>
    <m/>
    <s v="English"/>
    <s v="Prasad, Ranjan - Dell Team"/>
  </r>
  <r>
    <x v="412"/>
    <x v="407"/>
    <s v="Yap, Diane"/>
    <s v="GIST"/>
    <s v="GIST"/>
    <s v="Y"/>
    <s v="Front Line"/>
    <s v="APJ"/>
    <s v="Korea"/>
    <n v="0.629"/>
    <n v="1.5151515151515152E-2"/>
    <m/>
    <n v="0"/>
    <s v="L1"/>
    <x v="412"/>
    <s v="Vasudev Warik - Dellteam"/>
    <s v="StephenRaj  Kumar"/>
    <n v="18"/>
    <m/>
    <s v="Custom Model"/>
    <n v="13"/>
    <x v="1"/>
    <n v="15"/>
    <m/>
    <s v="24*7"/>
    <s v="Sat- Fri"/>
    <s v=""/>
    <s v="Korean"/>
    <s v="Thakur, Jyoti - Dell Team"/>
  </r>
  <r>
    <x v="413"/>
    <x v="408"/>
    <s v="Brown, Dexter"/>
    <s v="GIST"/>
    <s v="GIST"/>
    <s v="Y"/>
    <s v="Front Line"/>
    <s v="Global"/>
    <s v="Global"/>
    <n v="0.63300000000000001"/>
    <n v="1.8670169726832081E-2"/>
    <m/>
    <s v="12/7"/>
    <s v="L1"/>
    <x v="413"/>
    <s v="Jayant Chandekar - Dellteam"/>
    <s v="Marcy Jelinek"/>
    <n v="14"/>
    <m/>
    <s v="Custom Model"/>
    <n v="13"/>
    <x v="1"/>
    <n v="34.666666666666664"/>
    <m/>
    <s v="AVAYA: 04:00-19:00 EST, Case: 24*7"/>
    <s v="Sat- Fri"/>
    <s v=""/>
    <s v="English"/>
    <s v="Prasad, Ranjan - Dell Team"/>
  </r>
  <r>
    <x v="414"/>
    <x v="409"/>
    <s v="D'Arcy, Mark"/>
    <s v="Server"/>
    <s v="Server"/>
    <s v="Y"/>
    <s v="Front Line"/>
    <s v="Global"/>
    <s v="Global"/>
    <n v="0.63300000000000001"/>
    <n v="1.8670169726832081E-2"/>
    <m/>
    <m/>
    <s v="L1"/>
    <x v="414"/>
    <s v="Arpit Rathod - Dellteam"/>
    <s v="Bethany Rana"/>
    <n v="24"/>
    <m/>
    <s v="Custom Model"/>
    <n v="13"/>
    <x v="1"/>
    <n v="51"/>
    <m/>
    <s v="24*7"/>
    <s v="Sat- Fri"/>
    <s v=""/>
    <s v="Multiple Languages"/>
    <s v="Hake, Sadashiv - Dell Team"/>
  </r>
  <r>
    <x v="415"/>
    <x v="410"/>
    <s v="D'Arcy, Mark"/>
    <s v="Server"/>
    <s v="Server"/>
    <s v="Y"/>
    <s v="Backline"/>
    <s v="Global"/>
    <s v="Global"/>
    <n v="0.63300000000000001"/>
    <n v="1.8670169726832081E-2"/>
    <m/>
    <m/>
    <s v="Non-L1"/>
    <x v="415"/>
    <s v="Arpit Rathod - Dellteam"/>
    <s v="Bethany Rana"/>
    <n v="24"/>
    <m/>
    <s v="Custom Model"/>
    <n v="13"/>
    <x v="1"/>
    <n v="79"/>
    <m/>
    <s v="24*7"/>
    <s v="Sat- Fri"/>
    <m/>
    <s v="Multiple Languages"/>
    <s v="Tejpal, Sanna - Dell Team"/>
  </r>
  <r>
    <x v="416"/>
    <x v="411"/>
    <s v="Creixell, Gustavo"/>
    <s v="Enterprise"/>
    <s v="Enterprise"/>
    <s v="Y"/>
    <s v="Front Line"/>
    <s v="LATAM"/>
    <s v="Brazil"/>
    <n v="0.57099999999999995"/>
    <n v="1.5604681404421327E-2"/>
    <m/>
    <s v="12/5"/>
    <s v="L1"/>
    <x v="416"/>
    <s v="Rahul Rohilkar - Dellteam"/>
    <s v="Juliano Alves Neres"/>
    <n v="8"/>
    <m/>
    <s v="ESG"/>
    <n v="13"/>
    <x v="1"/>
    <n v="5"/>
    <m/>
    <s v="22:20-07:20 (Brasilia timezone)"/>
    <s v="Mon-Sun "/>
    <s v=""/>
    <s v="Portuguese"/>
    <s v="Nandakumar, Shashidhar - Dell Team"/>
  </r>
  <r>
    <x v="417"/>
    <x v="412"/>
    <s v="Creixell, Gustavo"/>
    <s v="Enterprise"/>
    <s v="Enterprise"/>
    <s v="Y"/>
    <s v="Front Line"/>
    <s v="LATAM"/>
    <s v="Brazil"/>
    <n v="0.57099999999999995"/>
    <n v="1.5604681404421327E-2"/>
    <m/>
    <s v="12/5"/>
    <s v="L1"/>
    <x v="417"/>
    <s v="Rahul Rohilkar - Dellteam"/>
    <s v="Juliano Alves Neres"/>
    <n v="8"/>
    <m/>
    <s v="ESG"/>
    <n v="13"/>
    <x v="1"/>
    <n v="7"/>
    <m/>
    <s v="08:00-17:29 (Brasilia timezone)"/>
    <s v="Mon-Fri "/>
    <s v=""/>
    <s v="Portuguese"/>
    <s v="Nandakumar, Shashidhar - Dell Team"/>
  </r>
  <r>
    <x v="418"/>
    <x v="413"/>
    <s v="D'Arcy, Mark"/>
    <s v="Networking"/>
    <s v="Networking"/>
    <s v="Y"/>
    <s v="Front Line"/>
    <s v="Global"/>
    <s v="Global"/>
    <n v="0.63300000000000001"/>
    <n v="1.5845070422535211E-2"/>
    <m/>
    <m/>
    <s v="L1"/>
    <x v="418"/>
    <s v="Arpit Rathod - Dellteam"/>
    <s v="Bethany Rana"/>
    <n v="24"/>
    <m/>
    <s v="ESG"/>
    <n v="13"/>
    <x v="1"/>
    <n v="46.333333333333336"/>
    <m/>
    <m/>
    <m/>
    <s v=""/>
    <s v="English"/>
    <s v="Walunj, Vinod - Dell Team"/>
  </r>
  <r>
    <x v="419"/>
    <x v="414"/>
    <s v="D'Arcy, Mark"/>
    <s v="Server"/>
    <s v="Server"/>
    <s v="Y"/>
    <s v="Front Line"/>
    <s v="EMEA"/>
    <s v="EC"/>
    <n v="0.61699999999999999"/>
    <n v="3.8967379973253502E-2"/>
    <m/>
    <m/>
    <s v="L1"/>
    <x v="419"/>
    <s v="Arpit Rathod - Dellteam"/>
    <s v="Bethany Rana"/>
    <n v="10"/>
    <m/>
    <s v="ESG"/>
    <n v="13"/>
    <x v="1"/>
    <n v="9"/>
    <m/>
    <s v="08:00-17:30 (GMT+1)"/>
    <s v="Mon-Fri"/>
    <s v=""/>
    <s v="Russian"/>
    <s v="Arya, Ramesh - Dell Team"/>
  </r>
  <r>
    <x v="420"/>
    <x v="415"/>
    <s v="D'Arcy, Mark"/>
    <s v="Server"/>
    <s v="Server"/>
    <s v="Y"/>
    <s v="Front Line"/>
    <s v="EMEA"/>
    <s v="SER"/>
    <n v="0.61699999999999999"/>
    <n v="3.8967379973253502E-2"/>
    <m/>
    <m/>
    <s v="L1"/>
    <x v="420"/>
    <s v="Arpit Rathod - Dellteam"/>
    <s v="Bethany Rana"/>
    <n v="12"/>
    <m/>
    <s v="ESG"/>
    <n v="13"/>
    <x v="1"/>
    <n v="11"/>
    <m/>
    <s v="09:00-18:00 (GMT+1)"/>
    <s v="Mon-Fri"/>
    <s v=""/>
    <s v="Spanish"/>
    <s v="Hake, Sadashiv - Dell Team"/>
  </r>
  <r>
    <x v="421"/>
    <x v="416"/>
    <s v="D'Arcy, Mark"/>
    <s v="Server"/>
    <s v="Server"/>
    <s v="Y"/>
    <s v="Front Line"/>
    <s v="EMEA"/>
    <s v="SER"/>
    <n v="0.61699999999999999"/>
    <n v="6.7634038366945395E-3"/>
    <m/>
    <m/>
    <s v="L1"/>
    <x v="421"/>
    <s v="Arpit Rathod - Dellteam"/>
    <s v="Bethany Rana"/>
    <n v="24"/>
    <m/>
    <s v="ESG"/>
    <n v="13"/>
    <x v="1"/>
    <n v="40"/>
    <m/>
    <s v="08:00-18:00 (GMT+1)"/>
    <s v="Mon-Fri"/>
    <s v=""/>
    <s v="French"/>
    <s v="Hake, Sadashiv - Dell Team"/>
  </r>
  <r>
    <x v="422"/>
    <x v="417"/>
    <s v="Yap, Diane"/>
    <s v="Server"/>
    <s v="Server"/>
    <s v="Y"/>
    <s v="Front Line"/>
    <s v="APJ"/>
    <s v="China"/>
    <n v="0.629"/>
    <n v="2.278539874447803E-2"/>
    <m/>
    <m/>
    <s v="L1"/>
    <x v="422"/>
    <s v="Vasudev Warik - Dellteam"/>
    <s v="StephenRaj  Kumar"/>
    <n v="24"/>
    <m/>
    <s v="ESG"/>
    <n v="13"/>
    <x v="1"/>
    <n v="14"/>
    <m/>
    <m/>
    <m/>
    <s v=""/>
    <s v="Mandarin"/>
    <s v="Wei Han, Ying - Dell Team"/>
  </r>
  <r>
    <x v="423"/>
    <x v="418"/>
    <s v="Creixell, Gustavo"/>
    <s v="Storage"/>
    <s v="Storage"/>
    <s v="Y"/>
    <s v="Front Line"/>
    <s v="LATAM"/>
    <s v="Brazil"/>
    <n v="0.57099999999999995"/>
    <n v="1.5604681404421327E-2"/>
    <m/>
    <m/>
    <s v="L1"/>
    <x v="423"/>
    <s v="Rahul Rohilkar - Dellteam"/>
    <s v="Juliano Alves Neres"/>
    <n v="24"/>
    <m/>
    <s v="ESG"/>
    <n v="13"/>
    <x v="1"/>
    <n v="21"/>
    <m/>
    <m/>
    <m/>
    <s v=""/>
    <s v="Portuguese"/>
    <s v="Dutt, Jitendra - Dell Team"/>
  </r>
  <r>
    <x v="424"/>
    <x v="419"/>
    <s v="Creixell, Gustavo"/>
    <s v="Storage"/>
    <s v="Storage"/>
    <s v="Y"/>
    <s v="Front Line"/>
    <s v="LATAM"/>
    <s v="ROLA"/>
    <n v="0.64100000000000001"/>
    <n v="1.5604681404421327E-2"/>
    <m/>
    <m/>
    <s v="L1"/>
    <x v="424"/>
    <s v="Rahul Rohilkar - Dellteam"/>
    <s v="Juliano Alves Neres"/>
    <n v="24"/>
    <m/>
    <s v="ESG"/>
    <n v="13"/>
    <x v="1"/>
    <n v="18"/>
    <m/>
    <m/>
    <m/>
    <s v=""/>
    <s v="Spanish"/>
    <s v="Walunj, Vinod - Dell Team"/>
  </r>
  <r>
    <x v="425"/>
    <x v="420"/>
    <s v="D'Arcy, Mark"/>
    <s v="Server"/>
    <s v="Server"/>
    <s v="Y"/>
    <s v="Front Line"/>
    <s v="EMEA"/>
    <s v="EC"/>
    <n v="0.61699999999999999"/>
    <n v="9.8425196850393699E-3"/>
    <m/>
    <s v="12/6"/>
    <s v="L1"/>
    <x v="425"/>
    <s v="Arpit Rathod - Dellteam"/>
    <s v="Bethany Rana"/>
    <n v="10"/>
    <m/>
    <s v="ESG"/>
    <n v="13"/>
    <x v="1"/>
    <n v="22"/>
    <m/>
    <m/>
    <m/>
    <s v=""/>
    <s v="Arabic"/>
    <s v="Hake, Sadashiv - Dell Team"/>
  </r>
  <r>
    <x v="426"/>
    <x v="421"/>
    <s v="D'Arcy, Mark"/>
    <s v="Server"/>
    <s v="Server"/>
    <s v="Y"/>
    <s v="Front Line"/>
    <s v="EMEA"/>
    <s v="SER"/>
    <n v="0.61699999999999999"/>
    <n v="3.8967379973253502E-2"/>
    <m/>
    <s v="9/5"/>
    <s v="L1"/>
    <x v="426"/>
    <s v="Arpit Rathod - Dellteam"/>
    <s v="Bethany Rana"/>
    <n v="4"/>
    <m/>
    <s v="ESG"/>
    <n v="13"/>
    <x v="1"/>
    <n v="14"/>
    <m/>
    <m/>
    <m/>
    <s v=""/>
    <s v="Italian"/>
    <s v="Hake, Sadashiv - Dell Team"/>
  </r>
  <r>
    <x v="427"/>
    <x v="422"/>
    <s v="D'Arcy, Mark"/>
    <s v="Server"/>
    <s v="Server"/>
    <s v="Y"/>
    <s v="Front Line"/>
    <s v="EMEA"/>
    <s v="UKI"/>
    <n v="0.61699999999999999"/>
    <n v="3.0612244897959186E-2"/>
    <m/>
    <s v="10/5"/>
    <s v="L1"/>
    <x v="427"/>
    <s v="Arpit Rathod - Dellteam"/>
    <s v="Bethany Rana"/>
    <n v="7"/>
    <m/>
    <s v="ESG"/>
    <n v="13"/>
    <x v="1"/>
    <n v="13"/>
    <m/>
    <s v="07:00-16:30 (GMT+0)"/>
    <s v="Mon-Fri"/>
    <s v=""/>
    <s v="Dutch"/>
    <s v="Arya, Ramesh - Dell Team"/>
  </r>
  <r>
    <x v="428"/>
    <x v="423"/>
    <s v="Creixell, Gustavo"/>
    <s v="Networking"/>
    <s v="Networking"/>
    <s v="Y"/>
    <s v="Front Line"/>
    <s v="LATAM"/>
    <s v="Brazil"/>
    <n v="0.57099999999999995"/>
    <n v="1.5604681404421327E-2"/>
    <m/>
    <s v="10/5"/>
    <s v="L1"/>
    <x v="428"/>
    <s v="Rahul Rohilkar - Dellteam"/>
    <s v="Juliano Alves Neres"/>
    <n v="7"/>
    <m/>
    <s v="ESG"/>
    <n v="13"/>
    <x v="1"/>
    <n v="8"/>
    <m/>
    <s v="08:00-20:00 (Brasilia timezone)"/>
    <s v="Mon-Sat"/>
    <s v=""/>
    <s v="Portuguese"/>
    <s v="Dutt, Jitendra - Dell Team"/>
  </r>
  <r>
    <x v="429"/>
    <x v="424"/>
    <s v="Creixell, Gustavo"/>
    <s v="Server"/>
    <s v="Server"/>
    <s v="Y"/>
    <s v="Front Line"/>
    <s v="LATAM"/>
    <s v="Brazil"/>
    <n v="0.57099999999999995"/>
    <n v="1.5604681404421327E-2"/>
    <m/>
    <m/>
    <s v="L1"/>
    <x v="429"/>
    <s v="Rahul Rohilkar - Dellteam"/>
    <s v="Juliano Alves Neres"/>
    <n v="24"/>
    <m/>
    <s v="ESG"/>
    <n v="13"/>
    <x v="1"/>
    <n v="26"/>
    <m/>
    <m/>
    <m/>
    <s v=""/>
    <s v="Portuguese"/>
    <s v="Nandakumar, Shashidhar - Dell Team"/>
  </r>
  <r>
    <x v="430"/>
    <x v="425"/>
    <s v="D'Arcy, Mark"/>
    <s v="Server"/>
    <s v="Server"/>
    <s v="Y"/>
    <s v="Front Line"/>
    <s v="EMEA"/>
    <s v="CER"/>
    <n v="0.61699999999999999"/>
    <n v="3.8967379973253502E-2"/>
    <m/>
    <s v="10/5"/>
    <s v="L1"/>
    <x v="430"/>
    <s v="Arpit Rathod - Dellteam"/>
    <s v="Bethany Rana"/>
    <n v="7"/>
    <m/>
    <s v="ESG"/>
    <n v="13"/>
    <x v="1"/>
    <n v="9"/>
    <m/>
    <s v="08:00-18:00 (GMT+1)"/>
    <s v="Mon-Fri"/>
    <s v=""/>
    <s v="Czech/Slovak"/>
    <s v="Arya, Ramesh - Dell Team"/>
  </r>
  <r>
    <x v="431"/>
    <x v="426"/>
    <s v="D'Arcy, Mark"/>
    <s v="Networking"/>
    <s v="Networking"/>
    <s v="Y"/>
    <s v="Front Line"/>
    <s v="EMEA"/>
    <s v="CER"/>
    <n v="0.61699999999999999"/>
    <n v="3.8967379973253502E-2"/>
    <m/>
    <s v="10/5"/>
    <s v="L1"/>
    <x v="431"/>
    <s v="Arpit Rathod - Dellteam"/>
    <s v="Bethany Rana"/>
    <n v="7"/>
    <m/>
    <s v="ESG"/>
    <n v="13"/>
    <x v="1"/>
    <n v="7"/>
    <m/>
    <s v="08:00-17:30  (GMT+1)"/>
    <s v="Mon-Fri"/>
    <s v=""/>
    <s v="German"/>
    <s v="Arya, Ramesh - Dell Team"/>
  </r>
  <r>
    <x v="432"/>
    <x v="427"/>
    <s v="Kenneally, Niall"/>
    <s v="Storage"/>
    <s v="Storage"/>
    <s v="Y"/>
    <s v="Front Line"/>
    <s v="EMEA"/>
    <s v="Germany"/>
    <n v="0.61699999999999999"/>
    <n v="3.8967379973253502E-2"/>
    <m/>
    <s v="11/5"/>
    <s v="L1"/>
    <x v="432"/>
    <s v="Abdul Latif Ansari - Dell Team"/>
    <s v="Juliano Alves Neres"/>
    <n v="8"/>
    <m/>
    <s v="ESG"/>
    <n v="13"/>
    <x v="1"/>
    <n v="13.666666666666666"/>
    <m/>
    <s v="08:00-18:00 (GMT+1)"/>
    <s v="Mon-Fri"/>
    <s v=""/>
    <s v="German"/>
    <s v="Paliwal, Chetan - Dell Team"/>
  </r>
  <r>
    <x v="433"/>
    <x v="428"/>
    <s v="D'Arcy, Mark"/>
    <s v="Server"/>
    <s v="Server"/>
    <s v="Y"/>
    <s v="Front Line"/>
    <s v="EMEA"/>
    <s v="Germany"/>
    <n v="0.61699999999999999"/>
    <n v="5.3680981595092027E-3"/>
    <m/>
    <m/>
    <s v="L1"/>
    <x v="433"/>
    <s v="Arpit Rathod - Dellteam"/>
    <s v="Bethany Rana"/>
    <n v="24"/>
    <m/>
    <s v="ESG"/>
    <n v="13"/>
    <x v="1"/>
    <n v="48"/>
    <m/>
    <m/>
    <m/>
    <s v=""/>
    <s v="German"/>
    <s v="Arya, Ramesh - Dell Team"/>
  </r>
  <r>
    <x v="434"/>
    <x v="429"/>
    <s v="D'Arcy, Mark"/>
    <s v="Server"/>
    <s v="Server"/>
    <s v="Y"/>
    <s v="Front Line"/>
    <s v="EMEA"/>
    <s v="EC"/>
    <n v="0.61699999999999999"/>
    <n v="3.8967379973253502E-2"/>
    <m/>
    <s v="8/5"/>
    <s v="L1"/>
    <x v="434"/>
    <s v="Arpit Rathod - Dellteam"/>
    <s v="Bethany Rana"/>
    <n v="4"/>
    <m/>
    <s v="ESG"/>
    <n v="13"/>
    <x v="1"/>
    <n v="4"/>
    <m/>
    <s v="08:00-16:00 (GMT+1)"/>
    <s v="Mon-Fri"/>
    <s v=""/>
    <s v="Greek"/>
    <s v="Hake, Sadashiv - Dell Team"/>
  </r>
  <r>
    <x v="435"/>
    <x v="430"/>
    <s v="D'Arcy, Mark"/>
    <s v="Server"/>
    <s v="Server"/>
    <s v="Y"/>
    <s v="Front Line"/>
    <s v="EMEA"/>
    <s v="CER"/>
    <n v="0.61699999999999999"/>
    <n v="3.8967379973253502E-2"/>
    <m/>
    <s v="9/5"/>
    <s v="L1"/>
    <x v="435"/>
    <s v="Arpit Rathod - Dellteam"/>
    <s v="Bethany Rana"/>
    <n v="4"/>
    <m/>
    <s v="ESG"/>
    <n v="13"/>
    <x v="1"/>
    <n v="12"/>
    <m/>
    <s v="08:00-17:00  (GMT+1)"/>
    <s v="Mon-Fri"/>
    <s v=""/>
    <s v="Polish"/>
    <s v="Arya, Ramesh - Dell Team"/>
  </r>
  <r>
    <x v="436"/>
    <x v="431"/>
    <s v="D'Arcy, Mark"/>
    <s v="Server"/>
    <s v="Server"/>
    <s v="Y"/>
    <s v="Front Line"/>
    <s v="EMEA"/>
    <s v="CER"/>
    <n v="0.61699999999999999"/>
    <n v="3.8967379973253502E-2"/>
    <m/>
    <s v="9/5"/>
    <s v="L1"/>
    <x v="436"/>
    <s v="Arpit Rathod - Dellteam"/>
    <s v="Bethany Rana"/>
    <n v="4"/>
    <m/>
    <s v="ESG"/>
    <n v="13"/>
    <x v="1"/>
    <n v="7"/>
    <m/>
    <s v="08:00-16:30 (GMT+1)"/>
    <s v="Mon-Fri"/>
    <s v=""/>
    <s v="Turkish"/>
    <s v="Arya, Ramesh - Dell Team"/>
  </r>
  <r>
    <x v="437"/>
    <x v="432"/>
    <s v="D'Arcy, Mark"/>
    <s v="Networking"/>
    <s v="Networking"/>
    <s v="Y"/>
    <s v="Front Line"/>
    <s v="EMEA"/>
    <s v="France"/>
    <n v="0.61699999999999999"/>
    <n v="3.8967379973253502E-2"/>
    <m/>
    <s v="10/5"/>
    <s v="L1"/>
    <x v="437"/>
    <s v="Arpit Rathod - Dellteam"/>
    <s v="Bethany Rana"/>
    <n v="7"/>
    <m/>
    <s v="ESG"/>
    <n v="13"/>
    <x v="1"/>
    <n v="7"/>
    <m/>
    <s v="08:00-17:30 (GMT+1)"/>
    <s v="Mon-Fri"/>
    <s v=""/>
    <s v="French"/>
    <s v="Arya, Ramesh - Dell Team"/>
  </r>
  <r>
    <x v="438"/>
    <x v="433"/>
    <s v="Kenneally, Niall"/>
    <s v="Storage"/>
    <s v="Storage"/>
    <s v="Y"/>
    <s v="Front Line"/>
    <s v="EMEA"/>
    <s v="France"/>
    <n v="0.61699999999999999"/>
    <n v="3.8967379973253502E-2"/>
    <m/>
    <s v="10/5"/>
    <s v="L1"/>
    <x v="438"/>
    <s v="Abdul Latif Ansari - Dell Team"/>
    <s v="Juliano Alves Neres"/>
    <n v="7"/>
    <m/>
    <s v="ESG"/>
    <n v="13"/>
    <x v="1"/>
    <n v="15"/>
    <m/>
    <s v="08:00-18:00 (GMT+1)"/>
    <s v="Mon-Fri"/>
    <s v=""/>
    <s v="French"/>
    <s v="Paliwal, Chetan - Dell Team"/>
  </r>
  <r>
    <x v="439"/>
    <x v="434"/>
    <s v="D'Arcy, Mark"/>
    <s v="Server"/>
    <s v="Server"/>
    <s v="Y"/>
    <s v="Front Line"/>
    <s v="Global"/>
    <s v="Global"/>
    <n v="0.63300000000000001"/>
    <n v="1.8670169726832081E-2"/>
    <m/>
    <s v="24/7"/>
    <s v="L1"/>
    <x v="439"/>
    <s v="Arpit Rathod - Dellteam"/>
    <s v="Bethany Rana"/>
    <m/>
    <m/>
    <s v="ESG"/>
    <m/>
    <x v="1"/>
    <n v="280.33333333333331"/>
    <s v="Global Compute English"/>
    <m/>
    <m/>
    <s v=""/>
    <s v="English"/>
    <s v="Dutt, Jitendra - Dell Team"/>
  </r>
  <r>
    <x v="440"/>
    <x v="435"/>
    <s v="Kenneally, Niall"/>
    <s v="Storage"/>
    <s v="Storage"/>
    <s v="Y"/>
    <s v="Front Line"/>
    <s v="Global"/>
    <s v="Global"/>
    <n v="0.63300000000000001"/>
    <n v="5.8746736292428197E-3"/>
    <m/>
    <n v="45862"/>
    <s v="L1"/>
    <x v="440"/>
    <s v="Abdul Latif Ansari - Dell Team"/>
    <s v="Juliano Alves Neres"/>
    <n v="24"/>
    <m/>
    <s v="ESG"/>
    <n v="13"/>
    <x v="1"/>
    <n v="84.333333333333329"/>
    <m/>
    <m/>
    <m/>
    <s v=""/>
    <s v="English"/>
    <s v="Bansode, Mahendra - Dell Team"/>
  </r>
  <r>
    <x v="441"/>
    <x v="436"/>
    <s v="Kenneally, Niall"/>
    <s v="Storage"/>
    <s v="Storage"/>
    <s v="Y"/>
    <s v="Front Line"/>
    <s v="Global"/>
    <s v="Global"/>
    <n v="0.63300000000000001"/>
    <n v="1.3047283718620831E-2"/>
    <m/>
    <s v="24/7"/>
    <s v="L1"/>
    <x v="441"/>
    <s v="Abdul Latif Ansari - Dell Team"/>
    <s v="Juliano Alves Neres"/>
    <n v="24"/>
    <m/>
    <s v="ESG"/>
    <n v="13"/>
    <x v="1"/>
    <n v="110"/>
    <m/>
    <s v="24*7"/>
    <s v="Sat- Fri"/>
    <s v=""/>
    <s v="Multiple Languages"/>
    <s v="Nandakumar, Shashidhar - Dell Team"/>
  </r>
  <r>
    <x v="442"/>
    <x v="437"/>
    <s v="D'Arcy, Mark"/>
    <s v="Solutions"/>
    <s v="All"/>
    <s v="Y"/>
    <s v="Front Line"/>
    <s v="EMEA"/>
    <s v="EMEA"/>
    <n v="0.61699999999999999"/>
    <n v="3.8967379973253502E-2"/>
    <m/>
    <s v="10/5"/>
    <s v="L1"/>
    <x v="442"/>
    <s v="Arpit Rathod - Dellteam"/>
    <s v="Bethany Rana"/>
    <n v="7"/>
    <m/>
    <s v="ESG"/>
    <n v="13"/>
    <x v="1"/>
    <n v="10"/>
    <m/>
    <s v="08:00-18:00 (GMT+1)"/>
    <s v="Mon-Fri"/>
    <s v=""/>
    <s v="Multiple Languages"/>
    <s v="Paliwal, Chetan - Dell Team"/>
  </r>
  <r>
    <x v="443"/>
    <x v="438"/>
    <s v="D'Arcy, Mark"/>
    <s v="Solutions"/>
    <s v="All"/>
    <s v="Y"/>
    <s v="Front Line"/>
    <s v="EMEA"/>
    <s v="EMEA"/>
    <n v="0.61699999999999999"/>
    <n v="3.8967379973253502E-2"/>
    <m/>
    <s v="10/5"/>
    <s v="L1"/>
    <x v="443"/>
    <s v="Arpit Rathod - Dellteam"/>
    <s v="Bethany Rana"/>
    <n v="7"/>
    <m/>
    <s v="ESG"/>
    <n v="13"/>
    <x v="1"/>
    <n v="18"/>
    <m/>
    <s v="07:00-17:00 (GMT+0)"/>
    <s v="Mon-Fri"/>
    <s v=""/>
    <s v="Multiple Languages"/>
    <s v="Paliwal, Chetan - Dell Team"/>
  </r>
  <r>
    <x v="444"/>
    <x v="439"/>
    <s v="Brown, Dexter"/>
    <s v="GIST"/>
    <s v="GIST"/>
    <s v="Y"/>
    <s v="Combined"/>
    <s v="Global"/>
    <s v="Global"/>
    <n v="0.63300000000000001"/>
    <n v="3.0237580993520519E-2"/>
    <m/>
    <s v="12/7"/>
    <s v="L1"/>
    <x v="444"/>
    <s v="Jayant Chandekar - Dellteam"/>
    <s v="Marcy Jelinek"/>
    <n v="14"/>
    <m/>
    <s v="ESG"/>
    <n v="13"/>
    <x v="1"/>
    <n v="91.333333333333329"/>
    <m/>
    <s v="24*7"/>
    <s v="Sat- Fri"/>
    <s v=""/>
    <s v="Multiple Languages"/>
    <s v="Nandakumar, Shashidhar - Dell Team"/>
  </r>
  <r>
    <x v="445"/>
    <x v="440"/>
    <s v="Yap, Diane"/>
    <s v="Server"/>
    <s v="Server"/>
    <s v="Y"/>
    <s v="Front Line"/>
    <s v="APJ"/>
    <s v="South Asia"/>
    <n v="0.629"/>
    <n v="2.278539874447803E-2"/>
    <m/>
    <s v="9/5"/>
    <s v="L1"/>
    <x v="445"/>
    <s v="Vasudev Warik - Dellteam"/>
    <s v="StephenRaj  Kumar"/>
    <n v="4"/>
    <m/>
    <s v="ESG"/>
    <n v="13"/>
    <x v="1"/>
    <n v="5.333333333333333"/>
    <m/>
    <s v="24*7"/>
    <s v="Sat- Fri"/>
    <s v=""/>
    <s v="Bahasa Indonesia"/>
    <s v="Tejpal, Sanna - Dell Team"/>
  </r>
  <r>
    <x v="446"/>
    <x v="441"/>
    <s v="Kenneally, Niall"/>
    <s v="Storage"/>
    <s v="Storage"/>
    <s v="Y"/>
    <s v="Front Line"/>
    <s v="APJ"/>
    <s v="India"/>
    <n v="0.629"/>
    <n v="2.278539874447803E-2"/>
    <m/>
    <s v="12/5"/>
    <s v="L1"/>
    <x v="446"/>
    <s v="Abdul Latif Ansari - Dell Team"/>
    <s v="Juliano Alves Neres"/>
    <n v="8"/>
    <m/>
    <s v="ESG"/>
    <n v="13"/>
    <x v="1"/>
    <n v="24"/>
    <m/>
    <s v="24*7"/>
    <s v="Sat- Fri"/>
    <s v=""/>
    <s v="English"/>
    <s v="Thakur, Jyoti - Dell Team"/>
  </r>
  <r>
    <x v="447"/>
    <x v="442"/>
    <s v="D'Arcy, Mark"/>
    <s v="Server"/>
    <s v="Server"/>
    <s v="Y"/>
    <s v="Front Line"/>
    <s v="APJ"/>
    <s v="India"/>
    <n v="0.629"/>
    <n v="2.278539874447803E-2"/>
    <m/>
    <s v="12/5"/>
    <s v="L1"/>
    <x v="447"/>
    <s v="Arpit Rathod - Dellteam"/>
    <s v="Bethany Rana"/>
    <n v="8"/>
    <m/>
    <s v="ESG"/>
    <n v="13"/>
    <x v="1"/>
    <n v="67"/>
    <m/>
    <s v="24*7"/>
    <s v="Sat- Fri"/>
    <s v=""/>
    <s v="English"/>
    <s v="Thakur, Jyoti - Dell Team"/>
  </r>
  <r>
    <x v="448"/>
    <x v="443"/>
    <s v="D'Arcy, Mark"/>
    <s v="Networking"/>
    <s v="Networking"/>
    <s v="Y"/>
    <s v="Front Line"/>
    <s v="APJ"/>
    <s v="India"/>
    <n v="0.629"/>
    <n v="2.278539874447803E-2"/>
    <m/>
    <s v="12/5"/>
    <s v="L1"/>
    <x v="448"/>
    <s v="Arpit Rathod - Dellteam"/>
    <s v="Bethany Rana"/>
    <n v="8"/>
    <m/>
    <s v="ESG"/>
    <n v="13"/>
    <x v="1"/>
    <n v="11.333333333333334"/>
    <m/>
    <s v="24*7"/>
    <s v="Sat- Fri"/>
    <s v=""/>
    <s v="English"/>
    <s v="Thakur, Jyoti - Dell Team"/>
  </r>
  <r>
    <x v="449"/>
    <x v="444"/>
    <s v="Yap, Diane"/>
    <s v="Server"/>
    <s v="Server"/>
    <s v="Y"/>
    <s v="Front Line"/>
    <s v="APJ"/>
    <s v="Japan"/>
    <n v="0.629"/>
    <n v="1.5018773466833543E-2"/>
    <m/>
    <s v="12/5"/>
    <s v="L1"/>
    <x v="449"/>
    <s v="Vasudev Warik - Dellteam"/>
    <s v="StephenRaj  Kumar"/>
    <n v="8"/>
    <m/>
    <s v="ESG"/>
    <n v="13"/>
    <x v="1"/>
    <n v="55"/>
    <m/>
    <s v="24*7"/>
    <s v="Sat- Fri"/>
    <s v=""/>
    <s v="Japanese"/>
    <s v="Shankar Yadav, Shiv - Dell Team"/>
  </r>
  <r>
    <x v="450"/>
    <x v="445"/>
    <s v="Yap, Diane"/>
    <s v="Storage"/>
    <s v="Storage"/>
    <s v="Y"/>
    <s v="Front Line"/>
    <s v="APJ"/>
    <s v="Japan"/>
    <n v="0.629"/>
    <n v="2.278539874447803E-2"/>
    <m/>
    <s v="12/5"/>
    <s v="L1"/>
    <x v="450"/>
    <s v="Vasudev Warik - Dellteam"/>
    <s v="StephenRaj  Kumar"/>
    <n v="8"/>
    <m/>
    <s v="ESG"/>
    <n v="13"/>
    <x v="1"/>
    <n v="14"/>
    <m/>
    <s v="24*7"/>
    <s v="Sat- Fri"/>
    <s v=""/>
    <s v="Japanese"/>
    <s v="Shankar Yadav, Shiv - Dell Team"/>
  </r>
  <r>
    <x v="451"/>
    <x v="446"/>
    <s v="Yap, Diane"/>
    <s v="Server"/>
    <s v="Server"/>
    <s v="Y"/>
    <s v="Front Line"/>
    <s v="APJ"/>
    <s v="Japan"/>
    <n v="0.629"/>
    <n v="1.3856812933025403E-2"/>
    <m/>
    <s v="12/5"/>
    <s v="L1"/>
    <x v="451"/>
    <s v="Vasudev Warik - Dellteam"/>
    <s v="StephenRaj  Kumar"/>
    <n v="8"/>
    <m/>
    <s v="ESG"/>
    <n v="13"/>
    <x v="1"/>
    <n v="35"/>
    <m/>
    <s v="24*7"/>
    <s v="Sat- Fri"/>
    <s v=""/>
    <s v="Japanese"/>
    <s v="Shankar Yadav, Shiv - Dell Team"/>
  </r>
  <r>
    <x v="452"/>
    <x v="447"/>
    <s v="Yap, Diane"/>
    <s v="Networking"/>
    <s v="Networking"/>
    <s v="Y"/>
    <s v="Front Line"/>
    <s v="APJ"/>
    <s v="Japan"/>
    <n v="0.629"/>
    <n v="2.278539874447803E-2"/>
    <m/>
    <s v="12/5"/>
    <s v="L1"/>
    <x v="452"/>
    <s v="Vasudev Warik - Dellteam"/>
    <s v="StephenRaj  Kumar"/>
    <n v="8"/>
    <m/>
    <s v="ESG"/>
    <n v="13"/>
    <x v="1"/>
    <n v="8"/>
    <m/>
    <s v="24*7"/>
    <s v="Sat- Fri"/>
    <s v=""/>
    <s v="Japanese"/>
    <s v="Shankar Yadav, Shiv - Dell Team"/>
  </r>
  <r>
    <x v="453"/>
    <x v="448"/>
    <s v="Yap, Diane"/>
    <s v="Storage"/>
    <s v="Storage"/>
    <s v="Y"/>
    <s v="Front Line"/>
    <s v="APJ"/>
    <s v="Korea"/>
    <n v="0.629"/>
    <n v="2.278539874447803E-2"/>
    <m/>
    <s v="12/5"/>
    <s v="L1"/>
    <x v="453"/>
    <s v="Vasudev Warik - Dellteam"/>
    <s v="StephenRaj  Kumar"/>
    <n v="8"/>
    <m/>
    <s v="ESG"/>
    <n v="13"/>
    <x v="1"/>
    <n v="9"/>
    <m/>
    <s v="24*7"/>
    <s v="Sat- Fri"/>
    <s v=""/>
    <s v="Korean"/>
    <s v="Thakur, Jyoti - Dell Team"/>
  </r>
  <r>
    <x v="454"/>
    <x v="449"/>
    <s v="Yap, Diane"/>
    <s v="Server"/>
    <s v="Server"/>
    <s v="Y"/>
    <s v="Front Line"/>
    <s v="APJ"/>
    <s v="Korea"/>
    <n v="0.629"/>
    <n v="2.278539874447803E-2"/>
    <m/>
    <n v="0"/>
    <s v="L1"/>
    <x v="454"/>
    <s v="Vasudev Warik - Dellteam"/>
    <s v="StephenRaj  Kumar"/>
    <n v="3"/>
    <m/>
    <s v="ESG"/>
    <n v="13"/>
    <x v="1"/>
    <n v="19"/>
    <m/>
    <m/>
    <m/>
    <m/>
    <s v="Korean"/>
    <s v="Thakur, Jyoti - Dell Team"/>
  </r>
  <r>
    <x v="455"/>
    <x v="450"/>
    <s v="Creixell, Gustavo"/>
    <s v="Server"/>
    <s v="Server"/>
    <s v="Y"/>
    <s v="Front Line"/>
    <s v="LATAM"/>
    <s v="ROLA"/>
    <n v="0.64100000000000001"/>
    <n v="1.5604681404421327E-2"/>
    <m/>
    <s v="16/7"/>
    <s v="L1"/>
    <x v="455"/>
    <s v="Rahul Rohilkar - Dellteam"/>
    <s v="Juliano Alves Neres"/>
    <n v="16"/>
    <m/>
    <s v="ESG"/>
    <n v="13"/>
    <x v="1"/>
    <n v="22"/>
    <m/>
    <s v="07:00-23:00 (Bogota timezone)"/>
    <s v="Sat-Fri"/>
    <s v=""/>
    <s v="English/Spanish"/>
    <s v="Walunj, Vinod - Dell Team"/>
  </r>
  <r>
    <x v="456"/>
    <x v="451"/>
    <s v="D'Arcy, Mark"/>
    <s v="Server"/>
    <s v="Server"/>
    <s v="Y"/>
    <s v="Front Line"/>
    <s v="EMEA"/>
    <s v="UKI"/>
    <n v="0.61699999999999999"/>
    <n v="3.5714285714285712E-2"/>
    <m/>
    <s v="11/5"/>
    <s v="L1"/>
    <x v="456"/>
    <s v="Arpit Rathod - Dellteam"/>
    <s v="Bethany Rana"/>
    <n v="8"/>
    <m/>
    <s v="ESG"/>
    <n v="13"/>
    <x v="1"/>
    <n v="12"/>
    <m/>
    <s v="07:00-16:30 (GMT+0)"/>
    <s v="Mon-Fri"/>
    <s v=""/>
    <s v="Nordics"/>
    <s v="Arya, Ramesh - Dell Team"/>
  </r>
  <r>
    <x v="457"/>
    <x v="452"/>
    <s v="D'Arcy, Mark"/>
    <s v="Server"/>
    <s v="Server"/>
    <s v="Y"/>
    <s v="Front Line"/>
    <s v="NAMER"/>
    <s v="United States"/>
    <n v="0.64800000000000002"/>
    <n v="8.771929824561403E-3"/>
    <m/>
    <s v="12/5"/>
    <s v="L1"/>
    <x v="457"/>
    <s v="Arpit Rathod - Dellteam"/>
    <s v="Bethany Rana"/>
    <n v="8"/>
    <m/>
    <s v="ESG"/>
    <n v="13"/>
    <x v="1"/>
    <n v="28"/>
    <m/>
    <s v="24*7"/>
    <s v="Sat- Fri"/>
    <s v=""/>
    <s v="English"/>
    <s v="Nandakumar, Shashidhar - Dell Team"/>
  </r>
  <r>
    <x v="458"/>
    <x v="453"/>
    <s v="Creixell, Gustavo"/>
    <s v="Enterprise"/>
    <s v="Enterprise"/>
    <s v="Y"/>
    <s v="Front Line"/>
    <s v="LATAM"/>
    <s v="ROLA"/>
    <n v="0.64100000000000001"/>
    <n v="1.5604681404421327E-2"/>
    <m/>
    <s v="12/5"/>
    <s v="L1"/>
    <x v="458"/>
    <s v="Rahul Rohilkar - Dellteam"/>
    <s v="Juliano Alves Neres"/>
    <n v="8"/>
    <m/>
    <s v="ESG"/>
    <n v="13"/>
    <x v="1"/>
    <n v="5"/>
    <m/>
    <s v="23:00-07:00 (Bogota timezone)"/>
    <s v="Sat-Fri"/>
    <s v=""/>
    <s v="English/Spanish"/>
    <s v="Bansode, Mahendra - Dell Team"/>
  </r>
  <r>
    <x v="459"/>
    <x v="454"/>
    <s v="Creixell, Gustavo"/>
    <s v="Networking"/>
    <s v="Networking"/>
    <s v="Y"/>
    <s v="Front Line"/>
    <s v="LATAM"/>
    <s v="ROLA"/>
    <n v="0.64100000000000001"/>
    <n v="1.5604681404421327E-2"/>
    <m/>
    <s v="10/6"/>
    <s v="L1"/>
    <x v="459"/>
    <s v="Rahul Rohilkar - Dellteam"/>
    <s v="Juliano Alves Neres"/>
    <n v="8"/>
    <m/>
    <s v="ESG"/>
    <n v="13"/>
    <x v="1"/>
    <n v="8"/>
    <m/>
    <s v="07:00-23:00 (Bogota timezone)"/>
    <s v="Sat-Fri"/>
    <s v=""/>
    <s v="Spanish"/>
    <s v="Walunj, Vinod - Dell Team"/>
  </r>
  <r>
    <x v="460"/>
    <x v="455"/>
    <s v="D'Arcy, Mark"/>
    <s v="Networking"/>
    <s v="Networking"/>
    <s v="Y"/>
    <s v="Front Line"/>
    <s v="EMEA"/>
    <s v="SER"/>
    <n v="0.61699999999999999"/>
    <n v="3.8967379973253502E-2"/>
    <m/>
    <s v="10/5"/>
    <s v="L1"/>
    <x v="460"/>
    <s v="Arpit Rathod - Dellteam"/>
    <s v="Bethany Rana"/>
    <n v="7"/>
    <m/>
    <s v="ESG"/>
    <n v="13"/>
    <x v="1"/>
    <n v="4"/>
    <m/>
    <s v="08:00-17:30 (GMT+0)"/>
    <s v="Mon-Fri"/>
    <s v=""/>
    <s v="Multiple Languages"/>
    <s v="Arya, Ramesh - Dell Team"/>
  </r>
  <r>
    <x v="461"/>
    <x v="456"/>
    <s v="Creixell, Gustavo"/>
    <s v="Enterprise"/>
    <s v="Enterprise"/>
    <s v="Y"/>
    <s v="Front Line"/>
    <s v="LATAM"/>
    <s v="ROLA"/>
    <n v="0.64100000000000001"/>
    <n v="1.5604681404421327E-2"/>
    <m/>
    <s v="12/5"/>
    <s v="L1"/>
    <x v="461"/>
    <s v="Rahul Rohilkar - Dellteam"/>
    <s v="Juliano Alves Neres"/>
    <n v="8"/>
    <m/>
    <s v="ESG"/>
    <n v="13"/>
    <x v="1"/>
    <n v="7"/>
    <m/>
    <s v="08:00-18:00 (Bogota timezone)"/>
    <s v="Mon-Fri"/>
    <s v=""/>
    <s v="Spanish"/>
    <s v="Walunj, Vinod - Dell Team"/>
  </r>
  <r>
    <x v="462"/>
    <x v="457"/>
    <s v="Yap, Diane"/>
    <s v="Server"/>
    <s v="Server"/>
    <s v="Y"/>
    <s v="Front Line"/>
    <s v="APJ"/>
    <s v="South Asia"/>
    <n v="0.629"/>
    <n v="2.278539874447803E-2"/>
    <m/>
    <s v="12/5"/>
    <s v="L1"/>
    <x v="462"/>
    <s v="Vasudev Warik - Dellteam"/>
    <s v="StephenRaj  Kumar"/>
    <n v="8"/>
    <m/>
    <s v="ESG"/>
    <n v="13"/>
    <x v="1"/>
    <n v="17"/>
    <m/>
    <s v="24*7"/>
    <s v="Sat- Fri"/>
    <s v=""/>
    <s v="Thai"/>
    <s v="Tejpal, Sanna - Dell Team"/>
  </r>
  <r>
    <x v="463"/>
    <x v="458"/>
    <s v="Yap, Diane"/>
    <s v="Server"/>
    <s v="Server"/>
    <s v="Y"/>
    <s v="Front Line"/>
    <s v="APJ"/>
    <s v="South Asia"/>
    <n v="0.629"/>
    <n v="2.278539874447803E-2"/>
    <m/>
    <s v="12/5"/>
    <s v="L1"/>
    <x v="463"/>
    <s v="Vasudev Warik - Dellteam"/>
    <s v="StephenRaj  Kumar"/>
    <n v="8"/>
    <m/>
    <s v="ESG"/>
    <n v="13"/>
    <x v="1"/>
    <n v="12"/>
    <m/>
    <s v="24*7"/>
    <s v="Sat- Fri"/>
    <s v=""/>
    <s v="Vietnamese"/>
    <s v="Tejpal, Sanna - Dell Team"/>
  </r>
  <r>
    <x v="464"/>
    <x v="459"/>
    <s v="Yap, Diane"/>
    <s v="UDS"/>
    <s v="PowerScale"/>
    <s v="Y"/>
    <s v="Front Line"/>
    <s v="APJ"/>
    <s v="China"/>
    <n v="0.629"/>
    <n v="1.0676156583629894E-2"/>
    <m/>
    <s v="9/7"/>
    <s v="L1"/>
    <x v="464"/>
    <s v="Vasudev Warik - Dellteam"/>
    <s v="StephenRaj  Kumar"/>
    <n v="9"/>
    <m/>
    <s v="HES"/>
    <n v="13"/>
    <x v="1"/>
    <n v="18"/>
    <m/>
    <s v="06:00-18:00 (GMT+8)"/>
    <s v="Sat- Fri"/>
    <s v=""/>
    <s v="Mandarin"/>
    <s v="Wei Han, Ying - Dell Team"/>
  </r>
  <r>
    <x v="465"/>
    <x v="460"/>
    <s v="Yap, Diane"/>
    <s v="UDS"/>
    <s v="PowerScale"/>
    <s v="Y"/>
    <s v="Front Line"/>
    <s v="APJ"/>
    <s v="Japan"/>
    <n v="0.629"/>
    <n v="2.278539874447803E-2"/>
    <m/>
    <s v="15/7, Oncall"/>
    <s v="L1"/>
    <x v="465"/>
    <s v="Vasudev Warik - Dellteam"/>
    <s v="StephenRaj  Kumar"/>
    <n v="14"/>
    <m/>
    <s v="HES"/>
    <n v="13"/>
    <x v="1"/>
    <n v="13"/>
    <m/>
    <s v="07:00-22:30 JST"/>
    <s v="Sat- Fri"/>
    <s v=""/>
    <s v="Japanese"/>
    <s v="Shankar Yadav, Shiv - Dell Team"/>
  </r>
  <r>
    <x v="466"/>
    <x v="461"/>
    <s v="Yap, Diane"/>
    <s v="DPD"/>
    <s v="Avamar"/>
    <s v="Y"/>
    <s v="Front Line"/>
    <s v="APJ"/>
    <s v="China"/>
    <n v="0.629"/>
    <n v="2.278539874447803E-2"/>
    <m/>
    <s v="11/5, 8/2"/>
    <s v="L1"/>
    <x v="466"/>
    <s v="Vasudev Warik - Dellteam"/>
    <s v="StephenRaj  Kumar"/>
    <n v="12"/>
    <m/>
    <s v="HES"/>
    <n v="13"/>
    <x v="1"/>
    <n v="13"/>
    <m/>
    <s v="06:00-18:00 (Daylight Saving Time) / 07:00-18:00 (Winter Time) (GMT+8)"/>
    <s v="Sat- Fri"/>
    <s v=""/>
    <s v="Mandarin"/>
    <s v="Wei Han, Ying - Dell Team"/>
  </r>
  <r>
    <x v="467"/>
    <x v="462"/>
    <s v="Yap, Diane"/>
    <s v="Primary"/>
    <s v="Connectivity"/>
    <s v="Y"/>
    <s v="Front Line"/>
    <s v="APJ"/>
    <s v="China"/>
    <n v="0.629"/>
    <n v="2.278539874447803E-2"/>
    <m/>
    <s v="11/5, 8/1"/>
    <s v="L1"/>
    <x v="467"/>
    <s v="Vasudev Warik - Dellteam"/>
    <s v="StephenRaj  Kumar"/>
    <n v="10"/>
    <m/>
    <s v="HES"/>
    <n v="13"/>
    <x v="1"/>
    <n v="7"/>
    <m/>
    <s v="Mon-Fri: 06:00-18:00 (Daylight Saving Time), Mon-Fri: 07:00-18:00 (Winter Time) (GMT+8)_x000a_Sat-Sun: 06:00-14:00 (Daylight Saving Time), 07:00-15:00 (Winter Time) (GMT+8)"/>
    <s v="Sat- Fri"/>
    <s v=""/>
    <s v="Mandarin"/>
    <s v="Wei Han, Ying - Dell Team"/>
  </r>
  <r>
    <x v="468"/>
    <x v="463"/>
    <s v="Yap, Diane"/>
    <s v="DPD"/>
    <s v="DataDomain"/>
    <s v="Y"/>
    <s v="Front Line"/>
    <s v="APJ"/>
    <s v="China"/>
    <n v="0.629"/>
    <n v="2.278539874447803E-2"/>
    <m/>
    <s v="9/5, 6/2"/>
    <s v="L1"/>
    <x v="468"/>
    <s v="Vasudev Warik - Dellteam"/>
    <s v="StephenRaj  Kumar"/>
    <n v="7"/>
    <m/>
    <s v="HES"/>
    <n v="13"/>
    <x v="1"/>
    <n v="11"/>
    <m/>
    <s v="Mon-Fri: 08:00-17:00 (GMT+8)_x000a_Sat-Sun: 08:00-14:00 (Daylight Saving Time), 09:00-15:00 (Winter Time) (GMT+8)"/>
    <s v="Sat- Fri"/>
    <s v=""/>
    <s v="Mandarin"/>
    <s v="Wei Han, Ying - Dell Team"/>
  </r>
  <r>
    <x v="469"/>
    <x v="464"/>
    <s v="Yap, Diane"/>
    <s v="GNCS"/>
    <s v="Hyperconverged"/>
    <s v="Y"/>
    <s v="Front Line"/>
    <s v="APJ"/>
    <s v="China"/>
    <n v="0.629"/>
    <n v="2.278539874447803E-2"/>
    <m/>
    <s v="24/7"/>
    <s v="L1"/>
    <x v="469"/>
    <s v="Vasudev Warik - Dellteam"/>
    <s v="StephenRaj  Kumar"/>
    <n v="24"/>
    <m/>
    <s v="HES"/>
    <n v="13"/>
    <x v="1"/>
    <n v="22"/>
    <m/>
    <s v="06:00-23:00 (GMT+8)"/>
    <s v="Sat- Fri"/>
    <s v=""/>
    <s v="Mandarin"/>
    <s v="Wei Han, Ying - Dell Team"/>
  </r>
  <r>
    <x v="470"/>
    <x v="465"/>
    <s v="Yap, Diane"/>
    <s v="GNCS"/>
    <s v="Hyperconverged"/>
    <s v="Y"/>
    <s v="Front Line"/>
    <s v="APJ"/>
    <s v="Japan"/>
    <n v="0.629"/>
    <n v="0.04"/>
    <m/>
    <s v="24/7"/>
    <s v="L1"/>
    <x v="470"/>
    <s v="Vasudev Warik - Dellteam"/>
    <s v="StephenRaj  Kumar"/>
    <n v="15"/>
    <m/>
    <s v="HES"/>
    <n v="13"/>
    <x v="1"/>
    <n v="16"/>
    <m/>
    <s v="24*7"/>
    <s v="Sat- Fri"/>
    <s v=""/>
    <s v="Japanese"/>
    <s v="Shankar Yadav, Shiv - Dell Team"/>
  </r>
  <r>
    <x v="471"/>
    <x v="466"/>
    <s v="Yap, Diane"/>
    <s v="Primary"/>
    <s v="Integrated_Software"/>
    <s v="Y"/>
    <s v="Front Line"/>
    <s v="APJ"/>
    <s v="China"/>
    <n v="0.629"/>
    <n v="2.278539874447803E-2"/>
    <m/>
    <s v="12/5, 8/2"/>
    <s v="L1"/>
    <x v="471"/>
    <s v="Vasudev Warik - Dellteam"/>
    <s v="StephenRaj  Kumar"/>
    <n v="6"/>
    <m/>
    <s v="HES"/>
    <n v="13"/>
    <x v="1"/>
    <n v="6"/>
    <m/>
    <s v="Mon-Fri: 06:00-18:00 (Daylight Saving Time); Mon-Fri: 07:00-18:00 (Winter Time) (GMT+8)_x000a_Sat-Sun: 06:00-14:00 (Daylight Saving Time), 07:00-15:00 (Winter Time) (GMT+8)"/>
    <s v="Sat- Fri"/>
    <s v=""/>
    <s v="Mandarin"/>
    <s v="Wei Han, Ying - Dell Team"/>
  </r>
  <r>
    <x v="472"/>
    <x v="467"/>
    <s v="Yap, Diane"/>
    <s v="DPD"/>
    <s v="Networker"/>
    <s v="Y"/>
    <s v="Front Line"/>
    <s v="APJ"/>
    <s v="China"/>
    <n v="0.629"/>
    <n v="2.278539874447803E-2"/>
    <m/>
    <s v="9/5, 6/2"/>
    <s v="L1"/>
    <x v="472"/>
    <s v="Vasudev Warik - Dellteam"/>
    <s v="StephenRaj  Kumar"/>
    <n v="7"/>
    <m/>
    <s v="HES"/>
    <n v="13"/>
    <x v="1"/>
    <n v="15"/>
    <m/>
    <s v="Mon-Sat: 06:00-18:00 (Daylight Saving Time); Mon-Sat: 07:00-18:00 (Winter Time) (GMT+8)_x000a_Sun: 06:00-14:00 (Daylight Saving Time), 07:00-15:00 (Winter Time) (GMT+8)"/>
    <s v="Sat- Fri"/>
    <s v=""/>
    <s v="Mandarin"/>
    <s v="Wei Han, Ying - Dell Team"/>
  </r>
  <r>
    <x v="473"/>
    <x v="468"/>
    <s v="Yap, Diane"/>
    <s v="Primary"/>
    <s v="Symmetrix"/>
    <s v="Y"/>
    <s v="Front Line"/>
    <s v="APJ"/>
    <s v="China"/>
    <n v="0.629"/>
    <n v="2.278539874447803E-2"/>
    <m/>
    <s v="11/7"/>
    <s v="L1"/>
    <x v="473"/>
    <s v="Vasudev Warik - Dellteam"/>
    <s v="StephenRaj  Kumar"/>
    <n v="12"/>
    <m/>
    <s v="HES"/>
    <n v="13"/>
    <x v="1"/>
    <n v="10"/>
    <m/>
    <s v="Case: 07:00-19:00, Avaya: 08:00-18:00 (GMT+8)"/>
    <s v="Sat- Fri"/>
    <s v=""/>
    <s v="Mandarin"/>
    <s v="Wei Han, Ying - Dell Team"/>
  </r>
  <r>
    <x v="474"/>
    <x v="469"/>
    <s v="Yap, Diane"/>
    <s v="Primary"/>
    <s v="Symmetrix"/>
    <s v="Y"/>
    <s v="Front Line"/>
    <s v="APJ"/>
    <s v="Japan"/>
    <n v="0.629"/>
    <n v="2.278539874447803E-2"/>
    <m/>
    <s v="8/7"/>
    <s v="L1"/>
    <x v="474"/>
    <s v="Vasudev Warik - Dellteam"/>
    <s v="StephenRaj  Kumar"/>
    <n v="9"/>
    <m/>
    <s v="HES"/>
    <n v="13"/>
    <x v="1"/>
    <n v="9"/>
    <m/>
    <s v=" 09:00–17:30 JST"/>
    <s v="Sat- Fri"/>
    <s v=""/>
    <s v="Japanese"/>
    <s v="Shankar Yadav, Shiv - Dell Team"/>
  </r>
  <r>
    <x v="475"/>
    <x v="470"/>
    <s v="Yap, Diane"/>
    <s v="Primary"/>
    <s v="SymmSW"/>
    <s v="Y"/>
    <s v="Front Line"/>
    <s v="APJ"/>
    <s v="China"/>
    <n v="0.629"/>
    <n v="2.278539874447803E-2"/>
    <m/>
    <s v="8/7"/>
    <s v="L1"/>
    <x v="475"/>
    <s v="Vasudev Warik - Dellteam"/>
    <s v="StephenRaj  Kumar"/>
    <n v="4"/>
    <m/>
    <s v="HES"/>
    <n v="13"/>
    <x v="1"/>
    <n v="2"/>
    <m/>
    <s v="Mon-Fri: 06:00-18:00 (Daylight Saving Time); Mon-Fri: 07:00-18:00 (Winter Time) (GMT+8)_x000a_Sat-Sun: 06:00-14:00 (Daylight Saving Time), 07:00-15:00 (Winter Time) (GMT+8)"/>
    <s v="Sat- Fri"/>
    <s v=""/>
    <s v="Mandarin"/>
    <s v="Wei Han, Ying - Dell Team"/>
  </r>
  <r>
    <x v="476"/>
    <x v="471"/>
    <s v="Yap, Diane"/>
    <s v="Midrange"/>
    <s v="Midrange"/>
    <s v="Y"/>
    <s v="Front Line"/>
    <s v="APJ"/>
    <s v="China"/>
    <n v="0.629"/>
    <n v="6.9767441860465115E-3"/>
    <m/>
    <s v="24/7"/>
    <s v="L1"/>
    <x v="476"/>
    <s v="Vasudev Warik - Dellteam"/>
    <s v="StephenRaj  Kumar"/>
    <n v="24"/>
    <m/>
    <s v="HES"/>
    <n v="13"/>
    <x v="1"/>
    <n v="22"/>
    <m/>
    <s v="07:00-23:00 (GMT+8)"/>
    <s v="Sat- Fri"/>
    <s v=""/>
    <s v="Mandarin"/>
    <s v="Wei Han, Ying - Dell Team"/>
  </r>
  <r>
    <x v="477"/>
    <x v="472"/>
    <s v="Yap, Diane"/>
    <s v="Midrange"/>
    <s v="Midrange"/>
    <s v="Y"/>
    <s v="Front Line"/>
    <s v="APJ"/>
    <s v="Japan"/>
    <n v="0.629"/>
    <n v="1.4851485148514853E-2"/>
    <m/>
    <s v="24/7"/>
    <s v="L1"/>
    <x v="477"/>
    <s v="Vasudev Warik - Dellteam"/>
    <s v="StephenRaj  Kumar"/>
    <n v="18"/>
    <m/>
    <s v="HES"/>
    <n v="13"/>
    <x v="1"/>
    <n v="17"/>
    <m/>
    <s v="24*7"/>
    <s v="Sat- Fri"/>
    <s v="APJ Xtremio IO is merged here"/>
    <s v="Japanese"/>
    <s v="Shankar Yadav, Shiv - Dell Team"/>
  </r>
  <r>
    <x v="478"/>
    <x v="473"/>
    <s v="Yap, Diane"/>
    <s v="Primary"/>
    <s v="Vplex"/>
    <s v="Y"/>
    <s v="Front Line"/>
    <s v="APJ"/>
    <s v="China"/>
    <n v="0.629"/>
    <n v="2.278539874447803E-2"/>
    <m/>
    <s v="11/5, 8/2"/>
    <s v="L1"/>
    <x v="478"/>
    <s v="Vasudev Warik - Dellteam"/>
    <s v="StephenRaj  Kumar"/>
    <n v="6"/>
    <m/>
    <s v="HES"/>
    <n v="13"/>
    <x v="1"/>
    <n v="5"/>
    <m/>
    <s v="Mon-Fri: 06:00-18:00 (Daylight Saving Time); Mon-Fri: 07:00-18:00 (Winter Time) (GMT+8)_x000a_Sat-Sun: 06:00-14:00 (Daylight Saving Time), 07:00-15:00 (Winter Time) (GMT+8)"/>
    <s v="Sat- Fri"/>
    <s v=""/>
    <s v="Mandarin"/>
    <s v="Wei Han, Ying - Dell Team"/>
  </r>
  <r>
    <x v="479"/>
    <x v="474"/>
    <s v="Kenneally, Niall"/>
    <s v="Midrange"/>
    <s v="Midrange"/>
    <s v="Y"/>
    <s v="Backline"/>
    <s v="Global"/>
    <s v="Global"/>
    <n v="0.63300000000000001"/>
    <n v="1.8670169726832081E-2"/>
    <m/>
    <s v="24/7"/>
    <s v="Non-L1"/>
    <x v="479"/>
    <s v="Abdul Latif Ansari - Dell Team"/>
    <s v="Juliano Alves Neres"/>
    <n v="24"/>
    <m/>
    <s v="HES"/>
    <n v="13"/>
    <x v="1"/>
    <n v="55"/>
    <s v="GLOBAL HES MIDRANGE Backline"/>
    <m/>
    <s v="Sat- Fri"/>
    <m/>
    <s v="English"/>
    <s v="Arya, Ramesh - Dell Team"/>
  </r>
  <r>
    <x v="480"/>
    <x v="475"/>
    <s v="Creixell, Gustavo"/>
    <s v="GNCS"/>
    <s v="Hyperconverged"/>
    <s v="Y"/>
    <s v="Front Line"/>
    <s v="LATAM"/>
    <s v="Brazil"/>
    <n v="0.57099999999999995"/>
    <n v="1.5604681404421327E-2"/>
    <m/>
    <n v="0"/>
    <s v="L1"/>
    <x v="480"/>
    <s v="Rahul Rohilkar - Dellteam"/>
    <s v="Juliano Alves Neres"/>
    <n v="14"/>
    <m/>
    <s v="HES"/>
    <n v="13"/>
    <x v="1"/>
    <n v="14"/>
    <m/>
    <s v="05:00-20:30 CST"/>
    <s v="Sat-Fri"/>
    <s v=""/>
    <s v="Portuguese"/>
    <s v="Walunj, Vinod - Dell Team"/>
  </r>
  <r>
    <x v="481"/>
    <x v="476"/>
    <s v="Yap, Diane"/>
    <s v="CST"/>
    <s v="High End Storage"/>
    <s v="N"/>
    <s v="Not Planned"/>
    <s v="APJ"/>
    <s v="China"/>
    <n v="0.63900000000000001"/>
    <m/>
    <m/>
    <s v="12/7"/>
    <m/>
    <x v="481"/>
    <s v="Vasudev Warik - Dellteam"/>
    <s v="StephenRaj  Kumar"/>
    <n v="14"/>
    <m/>
    <s v="HES"/>
    <n v="13"/>
    <x v="1"/>
    <n v="22"/>
    <m/>
    <e v="#N/A"/>
    <e v="#N/A"/>
    <m/>
    <s v="Mandarin"/>
    <s v="Prasad, Ranjan - Dell Team"/>
  </r>
  <r>
    <x v="482"/>
    <x v="477"/>
    <s v="D'Arcy, Mark"/>
    <s v="Server"/>
    <s v="Server"/>
    <s v="Y"/>
    <s v="Backline"/>
    <s v="Global"/>
    <s v="Global"/>
    <n v="0.63300000000000001"/>
    <n v="4.3827611395178961E-3"/>
    <m/>
    <s v="12/7"/>
    <s v="Non-L1"/>
    <x v="482"/>
    <s v="Arpit Rathod - Dellteam"/>
    <s v="Bethany Rana"/>
    <n v="14"/>
    <m/>
    <s v="HES"/>
    <n v="13"/>
    <x v="1"/>
    <n v="100"/>
    <s v="Need to Check with BP"/>
    <s v="-"/>
    <s v="-"/>
    <m/>
    <s v="English"/>
    <s v="Mahajan, Rohit - Dell Team"/>
  </r>
  <r>
    <x v="483"/>
    <x v="478"/>
    <s v="Kenneally, Niall"/>
    <s v="Midrange"/>
    <s v="Midrange"/>
    <s v="Y"/>
    <s v="Backline"/>
    <s v="Global"/>
    <s v="Global"/>
    <n v="0.63300000000000001"/>
    <n v="6.7873303167420825E-3"/>
    <m/>
    <s v="24/7"/>
    <s v="Non-L1"/>
    <x v="483"/>
    <s v="Abdul Latif Ansari - Dell Team"/>
    <s v="Juliano Alves Neres"/>
    <n v="24"/>
    <m/>
    <s v="HES"/>
    <n v="13"/>
    <x v="1"/>
    <n v="104"/>
    <m/>
    <s v="24*7"/>
    <s v="Sat- Fri"/>
    <m/>
    <s v="English"/>
    <s v="Tejpal, Sanna - Dell Team"/>
  </r>
  <r>
    <x v="484"/>
    <x v="479"/>
    <s v="D'Arcy, Mark"/>
    <s v="Networking"/>
    <s v="Networking"/>
    <s v="Y"/>
    <s v="Backline"/>
    <s v="Global"/>
    <s v="Global"/>
    <n v="0.63300000000000001"/>
    <n v="9.8253275109170309E-3"/>
    <m/>
    <s v="12/7"/>
    <s v="Non-L1"/>
    <x v="484"/>
    <s v="Arpit Rathod - Dellteam"/>
    <s v="Bethany Rana"/>
    <n v="14"/>
    <m/>
    <s v="HES"/>
    <n v="13"/>
    <x v="1"/>
    <n v="63"/>
    <s v="Need to Check with BP"/>
    <s v="-"/>
    <s v="-"/>
    <m/>
    <s v="English"/>
    <s v="Thakur, Jyoti - Dell Team"/>
  </r>
  <r>
    <x v="485"/>
    <x v="480"/>
    <s v="Brown, Dexter"/>
    <s v="RPS"/>
    <s v="RPS"/>
    <s v="Y"/>
    <s v="Backline"/>
    <s v="Global"/>
    <s v="Global"/>
    <n v="0.63300000000000001"/>
    <n v="1.016949152542373E-2"/>
    <m/>
    <s v="12/7"/>
    <s v="L1"/>
    <x v="485"/>
    <s v="Jayant Chandekar - Dellteam"/>
    <s v="Marcy Jelinek"/>
    <n v="14"/>
    <m/>
    <s v="HES"/>
    <n v="13"/>
    <x v="1"/>
    <n v="217.33333333333334"/>
    <m/>
    <m/>
    <m/>
    <s v=""/>
    <s v="Multiple Languages"/>
    <s v="Prasad, Ranjan - Dell Team"/>
  </r>
  <r>
    <x v="486"/>
    <x v="481"/>
    <s v="D'Arcy, Mark"/>
    <s v="GNCS"/>
    <s v="Hyperconverged"/>
    <s v="Y"/>
    <s v="Front Line"/>
    <s v="Global"/>
    <s v="Global"/>
    <n v="0.63300000000000001"/>
    <n v="9.279307145066501E-3"/>
    <m/>
    <m/>
    <s v="L1"/>
    <x v="486"/>
    <s v="Arpit Rathod - Dellteam"/>
    <s v="Bethany Rana"/>
    <n v="24"/>
    <m/>
    <s v="HES"/>
    <n v="13"/>
    <x v="1"/>
    <n v="177"/>
    <m/>
    <m/>
    <m/>
    <s v=""/>
    <s v="English"/>
    <s v="Paliwal, Chetan - Dell Team"/>
  </r>
  <r>
    <x v="487"/>
    <x v="482"/>
    <s v="D'Arcy, Mark"/>
    <s v="GNCS"/>
    <s v="Hyperconverged"/>
    <s v="Y"/>
    <s v="Backline"/>
    <s v="Global"/>
    <s v="Global"/>
    <n v="0.63300000000000001"/>
    <n v="7.9365079365079361E-3"/>
    <m/>
    <m/>
    <s v="Non-L1"/>
    <x v="487"/>
    <s v="Arpit Rathod - Dellteam"/>
    <s v="Bethany Rana"/>
    <n v="24"/>
    <m/>
    <s v="HES"/>
    <n v="13"/>
    <x v="1"/>
    <n v="47.666666666666664"/>
    <m/>
    <m/>
    <m/>
    <m/>
    <s v="English"/>
    <s v="Mahajan, Rohit - Dell Team"/>
  </r>
  <r>
    <x v="488"/>
    <x v="483"/>
    <s v="Kenneally, Niall"/>
    <s v="Primary"/>
    <s v="Connectivity"/>
    <s v="Y"/>
    <s v="Front Line"/>
    <s v="Global"/>
    <s v="Global"/>
    <n v="0.63300000000000001"/>
    <n v="1.1472275334608031E-2"/>
    <m/>
    <s v="12/7"/>
    <s v="L1"/>
    <x v="488"/>
    <s v="Abdul Latif Ansari - Dell Team"/>
    <s v="Juliano Alves Neres"/>
    <n v="14"/>
    <m/>
    <s v="HES"/>
    <n v="13"/>
    <x v="1"/>
    <n v="37"/>
    <s v="Global Connectivity"/>
    <s v="07:00-18:00 CST"/>
    <s v="Sat-Fri"/>
    <s v=""/>
    <s v="Multiple Languages"/>
    <s v="Tejpal, Sanna - Dell Team"/>
  </r>
  <r>
    <x v="489"/>
    <x v="484"/>
    <s v="Kenneally, Niall"/>
    <s v="Primary"/>
    <s v="Symmetrix"/>
    <s v="Y"/>
    <s v="Front Line"/>
    <s v="Global"/>
    <s v="Global"/>
    <n v="0.63300000000000001"/>
    <n v="1.8670169726832081E-2"/>
    <m/>
    <s v="15/7"/>
    <s v="L1"/>
    <x v="489"/>
    <s v="Abdul Latif Ansari - Dell Team"/>
    <s v="Juliano Alves Neres"/>
    <n v="16"/>
    <m/>
    <s v="HES"/>
    <n v="13"/>
    <x v="1"/>
    <n v="85"/>
    <s v="Global Symmetrix"/>
    <m/>
    <s v="Sat-Fri"/>
    <s v=""/>
    <s v="Multiple Languages"/>
    <s v="Walunj, Vinod - Dell Team"/>
  </r>
  <r>
    <x v="490"/>
    <x v="485"/>
    <s v="Kenneally, Niall"/>
    <s v="Primary"/>
    <s v="SymmSW"/>
    <s v="Y"/>
    <s v="Front Line"/>
    <s v="Global"/>
    <s v="Global"/>
    <n v="0.63300000000000001"/>
    <n v="1.8670169726832081E-2"/>
    <m/>
    <s v="9/5"/>
    <s v="L1"/>
    <x v="490"/>
    <s v="Abdul Latif Ansari - Dell Team"/>
    <s v="Juliano Alves Neres"/>
    <n v="12"/>
    <m/>
    <s v="HES"/>
    <n v="13"/>
    <x v="1"/>
    <n v="26"/>
    <s v="Global Symmetrix SW"/>
    <m/>
    <s v="Sat-Fri"/>
    <s v=""/>
    <s v="Multiple Languages"/>
    <s v="Walunj, Vinod - Dell Team"/>
  </r>
  <r>
    <x v="491"/>
    <x v="486"/>
    <s v="Kenneally, Niall"/>
    <s v="Primary"/>
    <s v="Vplex"/>
    <s v="Y"/>
    <s v="Front Line"/>
    <s v="Global"/>
    <s v="Global"/>
    <n v="0.63300000000000001"/>
    <n v="7.4812967581047388E-3"/>
    <m/>
    <s v="8/7"/>
    <s v="L1"/>
    <x v="491"/>
    <s v="Abdul Latif Ansari - Dell Team"/>
    <s v="Juliano Alves Neres"/>
    <n v="11"/>
    <m/>
    <s v="HES"/>
    <n v="13"/>
    <x v="1"/>
    <n v="21"/>
    <s v="Global Vplex Backline"/>
    <m/>
    <s v="Sat-Fri"/>
    <s v=""/>
    <s v="Multiple Languages"/>
    <s v="Walunj, Vinod - Dell Team"/>
  </r>
  <r>
    <x v="492"/>
    <x v="487"/>
    <s v="Punch, Patrick"/>
    <s v="DPD"/>
    <s v="Avamar"/>
    <s v="Y"/>
    <s v="Backline"/>
    <s v="Global"/>
    <s v="Global"/>
    <n v="0.63300000000000001"/>
    <n v="1.8670169726832081E-2"/>
    <m/>
    <s v="24/7"/>
    <s v="Non-L1"/>
    <x v="492"/>
    <s v="Sarthak Shahir - Dellteam"/>
    <s v="Khim Sun Lau"/>
    <n v="24"/>
    <m/>
    <s v="HES"/>
    <n v="13"/>
    <x v="1"/>
    <n v="28"/>
    <m/>
    <s v="24*7"/>
    <s v="Sat- Fri"/>
    <m/>
    <s v="English"/>
    <s v="Bansode, Mahendra - Dell Team"/>
  </r>
  <r>
    <x v="493"/>
    <x v="488"/>
    <s v="Punch, Patrick"/>
    <s v="DPD"/>
    <s v="DataDomain"/>
    <s v="Y"/>
    <s v="Backline"/>
    <s v="Global"/>
    <s v="Global"/>
    <n v="0.63300000000000001"/>
    <n v="1.8670169726832081E-2"/>
    <m/>
    <s v="24/7"/>
    <s v="Non-L1"/>
    <x v="493"/>
    <s v="Sarthak Shahir - Dellteam"/>
    <s v="Khim Sun Lau"/>
    <n v="24"/>
    <m/>
    <s v="HES"/>
    <n v="13"/>
    <x v="1"/>
    <n v="43"/>
    <m/>
    <s v="24*7"/>
    <s v="Sat- Fri"/>
    <m/>
    <s v="English"/>
    <s v="Bansode, Mahendra - Dell Team"/>
  </r>
  <r>
    <x v="494"/>
    <x v="489"/>
    <s v="Punch, Patrick"/>
    <s v="DPD"/>
    <s v="DPA"/>
    <s v="Y"/>
    <s v="Front Line"/>
    <s v="Global"/>
    <s v="Global"/>
    <n v="0.63300000000000001"/>
    <n v="1.8670169726832081E-2"/>
    <m/>
    <s v="16/5, 9/2"/>
    <s v="L1"/>
    <x v="494"/>
    <s v="Sarthak Shahir - Dellteam"/>
    <s v="Khim Sun Lau"/>
    <n v="6"/>
    <m/>
    <s v="HES"/>
    <n v="13"/>
    <x v="1"/>
    <n v="3"/>
    <m/>
    <s v="24*7"/>
    <s v="Sat- Fri"/>
    <s v=""/>
    <s v="English"/>
    <s v="Thakur, Jyoti - Dell Team"/>
  </r>
  <r>
    <x v="495"/>
    <x v="490"/>
    <s v="Punch, Patrick"/>
    <s v="DPD"/>
    <s v="DPSolutions"/>
    <s v="Y"/>
    <s v="Combined"/>
    <s v="Global"/>
    <s v="Global"/>
    <n v="0.63300000000000001"/>
    <n v="1.8670169726832081E-2"/>
    <m/>
    <s v="24/7"/>
    <s v="Non-L1"/>
    <x v="495"/>
    <s v="Sarthak Shahir - Dellteam"/>
    <s v="Khim Sun Lau"/>
    <n v="20"/>
    <m/>
    <s v="HES"/>
    <n v="13"/>
    <x v="1"/>
    <n v="18"/>
    <m/>
    <e v="#N/A"/>
    <e v="#N/A"/>
    <m/>
    <s v="English"/>
    <s v="Bansode, Mahendra - Dell Team"/>
  </r>
  <r>
    <x v="496"/>
    <x v="491"/>
    <s v="Punch, Patrick"/>
    <s v="UDS"/>
    <s v="PowerScale"/>
    <s v="Y"/>
    <s v="Backline"/>
    <s v="Global"/>
    <s v="Global"/>
    <n v="0.63300000000000001"/>
    <n v="1.2562814070351759E-2"/>
    <m/>
    <s v="24/7"/>
    <s v="Non-L1"/>
    <x v="496"/>
    <s v="Sarthak Shahir - Dellteam"/>
    <s v="Khim Sun Lau"/>
    <n v="24"/>
    <m/>
    <s v="HES"/>
    <n v="13"/>
    <x v="1"/>
    <n v="84"/>
    <m/>
    <s v="24*7"/>
    <s v="Sat- Fri"/>
    <m/>
    <s v="English"/>
    <s v="Hake, Sadashiv - Dell Team"/>
  </r>
  <r>
    <x v="497"/>
    <x v="492"/>
    <s v="Punch, Patrick"/>
    <s v="DPD"/>
    <s v="Networker"/>
    <s v="Y"/>
    <s v="Backline"/>
    <s v="Global"/>
    <s v="Global"/>
    <n v="0.63300000000000001"/>
    <n v="1.8670169726832081E-2"/>
    <m/>
    <s v="24/7"/>
    <s v="Non-L1"/>
    <x v="497"/>
    <s v="Sarthak Shahir - Dellteam"/>
    <s v="Khim Sun Lau"/>
    <n v="2"/>
    <m/>
    <s v="HES"/>
    <n v="13"/>
    <x v="1"/>
    <n v="1"/>
    <m/>
    <s v="24*7"/>
    <s v="Sat- Fri"/>
    <m/>
    <s v="English"/>
    <s v="Bansode, Mahendra - Dell Team"/>
  </r>
  <r>
    <x v="498"/>
    <x v="493"/>
    <s v="Punch, Patrick"/>
    <s v="UDS"/>
    <s v="OBJ"/>
    <s v="Y"/>
    <s v="Combined"/>
    <s v="Global"/>
    <s v="Global"/>
    <n v="0.63300000000000001"/>
    <n v="9.9337748344370848E-3"/>
    <m/>
    <s v="24/7"/>
    <s v="L1"/>
    <x v="498"/>
    <s v="Sarthak Shahir - Dellteam"/>
    <s v="Khim Sun Lau"/>
    <n v="24"/>
    <m/>
    <s v="HES"/>
    <n v="13"/>
    <x v="1"/>
    <n v="75"/>
    <m/>
    <s v="24*7"/>
    <s v="Sat- Fri"/>
    <s v=""/>
    <s v="English"/>
    <s v="Hake, Sadashiv - Dell Team"/>
  </r>
  <r>
    <x v="499"/>
    <x v="494"/>
    <s v="Punch, Patrick"/>
    <s v="DPD"/>
    <s v="PowerProtect"/>
    <s v="Y"/>
    <s v="Combined"/>
    <s v="Global"/>
    <s v="Global"/>
    <n v="0.63300000000000001"/>
    <n v="1.8670169726832081E-2"/>
    <m/>
    <s v="24/7"/>
    <s v="L1"/>
    <x v="499"/>
    <s v="Sarthak Shahir - Dellteam"/>
    <s v="Khim Sun Lau"/>
    <n v="24"/>
    <m/>
    <s v="HES"/>
    <n v="13"/>
    <x v="1"/>
    <n v="114"/>
    <m/>
    <s v="24*7"/>
    <s v="Sat- Fri"/>
    <s v=""/>
    <s v="English"/>
    <s v="Arya, Ramesh - Dell Team"/>
  </r>
  <r>
    <x v="500"/>
    <x v="495"/>
    <s v="Punch, Patrick"/>
    <s v="DPD"/>
    <s v="RecoverPoint"/>
    <s v="Y"/>
    <s v="Combined"/>
    <s v="Global"/>
    <s v="Global"/>
    <n v="0.63300000000000001"/>
    <n v="1.8670169726832081E-2"/>
    <m/>
    <s v="24/7"/>
    <s v="L1"/>
    <x v="500"/>
    <s v="Sarthak Shahir - Dellteam"/>
    <s v="Khim Sun Lau"/>
    <n v="24"/>
    <m/>
    <s v="HES"/>
    <n v="13"/>
    <x v="1"/>
    <n v="23"/>
    <m/>
    <s v="24*7"/>
    <s v="Sat- Fri"/>
    <s v=""/>
    <s v="English"/>
    <s v="Bansode, Mahendra - Dell Team"/>
  </r>
  <r>
    <x v="501"/>
    <x v="496"/>
    <s v="Kenneally, Niall"/>
    <s v="Primary"/>
    <s v="Connectivity"/>
    <s v="Y"/>
    <s v="Backline"/>
    <s v="Global"/>
    <s v="Global"/>
    <n v="0.63300000000000001"/>
    <n v="1.8670169726832081E-2"/>
    <m/>
    <s v="24/7"/>
    <s v="Non-L1"/>
    <x v="501"/>
    <s v="Abdul Latif Ansari - Dell Team"/>
    <s v="Juliano Alves Neres"/>
    <n v="24"/>
    <m/>
    <s v="HES"/>
    <n v="13"/>
    <x v="1"/>
    <n v="22"/>
    <m/>
    <s v="24*7"/>
    <s v="Sat- Fri"/>
    <m/>
    <s v="English"/>
    <s v="Tejpal, Sanna - Dell Team"/>
  </r>
  <r>
    <x v="502"/>
    <x v="497"/>
    <s v="Kenneally, Niall"/>
    <s v="Primary"/>
    <s v="DLM"/>
    <s v="Y"/>
    <s v="Backline"/>
    <s v="Global"/>
    <s v="Global"/>
    <n v="0.63300000000000001"/>
    <n v="1.8670169726832081E-2"/>
    <m/>
    <s v="24/7"/>
    <s v="L1"/>
    <x v="502"/>
    <s v="Abdul Latif Ansari - Dell Team"/>
    <s v="Juliano Alves Neres"/>
    <n v="24"/>
    <m/>
    <s v="HES"/>
    <n v="13"/>
    <x v="1"/>
    <n v="16"/>
    <m/>
    <s v="24*7"/>
    <s v="Sat- Fri"/>
    <s v=""/>
    <s v="English"/>
    <s v="Mahajan, Rohit - Dell Team"/>
  </r>
  <r>
    <x v="503"/>
    <x v="498"/>
    <s v="Kenneally, Niall"/>
    <s v="Primary"/>
    <s v="Integrated_Software"/>
    <s v="Y"/>
    <s v="Not Planned"/>
    <s v="Global"/>
    <s v="United States"/>
    <n v="0.63300000000000001"/>
    <n v="1.8670169726832081E-2"/>
    <m/>
    <s v="8/5"/>
    <s v="L2"/>
    <x v="503"/>
    <s v="Abdul Latif Ansari - Dell Team"/>
    <s v="Juliano Alves Neres"/>
    <n v="4"/>
    <m/>
    <s v="HES"/>
    <n v="13"/>
    <x v="1"/>
    <n v="1"/>
    <m/>
    <s v="24*7"/>
    <s v="Sat- Fri"/>
    <m/>
    <s v="English"/>
    <s v="Walunj, Vinod - Dell Team"/>
  </r>
  <r>
    <x v="504"/>
    <x v="499"/>
    <s v="Kenneally, Niall"/>
    <s v="Primary"/>
    <s v="Mainframe"/>
    <s v="Y"/>
    <s v="Backline"/>
    <s v="Global"/>
    <s v="Global"/>
    <n v="0.63300000000000001"/>
    <n v="1.8670169726832081E-2"/>
    <m/>
    <s v="16/5, 9/2"/>
    <s v="Non-L1"/>
    <x v="504"/>
    <s v="Abdul Latif Ansari - Dell Team"/>
    <s v="Juliano Alves Neres"/>
    <n v="14"/>
    <m/>
    <s v="HES"/>
    <n v="13"/>
    <x v="1"/>
    <n v="14"/>
    <m/>
    <s v="24*7"/>
    <s v="Sat- Fri"/>
    <m/>
    <s v="English"/>
    <s v="Walunj, Vinod - Dell Team"/>
  </r>
  <r>
    <x v="505"/>
    <x v="500"/>
    <s v="Kenneally, Niall"/>
    <s v="Primary"/>
    <s v="Symmetrix"/>
    <s v="Y"/>
    <s v="Backline"/>
    <s v="Global"/>
    <s v="Global"/>
    <n v="0.63300000000000001"/>
    <n v="8.6956521739130436E-3"/>
    <m/>
    <s v="24/7"/>
    <s v="Non-L1"/>
    <x v="505"/>
    <s v="Abdul Latif Ansari - Dell Team"/>
    <s v="Juliano Alves Neres"/>
    <n v="24"/>
    <m/>
    <s v="HES"/>
    <n v="13"/>
    <x v="1"/>
    <n v="85"/>
    <m/>
    <s v="24*7"/>
    <s v="Sat- Fri"/>
    <m/>
    <s v="English"/>
    <s v="Walunj, Vinod - Dell Team"/>
  </r>
  <r>
    <x v="506"/>
    <x v="501"/>
    <s v="Kenneally, Niall"/>
    <s v="Primary"/>
    <s v="SymmSW"/>
    <s v="Y"/>
    <s v="Backline"/>
    <s v="Global"/>
    <s v="Global"/>
    <n v="0.63300000000000001"/>
    <n v="1.8670169726832081E-2"/>
    <m/>
    <s v="8/5"/>
    <s v="Non-L1"/>
    <x v="506"/>
    <s v="Abdul Latif Ansari - Dell Team"/>
    <s v="Juliano Alves Neres"/>
    <n v="4"/>
    <m/>
    <s v="HES"/>
    <n v="13"/>
    <x v="1"/>
    <n v="4"/>
    <m/>
    <s v="24*7"/>
    <s v="Sat- Fri"/>
    <m/>
    <s v="English"/>
    <s v="Walunj, Vinod - Dell Team"/>
  </r>
  <r>
    <x v="507"/>
    <x v="502"/>
    <s v="Kenneally, Niall"/>
    <s v="Primary"/>
    <s v="Vplex"/>
    <s v="Y"/>
    <s v="Backline"/>
    <s v="Global"/>
    <s v="Global"/>
    <n v="0.63300000000000001"/>
    <n v="1.8670169726832081E-2"/>
    <m/>
    <s v="11/7"/>
    <s v="Non-L1"/>
    <x v="507"/>
    <s v="Abdul Latif Ansari - Dell Team"/>
    <s v="Juliano Alves Neres"/>
    <n v="12"/>
    <m/>
    <s v="HES"/>
    <n v="13"/>
    <x v="1"/>
    <n v="10"/>
    <m/>
    <s v="24*7"/>
    <s v="Sat- Fri"/>
    <m/>
    <s v="English"/>
    <s v="Walunj, Vinod - Dell Team"/>
  </r>
  <r>
    <x v="508"/>
    <x v="503"/>
    <s v="Punch, Patrick"/>
    <s v="DPD"/>
    <s v="PowerProtect Cyber"/>
    <s v="Y"/>
    <s v="Combined"/>
    <s v="Global"/>
    <s v="Global"/>
    <n v="0.63300000000000001"/>
    <n v="1.0563380281690141E-2"/>
    <m/>
    <s v="12/7"/>
    <s v="L1"/>
    <x v="508"/>
    <s v="Sarthak Shahir - Dellteam"/>
    <s v="Khim Sun Lau"/>
    <n v="14"/>
    <m/>
    <s v="HES"/>
    <n v="13"/>
    <x v="1"/>
    <n v="27"/>
    <m/>
    <s v="24*7"/>
    <s v="Sat- Fri"/>
    <s v=""/>
    <s v="Multiple Languages"/>
    <s v="Arya, Ramesh - Dell Team"/>
  </r>
  <r>
    <x v="509"/>
    <x v="504"/>
    <s v="D'Arcy, Mark"/>
    <s v="GNCS"/>
    <s v="Global Solutions"/>
    <s v="Y"/>
    <s v="Backline"/>
    <s v="Global"/>
    <s v="Global"/>
    <n v="0.63300000000000001"/>
    <n v="1.8670169726832081E-2"/>
    <m/>
    <s v="24/7"/>
    <s v="Non-L1"/>
    <x v="509"/>
    <s v="Arpit Rathod - Dellteam"/>
    <s v="Bethany Rana"/>
    <n v="24"/>
    <m/>
    <s v="HES"/>
    <n v="13"/>
    <x v="1"/>
    <n v="94"/>
    <s v="Global Solutions HCI DE"/>
    <s v="24*7"/>
    <s v="Sat- Fri"/>
    <m/>
    <s v="English"/>
    <s v="Paliwal, Chetan - Dell Team"/>
  </r>
  <r>
    <x v="510"/>
    <x v="505"/>
    <s v="D'Arcy, Mark"/>
    <s v="GNCS"/>
    <s v="Global Solutions"/>
    <s v="Y"/>
    <s v="Backline"/>
    <s v="Global"/>
    <s v="Global"/>
    <n v="0.63300000000000001"/>
    <n v="1.8670169726832081E-2"/>
    <m/>
    <s v="24/7"/>
    <s v="Non-L1"/>
    <x v="510"/>
    <s v="Arpit Rathod - Dellteam"/>
    <s v="Bethany Rana"/>
    <n v="24"/>
    <m/>
    <s v="HES"/>
    <n v="13"/>
    <x v="1"/>
    <n v="75"/>
    <s v="Global Solutions MS DE"/>
    <s v="24*7"/>
    <s v="Sat- Fri"/>
    <m/>
    <s v="English"/>
    <s v="Paliwal, Chetan - Dell Team"/>
  </r>
  <r>
    <x v="511"/>
    <x v="506"/>
    <s v="Kenneally, Niall"/>
    <s v="Midrange"/>
    <s v="Midrange"/>
    <s v="Y"/>
    <s v="Front Line"/>
    <s v="Global"/>
    <s v="Global"/>
    <n v="0.63300000000000001"/>
    <n v="1.8670169726832081E-2"/>
    <m/>
    <s v="12/7"/>
    <s v="L1"/>
    <x v="511"/>
    <s v="Abdul Latif Ansari - Dell Team"/>
    <s v="Juliano Alves Neres"/>
    <n v="14"/>
    <m/>
    <s v="HES"/>
    <n v="13"/>
    <x v="1"/>
    <n v="92"/>
    <s v="Global HES Midrange FL"/>
    <m/>
    <s v="Sat- Fri"/>
    <s v=""/>
    <s v="Multiple Languages"/>
    <s v="Dutt, Jitendra - Dell Team"/>
  </r>
  <r>
    <x v="512"/>
    <x v="507"/>
    <s v="Kenneally, Niall"/>
    <s v="Primary"/>
    <s v="Integrated_Software"/>
    <s v="Y"/>
    <s v="Front Line"/>
    <s v="Global"/>
    <s v="Global"/>
    <n v="0.63300000000000001"/>
    <n v="9.9833610648918467E-3"/>
    <m/>
    <s v="12/5, 8/2"/>
    <s v="L1"/>
    <x v="512"/>
    <s v="Abdul Latif Ansari - Dell Team"/>
    <s v="Juliano Alves Neres"/>
    <n v="16"/>
    <m/>
    <s v="HES"/>
    <n v="13"/>
    <x v="1"/>
    <n v="39"/>
    <s v="Global Integrated Software"/>
    <s v="07:00-18:00 CST"/>
    <s v="Sat-Fri"/>
    <s v=""/>
    <s v="English"/>
    <s v="Tejpal, Sanna - Dell Team"/>
  </r>
  <r>
    <x v="513"/>
    <x v="508"/>
    <s v="Yap, Diane"/>
    <s v="GNCS"/>
    <s v="Hyperconverged"/>
    <s v="Y"/>
    <s v="Front Line"/>
    <s v="APJ"/>
    <s v="Korea"/>
    <n v="0.629"/>
    <n v="2.278539874447803E-2"/>
    <m/>
    <s v="8/5"/>
    <s v="L1"/>
    <x v="513"/>
    <s v="Vasudev Warik - Dellteam"/>
    <s v="StephenRaj  Kumar"/>
    <n v="6"/>
    <m/>
    <s v="HES"/>
    <n v="13"/>
    <x v="1"/>
    <n v="6"/>
    <m/>
    <s v="24*7"/>
    <s v="Sat- Fri"/>
    <s v=""/>
    <s v="Korean"/>
    <s v="Mahajan, Rohit - Dell Team"/>
  </r>
  <r>
    <x v="514"/>
    <x v="509"/>
    <s v="Creixell, Gustavo"/>
    <s v="DPD"/>
    <s v="Networker"/>
    <s v="Y"/>
    <s v="Front Line"/>
    <s v="LATAM"/>
    <s v="Brazil"/>
    <n v="0.57099999999999995"/>
    <n v="1.5604681404421327E-2"/>
    <m/>
    <m/>
    <s v="L1"/>
    <x v="514"/>
    <s v="Rahul Rohilkar - Dellteam"/>
    <s v="Juliano Alves Neres"/>
    <n v="8"/>
    <m/>
    <s v="HES"/>
    <n v="13"/>
    <x v="1"/>
    <n v="7"/>
    <m/>
    <m/>
    <m/>
    <s v=""/>
    <s v="Portuguese"/>
    <s v="Bansode, Mahendra - Dell Team"/>
  </r>
  <r>
    <x v="515"/>
    <x v="510"/>
    <s v="Creixell, Gustavo"/>
    <s v="DPD"/>
    <s v="Networker"/>
    <s v="Y"/>
    <s v="Front Line"/>
    <s v="LATAM"/>
    <s v="ROLA"/>
    <n v="0.64100000000000001"/>
    <n v="1.5604681404421327E-2"/>
    <m/>
    <m/>
    <s v="L1"/>
    <x v="515"/>
    <s v="Rahul Rohilkar - Dellteam"/>
    <s v="Juliano Alves Neres"/>
    <n v="6"/>
    <m/>
    <s v="HES"/>
    <n v="13"/>
    <x v="1"/>
    <n v="5"/>
    <m/>
    <m/>
    <m/>
    <s v=""/>
    <s v="Spanish"/>
    <s v="Nandakumar, Shashidhar - Dell Team"/>
  </r>
  <r>
    <x v="516"/>
    <x v="511"/>
    <s v="Creixell, Gustavo"/>
    <s v="Primary"/>
    <s v="Symmetrix"/>
    <s v="Y"/>
    <s v="Front Line"/>
    <s v="LATAM"/>
    <s v="Brazil"/>
    <n v="0.57099999999999995"/>
    <n v="1.5604681404421327E-2"/>
    <m/>
    <m/>
    <s v="L1"/>
    <x v="516"/>
    <s v="Rahul Rohilkar - Dellteam"/>
    <s v="Juliano Alves Neres"/>
    <n v="13"/>
    <m/>
    <s v="HES"/>
    <n v="13"/>
    <x v="1"/>
    <n v="13"/>
    <m/>
    <m/>
    <m/>
    <s v=""/>
    <s v="Portuguese"/>
    <s v="Nandakumar, Shashidhar - Dell Team"/>
  </r>
  <r>
    <x v="517"/>
    <x v="512"/>
    <s v="Creixell, Gustavo"/>
    <s v="Primary"/>
    <s v="Symmetrix"/>
    <s v="Y"/>
    <s v="Front Line"/>
    <s v="LATAM"/>
    <s v="ROLA"/>
    <n v="0.64100000000000001"/>
    <n v="1.5604681404421327E-2"/>
    <m/>
    <m/>
    <s v="L1"/>
    <x v="517"/>
    <s v="Rahul Rohilkar - Dellteam"/>
    <s v="Juliano Alves Neres"/>
    <n v="8"/>
    <m/>
    <s v="HES"/>
    <n v="13"/>
    <x v="1"/>
    <n v="6"/>
    <m/>
    <m/>
    <m/>
    <s v=""/>
    <s v="Spanish"/>
    <s v="Dutt, Jitendra - Dell Team"/>
  </r>
  <r>
    <x v="518"/>
    <x v="513"/>
    <s v="Creixell, Gustavo"/>
    <s v="DPD"/>
    <s v="Avamar"/>
    <s v="Y"/>
    <s v="Front Line"/>
    <s v="LATAM"/>
    <s v="ROLA"/>
    <n v="0.64100000000000001"/>
    <n v="1.5604681404421327E-2"/>
    <m/>
    <m/>
    <s v="L1"/>
    <x v="518"/>
    <s v="Rahul Rohilkar - Dellteam"/>
    <s v="Juliano Alves Neres"/>
    <n v="10"/>
    <m/>
    <s v="HES"/>
    <n v="13"/>
    <x v="1"/>
    <n v="9"/>
    <m/>
    <m/>
    <m/>
    <s v=""/>
    <s v="Spanish"/>
    <s v="Bansode, Mahendra - Dell Team"/>
  </r>
  <r>
    <x v="519"/>
    <x v="514"/>
    <s v="Creixell, Gustavo"/>
    <s v="DPD"/>
    <s v="DataDomain"/>
    <s v="Y"/>
    <s v="Front Line"/>
    <s v="LATAM"/>
    <s v="Brazil"/>
    <n v="0.57099999999999995"/>
    <n v="1.5604681404421327E-2"/>
    <m/>
    <m/>
    <s v="L1"/>
    <x v="519"/>
    <s v="Rahul Rohilkar - Dellteam"/>
    <s v="Juliano Alves Neres"/>
    <n v="6"/>
    <m/>
    <s v="HES"/>
    <n v="13"/>
    <x v="1"/>
    <n v="5"/>
    <m/>
    <m/>
    <m/>
    <s v=""/>
    <s v="Portuguese"/>
    <s v="Bansode, Mahendra - Dell Team"/>
  </r>
  <r>
    <x v="520"/>
    <x v="515"/>
    <s v="Creixell, Gustavo"/>
    <s v="DPD"/>
    <s v="DataDomain"/>
    <s v="Y"/>
    <s v="Front Line"/>
    <s v="LATAM"/>
    <s v="ROLA"/>
    <n v="0.64100000000000001"/>
    <n v="1.5604681404421327E-2"/>
    <m/>
    <m/>
    <s v="L1"/>
    <x v="520"/>
    <s v="Rahul Rohilkar - Dellteam"/>
    <s v="Juliano Alves Neres"/>
    <n v="6"/>
    <m/>
    <s v="HES"/>
    <n v="13"/>
    <x v="1"/>
    <n v="6"/>
    <m/>
    <m/>
    <m/>
    <s v=""/>
    <s v="Spanish"/>
    <s v="Dutt, Jitendra - Dell Team"/>
  </r>
  <r>
    <x v="521"/>
    <x v="516"/>
    <s v="Yap, Diane"/>
    <s v="Primary"/>
    <s v="Symmetrix"/>
    <s v="Y"/>
    <s v="Front Line"/>
    <s v="APJ"/>
    <s v="Korea"/>
    <n v="0.629"/>
    <n v="2.278539874447803E-2"/>
    <m/>
    <n v="0"/>
    <s v="L1"/>
    <x v="521"/>
    <s v="Vasudev Warik - Dellteam"/>
    <s v="StephenRaj  Kumar"/>
    <n v="3"/>
    <m/>
    <s v="HES"/>
    <n v="13"/>
    <x v="1"/>
    <n v="2"/>
    <m/>
    <s v="09:00-17:00 Seoul "/>
    <s v="Mon-Fri"/>
    <s v=""/>
    <s v="Korean"/>
    <s v="Thakur, Jyoti - Dell Team"/>
  </r>
  <r>
    <x v="522"/>
    <x v="517"/>
    <s v="Creixell, Gustavo"/>
    <s v="UDS"/>
    <s v="PowerScale"/>
    <s v="Y"/>
    <s v="Front Line"/>
    <s v="LATAM"/>
    <s v="ROLA"/>
    <n v="0.64100000000000001"/>
    <n v="1.5604681404421327E-2"/>
    <m/>
    <m/>
    <s v="L1"/>
    <x v="522"/>
    <s v="Rahul Rohilkar - Dellteam"/>
    <s v="Juliano Alves Neres"/>
    <n v="6"/>
    <m/>
    <s v="HES"/>
    <n v="13"/>
    <x v="1"/>
    <n v="8"/>
    <m/>
    <m/>
    <m/>
    <s v=""/>
    <s v="Spanish"/>
    <s v="Nandakumar, Shashidhar - Dell Team"/>
  </r>
  <r>
    <x v="523"/>
    <x v="518"/>
    <s v="Creixell, Gustavo"/>
    <s v="DPD"/>
    <s v="Avamar"/>
    <s v="Y"/>
    <s v="Front Line"/>
    <s v="LATAM"/>
    <s v="Brazil"/>
    <n v="0.64100000000000001"/>
    <n v="1.5604681404421327E-2"/>
    <m/>
    <m/>
    <s v="L1"/>
    <x v="523"/>
    <s v="Rahul Rohilkar - Dellteam"/>
    <s v="Juliano Alves Neres"/>
    <n v="10"/>
    <m/>
    <s v="HES"/>
    <n v="13"/>
    <x v="1"/>
    <n v="9"/>
    <m/>
    <m/>
    <m/>
    <s v=""/>
    <s v="Portuguese"/>
    <s v="Nandakumar, Shashidhar - Dell Team"/>
  </r>
  <r>
    <x v="524"/>
    <x v="519"/>
    <s v="Creixell, Gustavo"/>
    <s v="UDS"/>
    <s v="PowerScale"/>
    <s v="Y"/>
    <s v="Front Line"/>
    <s v="LATAM"/>
    <s v="Brazil"/>
    <n v="0.57099999999999995"/>
    <n v="1.5604681404421327E-2"/>
    <m/>
    <m/>
    <s v="L1"/>
    <x v="524"/>
    <s v="Rahul Rohilkar - Dellteam"/>
    <s v="Juliano Alves Neres"/>
    <n v="6"/>
    <m/>
    <s v="HES"/>
    <n v="13"/>
    <x v="1"/>
    <n v="5"/>
    <m/>
    <m/>
    <m/>
    <s v=""/>
    <s v="Portuguese"/>
    <s v="Bansode, Mahendra - Dell Team"/>
  </r>
  <r>
    <x v="525"/>
    <x v="520"/>
    <s v="Creixell, Gustavo"/>
    <s v="UDS"/>
    <s v="OBJ"/>
    <s v="Y"/>
    <s v="Front Line"/>
    <s v="LATAM"/>
    <s v="Brazil"/>
    <n v="0.57099999999999995"/>
    <n v="1.5604681404421327E-2"/>
    <m/>
    <m/>
    <s v="L1"/>
    <x v="525"/>
    <s v="Rahul Rohilkar - Dellteam"/>
    <s v="Juliano Alves Neres"/>
    <n v="3"/>
    <m/>
    <s v="HES"/>
    <n v="13"/>
    <x v="1"/>
    <n v="2"/>
    <m/>
    <m/>
    <m/>
    <s v=""/>
    <s v="Portuguese"/>
    <s v="Walunj, Vinod - Dell Team"/>
  </r>
  <r>
    <x v="526"/>
    <x v="521"/>
    <s v="Creixell, Gustavo"/>
    <s v="UDS"/>
    <s v="OBJ"/>
    <s v="Y"/>
    <s v="Front Line"/>
    <s v="LATAM"/>
    <s v="ROLA"/>
    <n v="0.64100000000000001"/>
    <n v="1.5604681404421327E-2"/>
    <m/>
    <m/>
    <s v="L1"/>
    <x v="526"/>
    <s v="Rahul Rohilkar - Dellteam"/>
    <s v="Juliano Alves Neres"/>
    <n v="2"/>
    <m/>
    <s v="HES"/>
    <n v="13"/>
    <x v="1"/>
    <n v="2"/>
    <m/>
    <m/>
    <m/>
    <s v=""/>
    <s v="Spanish"/>
    <s v="Dutt, Jitendra - Dell Team"/>
  </r>
  <r>
    <x v="527"/>
    <x v="522"/>
    <s v="Punch, Patrick"/>
    <s v="UDS"/>
    <s v="PowerScale"/>
    <s v="Y"/>
    <s v="Combined"/>
    <s v="EMEA"/>
    <s v="Egypt"/>
    <n v="0.61699999999999999"/>
    <n v="3.8967379973253502E-2"/>
    <m/>
    <s v="12/5, 8/2"/>
    <s v="L1"/>
    <x v="527"/>
    <s v="Sarthak Shahir - Dellteam"/>
    <s v="Khim Sun Lau"/>
    <n v="11"/>
    <m/>
    <s v="HES"/>
    <n v="13"/>
    <x v="1"/>
    <n v="20"/>
    <m/>
    <s v="01:00-09:00 CST"/>
    <s v="Sat- Fri"/>
    <s v=""/>
    <s v="Multiple Languages"/>
    <s v="Hake, Sadashiv - Dell Team"/>
  </r>
  <r>
    <x v="528"/>
    <x v="523"/>
    <s v="Punch, Patrick"/>
    <s v="UDS"/>
    <s v="PowerScale"/>
    <s v="Y"/>
    <s v="Combined"/>
    <s v="NAMER"/>
    <s v="Costa Rica"/>
    <n v="0.64800000000000002"/>
    <n v="0.03"/>
    <m/>
    <s v="12/7"/>
    <s v="L1"/>
    <x v="528"/>
    <s v="Sarthak Shahir - Dellteam"/>
    <s v="Khim Sun Lau"/>
    <n v="14"/>
    <m/>
    <s v="HES"/>
    <n v="13"/>
    <x v="1"/>
    <n v="77"/>
    <m/>
    <s v="07:00-19:00 CST"/>
    <s v="Sat-Fri"/>
    <s v=""/>
    <s v="English"/>
    <s v="Hake, Sadashiv - Dell Team"/>
  </r>
  <r>
    <x v="529"/>
    <x v="524"/>
    <s v="Punch, Patrick"/>
    <s v="DPD"/>
    <s v="Avamar"/>
    <s v="Y"/>
    <s v="Front Line"/>
    <s v="APJ"/>
    <s v="Australia"/>
    <n v="0.629"/>
    <n v="1.2500000000000001E-2"/>
    <m/>
    <s v="12/5, 8/2"/>
    <s v="L1"/>
    <x v="529"/>
    <s v="Sarthak Shahir - Dellteam"/>
    <s v="Khim Sun Lau"/>
    <n v="11"/>
    <m/>
    <s v="HES"/>
    <n v="13"/>
    <x v="1"/>
    <n v="9"/>
    <m/>
    <s v="03:30-22:30 IST"/>
    <s v="Sat- Fri"/>
    <s v=""/>
    <s v="Multiple Languages"/>
    <s v="Mahajan, Rohit - Dell Team"/>
  </r>
  <r>
    <x v="530"/>
    <x v="525"/>
    <s v="Punch, Patrick"/>
    <s v="DPD"/>
    <s v="DataDomain"/>
    <s v="Y"/>
    <s v="Combined"/>
    <s v="APJ"/>
    <s v="Australia"/>
    <n v="0.629"/>
    <n v="0.05"/>
    <m/>
    <s v="9/5, 6/2"/>
    <s v="L1"/>
    <x v="530"/>
    <s v="Sarthak Shahir - Dellteam"/>
    <s v="Khim Sun Lau"/>
    <n v="7"/>
    <m/>
    <s v="HES"/>
    <n v="13"/>
    <x v="1"/>
    <n v="27"/>
    <m/>
    <s v="05:30-19:30 IST"/>
    <s v="Sat- Fri"/>
    <s v=""/>
    <s v="Multiple Languages"/>
    <s v="Mahajan, Rohit - Dell Team"/>
  </r>
  <r>
    <x v="531"/>
    <x v="526"/>
    <s v="Punch, Patrick"/>
    <s v="DPD"/>
    <s v="Networker"/>
    <s v="Y"/>
    <s v="Combined"/>
    <s v="APJ"/>
    <s v="Australia"/>
    <n v="0.629"/>
    <n v="2.278539874447803E-2"/>
    <m/>
    <s v="11/5, 8/2"/>
    <s v="L1"/>
    <x v="531"/>
    <s v="Sarthak Shahir - Dellteam"/>
    <s v="Khim Sun Lau"/>
    <n v="12"/>
    <m/>
    <s v="HES"/>
    <n v="13"/>
    <x v="1"/>
    <n v="15"/>
    <m/>
    <s v="08:00–20:00 AEST"/>
    <s v="Sat- Fri"/>
    <s v=""/>
    <s v="Multiple Languages"/>
    <s v="Tejpal, Sanna - Dell Team"/>
  </r>
  <r>
    <x v="532"/>
    <x v="527"/>
    <s v="Yap, Diane"/>
    <s v="Primary"/>
    <s v="XtremIO"/>
    <s v="Y"/>
    <s v="Front Line"/>
    <s v="APJ"/>
    <s v="Japan"/>
    <n v="0.629"/>
    <n v="2.278539874447803E-2"/>
    <m/>
    <s v="9/5"/>
    <s v="L1"/>
    <x v="532"/>
    <s v="Vasudev Warik - Dellteam"/>
    <s v="StephenRaj  Kumar"/>
    <n v="4"/>
    <m/>
    <s v="HES"/>
    <n v="13"/>
    <x v="1"/>
    <n v="5"/>
    <s v="Getting Mereged to HES Midrange Japanease"/>
    <s v="09:00-17:30 JST"/>
    <s v="Sat- Fri"/>
    <s v="Getting Merged to AP23"/>
    <s v="Multiple Languages"/>
    <s v="Tejpal, Sanna - Dell Team"/>
  </r>
  <r>
    <x v="533"/>
    <x v="528"/>
    <s v="Punch, Patrick"/>
    <s v="DPD"/>
    <s v="Avamar"/>
    <s v="Y"/>
    <s v="Front Line"/>
    <s v="EMEA"/>
    <s v="Egypt"/>
    <n v="0.61699999999999999"/>
    <n v="0.05"/>
    <m/>
    <s v="8/7"/>
    <s v="L1"/>
    <x v="533"/>
    <s v="Sarthak Shahir - Dellteam"/>
    <s v="Khim Sun Lau"/>
    <n v="9"/>
    <m/>
    <s v="HES"/>
    <n v="13"/>
    <x v="1"/>
    <n v="7"/>
    <m/>
    <s v="01:00-09:00 CST"/>
    <s v="Sat- Fri"/>
    <s v=""/>
    <s v="Multiple Languages"/>
    <s v="Paliwal, Chetan - Dell Team"/>
  </r>
  <r>
    <x v="534"/>
    <x v="529"/>
    <s v="Punch, Patrick"/>
    <s v="DPD"/>
    <s v="DataDomain"/>
    <s v="Y"/>
    <s v="Front Line"/>
    <s v="EMEA"/>
    <s v="Egypt"/>
    <n v="0.61699999999999999"/>
    <n v="0.05"/>
    <m/>
    <s v="12/5, 8/2"/>
    <s v="L1"/>
    <x v="534"/>
    <s v="Sarthak Shahir - Dellteam"/>
    <s v="Khim Sun Lau"/>
    <n v="11"/>
    <m/>
    <s v="HES"/>
    <n v="13"/>
    <x v="1"/>
    <n v="21"/>
    <m/>
    <s v="01:00-09:00 CST"/>
    <s v="Sat- Fri"/>
    <s v=""/>
    <s v="Multiple Languages"/>
    <s v="Paliwal, Chetan - Dell Team"/>
  </r>
  <r>
    <x v="535"/>
    <x v="530"/>
    <s v="Punch, Patrick"/>
    <s v="DPD"/>
    <s v="Networker"/>
    <s v="Y"/>
    <s v="Combined"/>
    <s v="EMEA"/>
    <s v="Egypt"/>
    <n v="0.61699999999999999"/>
    <n v="0.1"/>
    <m/>
    <s v="12/5, 8/2"/>
    <s v="L1"/>
    <x v="535"/>
    <s v="Sarthak Shahir - Dellteam"/>
    <s v="Khim Sun Lau"/>
    <n v="11"/>
    <m/>
    <s v="HES"/>
    <n v="13"/>
    <x v="1"/>
    <n v="17"/>
    <m/>
    <s v="01:00-09:00 CST"/>
    <s v="Sat- Fri"/>
    <s v=""/>
    <s v="Multiple Languages"/>
    <s v="Paliwal, Chetan - Dell Team"/>
  </r>
  <r>
    <x v="536"/>
    <x v="531"/>
    <s v="Punch, Patrick"/>
    <s v="DPD"/>
    <s v="Avamar"/>
    <s v="Y"/>
    <s v="Front Line"/>
    <s v="NAMER"/>
    <s v="Costa Rica"/>
    <n v="0.64800000000000002"/>
    <n v="1.2355848434925867E-2"/>
    <m/>
    <s v="11/7"/>
    <s v="L1"/>
    <x v="536"/>
    <s v="Sarthak Shahir - Dellteam"/>
    <s v="Khim Sun Lau"/>
    <n v="12"/>
    <m/>
    <s v="HES"/>
    <n v="13"/>
    <x v="1"/>
    <n v="26"/>
    <m/>
    <s v="05:00-20:00 CST"/>
    <s v="Sat-Fri"/>
    <s v=""/>
    <s v="English"/>
    <s v="Bansode, Mahendra - Dell Team"/>
  </r>
  <r>
    <x v="537"/>
    <x v="532"/>
    <s v="Punch, Patrick"/>
    <s v="DPD"/>
    <s v="DataDomain"/>
    <s v="Y"/>
    <s v="Front Line"/>
    <s v="NAMER"/>
    <s v="Costa Rica"/>
    <n v="0.64800000000000002"/>
    <n v="3.7082818294190355E-3"/>
    <m/>
    <s v="12/7"/>
    <s v="L1"/>
    <x v="537"/>
    <s v="Sarthak Shahir - Dellteam"/>
    <s v="Khim Sun Lau"/>
    <n v="14"/>
    <m/>
    <s v="HES"/>
    <n v="13"/>
    <x v="1"/>
    <n v="69.666666666666671"/>
    <m/>
    <s v="06:00-20:00 CST"/>
    <s v="Sat-Fri"/>
    <s v=""/>
    <s v="English"/>
    <s v="Bansode, Mahendra - Dell Team"/>
  </r>
  <r>
    <x v="538"/>
    <x v="533"/>
    <s v="Punch, Patrick"/>
    <s v="DPD"/>
    <s v="Networker"/>
    <s v="Y"/>
    <s v="Combined"/>
    <s v="NAMER"/>
    <s v="Costa Rica"/>
    <n v="0.64800000000000002"/>
    <n v="0.03"/>
    <m/>
    <s v="10/7"/>
    <s v="L1"/>
    <x v="538"/>
    <s v="Sarthak Shahir - Dellteam"/>
    <s v="Khim Sun Lau"/>
    <n v="12"/>
    <m/>
    <s v="HES"/>
    <n v="13"/>
    <x v="1"/>
    <n v="27"/>
    <m/>
    <s v="07:00-18:00 CST"/>
    <s v="Sat-Fri"/>
    <s v=""/>
    <s v="English"/>
    <s v="Bansode, Mahendra - Dell Team"/>
  </r>
  <r>
    <x v="539"/>
    <x v="534"/>
    <s v="D'Arcy, Mark"/>
    <s v="Enterprise"/>
    <s v="Enterprise"/>
    <s v="Y"/>
    <s v="Backline"/>
    <s v="Global"/>
    <s v="Global"/>
    <n v="0.63300000000000001"/>
    <n v="1.8670169726832081E-2"/>
    <m/>
    <s v="12/7"/>
    <s v="Non-L1"/>
    <x v="539"/>
    <s v="Arpit Rathod - Dellteam"/>
    <s v="Bethany Rana"/>
    <n v="14"/>
    <m/>
    <s v="HES"/>
    <n v="13"/>
    <x v="1"/>
    <n v="25"/>
    <s v="Need to Check with BP"/>
    <s v="-"/>
    <s v="-"/>
    <m/>
    <s v="English"/>
    <s v="Prasad, Ranjan - Dell Team"/>
  </r>
  <r>
    <x v="540"/>
    <x v="535"/>
    <s v="Creixell, Gustavo"/>
    <s v="GNCS"/>
    <s v="Hyperconverged"/>
    <s v="Y"/>
    <s v="Front Line"/>
    <s v="LATAM"/>
    <s v="Panama"/>
    <n v="0.64100000000000001"/>
    <n v="1.5604681404421327E-2"/>
    <m/>
    <n v="0"/>
    <s v="L1"/>
    <x v="540"/>
    <s v="Rahul Rohilkar - Dellteam"/>
    <s v="Juliano Alves Neres"/>
    <n v="15"/>
    <m/>
    <s v="HES"/>
    <n v="13"/>
    <x v="1"/>
    <n v="15"/>
    <m/>
    <s v="07:00-23:00 (Bogota timezone)"/>
    <s v="Sat-Fri"/>
    <s v=""/>
    <s v="Spanish"/>
    <s v="Walunj, Vinod - Dell Team"/>
  </r>
  <r>
    <x v="541"/>
    <x v="536"/>
    <s v="Yap, Diane"/>
    <s v="CST"/>
    <s v="Enterprise"/>
    <s v="N"/>
    <s v="Not Planned"/>
    <s v="APJ"/>
    <s v="China"/>
    <n v="0.629"/>
    <m/>
    <m/>
    <s v="12/7"/>
    <m/>
    <x v="541"/>
    <s v="Zhuo Chen"/>
    <s v="Chen Zhou"/>
    <n v="14"/>
    <m/>
    <s v="Not Planned"/>
    <m/>
    <x v="1"/>
    <n v="6"/>
    <m/>
    <e v="#N/A"/>
    <e v="#N/A"/>
    <m/>
    <s v="Mandarin"/>
    <e v="#N/A"/>
  </r>
  <r>
    <x v="542"/>
    <x v="537"/>
    <s v="Yap, Diane"/>
    <s v="Server"/>
    <s v="Server"/>
    <s v="Y"/>
    <s v="Front Line"/>
    <s v="APJ"/>
    <s v="China"/>
    <n v="0.629"/>
    <n v="2.278539874447803E-2"/>
    <m/>
    <n v="0"/>
    <s v="L1"/>
    <x v="542"/>
    <s v="Sarthak Shahir - Dellteam"/>
    <s v="StephenRaj  Kumar"/>
    <n v="3"/>
    <m/>
    <s v="ESG"/>
    <n v="13"/>
    <x v="0"/>
    <n v="0"/>
    <m/>
    <m/>
    <m/>
    <m/>
    <s v="Mandarin"/>
    <s v="Wei Han, Ying - Dell Team"/>
  </r>
  <r>
    <x v="543"/>
    <x v="538"/>
    <s v="D'Arcy, Mark"/>
    <s v="Enterprise"/>
    <s v="Enterprise"/>
    <s v="N"/>
    <s v="Not Planned"/>
    <m/>
    <m/>
    <m/>
    <m/>
    <m/>
    <m/>
    <s v="Non-L1"/>
    <x v="543"/>
    <s v="Zhuo Chen"/>
    <s v="Chen Zhou"/>
    <n v="0"/>
    <m/>
    <s v="Not Planned"/>
    <n v="13"/>
    <x v="1"/>
    <n v="37.666666666666664"/>
    <m/>
    <s v="-"/>
    <s v="-"/>
    <m/>
    <s v="Multiple Languages"/>
    <e v="#N/A"/>
  </r>
  <r>
    <x v="544"/>
    <x v="539"/>
    <s v="Brown, Dexter"/>
    <s v="CST"/>
    <s v="High End Storage"/>
    <s v="N"/>
    <s v="Not Planned"/>
    <s v="EMEA"/>
    <s v="Egypt"/>
    <n v="0.61699999999999999"/>
    <m/>
    <m/>
    <s v="12/5"/>
    <s v="CST"/>
    <x v="544"/>
    <s v="Zhuo Chen"/>
    <s v=""/>
    <n v="8"/>
    <m/>
    <s v="Not Planned"/>
    <m/>
    <x v="1"/>
    <n v="1"/>
    <m/>
    <e v="#N/A"/>
    <e v="#N/A"/>
    <m/>
    <s v="Multiple Languages"/>
    <e v="#N/A"/>
  </r>
  <r>
    <x v="545"/>
    <x v="540"/>
    <s v="Kenneally, Niall"/>
    <s v="Primary"/>
    <s v="BSAFE"/>
    <s v="Y"/>
    <s v="Backline"/>
    <s v="Global"/>
    <s v="United States"/>
    <n v="0.63300000000000001"/>
    <n v="1.8670169726832081E-2"/>
    <m/>
    <s v="24/7"/>
    <s v="Non-L1"/>
    <x v="545"/>
    <s v="Geeta G-DellTeam"/>
    <s v="Miguel Galicia"/>
    <n v="24"/>
    <m/>
    <s v="Not Planned"/>
    <n v="13"/>
    <x v="1"/>
    <n v="2"/>
    <m/>
    <s v="-"/>
    <s v="-"/>
    <m/>
    <s v="English"/>
    <s v="Mahajan, Rohit - Dell Team"/>
  </r>
  <r>
    <x v="546"/>
    <x v="541"/>
    <s v="Punch, Patrick"/>
    <s v="DSE"/>
    <s v="High End Storage"/>
    <s v="N"/>
    <s v="Backline"/>
    <s v="Global"/>
    <s v="Global"/>
    <n v="0.63300000000000001"/>
    <m/>
    <m/>
    <s v="12/7"/>
    <s v="Non-L1"/>
    <x v="546"/>
    <s v="Zhuo Chen"/>
    <s v="Miguel Galicia"/>
    <n v="14"/>
    <m/>
    <s v="Not Planned"/>
    <n v="13"/>
    <x v="1"/>
    <n v="134"/>
    <m/>
    <s v="-"/>
    <s v="-"/>
    <m/>
    <s v="English"/>
    <s v="Nandakumar, Shashidhar - Dell Team"/>
  </r>
  <r>
    <x v="547"/>
    <x v="542"/>
    <s v="Brown, Dexter"/>
    <s v="RPS"/>
    <s v="Server"/>
    <s v="N"/>
    <s v="Backline"/>
    <s v="Global"/>
    <s v="Global"/>
    <n v="0.63300000000000001"/>
    <m/>
    <m/>
    <s v="12/7"/>
    <s v="L1"/>
    <x v="547"/>
    <s v="Zhuo Chen"/>
    <s v="StephenRaj  Kumar"/>
    <n v="14"/>
    <m/>
    <s v="Not Planned"/>
    <n v="13"/>
    <x v="1"/>
    <n v="52.333333333333336"/>
    <m/>
    <s v="-"/>
    <s v="-"/>
    <s v=""/>
    <s v="Multiple Languages"/>
    <e v="#N/A"/>
  </r>
  <r>
    <x v="548"/>
    <x v="543"/>
    <s v="Dexter Brown"/>
    <s v="Enterprise"/>
    <s v="Enterprise"/>
    <s v="N"/>
    <e v="#N/A"/>
    <s v="Global"/>
    <s v="Multiple SubRegions"/>
    <n v="0.629"/>
    <n v="2.278539874447803E-2"/>
    <m/>
    <s v="9/5"/>
    <s v="Non-L1"/>
    <x v="548"/>
    <s v="Zhuo Chen"/>
    <m/>
    <n v="2"/>
    <m/>
    <s v="Not Planned"/>
    <n v="13"/>
    <x v="1"/>
    <n v="1"/>
    <m/>
    <m/>
    <m/>
    <m/>
    <s v="Multiple Languages"/>
    <e v="#N/A"/>
  </r>
  <r>
    <x v="549"/>
    <x v="544"/>
    <s v="Dexter Brown"/>
    <s v="Enterprise"/>
    <s v="Enterprise"/>
    <s v="N"/>
    <e v="#N/A"/>
    <s v="Global"/>
    <s v="Multiple SubRegions"/>
    <n v="0.629"/>
    <n v="2.278539874447803E-2"/>
    <m/>
    <s v="9/5"/>
    <s v="Non-L1"/>
    <x v="549"/>
    <s v="Zhuo Chen"/>
    <m/>
    <n v="2"/>
    <m/>
    <s v="Not Planned"/>
    <n v="13"/>
    <x v="1"/>
    <n v="2"/>
    <m/>
    <m/>
    <m/>
    <m/>
    <s v="Multiple Languages"/>
    <e v="#N/A"/>
  </r>
  <r>
    <x v="550"/>
    <x v="545"/>
    <s v="Dexter Brown"/>
    <s v="Enterprise"/>
    <s v="Enterprise"/>
    <s v="N"/>
    <e v="#N/A"/>
    <s v="Global"/>
    <s v="Multiple SubRegions"/>
    <n v="0.629"/>
    <n v="2.278539874447803E-2"/>
    <m/>
    <s v="9/5"/>
    <s v="Non-L1"/>
    <x v="550"/>
    <s v="Zhuo Chen"/>
    <m/>
    <n v="2"/>
    <m/>
    <s v="Not Planned"/>
    <n v="13"/>
    <x v="1"/>
    <n v="4"/>
    <m/>
    <m/>
    <m/>
    <m/>
    <s v="Multiple Languages"/>
    <e v="#N/A"/>
  </r>
  <r>
    <x v="551"/>
    <x v="546"/>
    <s v="Brown, Dexter"/>
    <s v="Enterprise"/>
    <s v="Enterprise"/>
    <s v="N"/>
    <s v="Not Planned"/>
    <s v="Global"/>
    <s v="Global"/>
    <m/>
    <m/>
    <m/>
    <m/>
    <s v="Quality Coach"/>
    <x v="551"/>
    <s v="Zhuo Chen"/>
    <s v="StephenRaj  Kumar"/>
    <n v="0"/>
    <m/>
    <s v="Not Planned"/>
    <n v="13"/>
    <x v="1"/>
    <n v="1"/>
    <m/>
    <s v="-"/>
    <s v="-"/>
    <s v=""/>
    <s v="Multiple Languages"/>
    <e v="#N/A"/>
  </r>
  <r>
    <x v="552"/>
    <x v="547"/>
    <s v="Brown, Dexter"/>
    <s v="Enterprise"/>
    <s v="Enterprise"/>
    <s v="N"/>
    <s v="Not Planned"/>
    <s v="Global"/>
    <s v="Global"/>
    <m/>
    <m/>
    <m/>
    <m/>
    <s v="Quality Coach"/>
    <x v="552"/>
    <s v="Zhuo Chen"/>
    <s v="StephenRaj  Kumar"/>
    <n v="0"/>
    <m/>
    <s v="Not Planned"/>
    <n v="13"/>
    <x v="1"/>
    <n v="7"/>
    <m/>
    <s v="-"/>
    <s v="-"/>
    <s v=""/>
    <s v="Multiple Languages"/>
    <e v="#N/A"/>
  </r>
  <r>
    <x v="553"/>
    <x v="548"/>
    <s v="Brown, Dexter"/>
    <s v="Enterprise"/>
    <s v="Enterprise"/>
    <s v="N"/>
    <s v="Not Planned"/>
    <s v="Global"/>
    <s v="Global"/>
    <m/>
    <m/>
    <m/>
    <m/>
    <s v="Quality Coach"/>
    <x v="553"/>
    <s v="Zhuo Chen"/>
    <s v="StephenRaj  Kumar"/>
    <n v="0"/>
    <m/>
    <s v="Not Planned"/>
    <n v="13"/>
    <x v="1"/>
    <n v="2"/>
    <m/>
    <s v="-"/>
    <s v="-"/>
    <s v=""/>
    <s v="Multiple Languages"/>
    <e v="#N/A"/>
  </r>
  <r>
    <x v="554"/>
    <x v="549"/>
    <s v="Dexter Brown"/>
    <s v="Enterprise"/>
    <s v="Enterprise"/>
    <s v="N"/>
    <e v="#N/A"/>
    <s v="Global"/>
    <s v="Multiple SubRegions"/>
    <n v="0.629"/>
    <n v="2.278539874447803E-2"/>
    <m/>
    <s v="9/5"/>
    <s v="Non-L1"/>
    <x v="554"/>
    <s v="Zhuo Chen"/>
    <m/>
    <n v="2"/>
    <m/>
    <s v="Not Planned"/>
    <n v="13"/>
    <x v="1"/>
    <n v="4"/>
    <m/>
    <m/>
    <m/>
    <m/>
    <s v="Multiple Languages"/>
    <e v="#N/A"/>
  </r>
  <r>
    <x v="555"/>
    <x v="550"/>
    <s v="D'Arcy, Mark"/>
    <s v="Server"/>
    <s v="Server"/>
    <s v="N"/>
    <s v="Combined"/>
    <s v="Global"/>
    <s v="Global"/>
    <m/>
    <m/>
    <m/>
    <m/>
    <s v="L1"/>
    <x v="555"/>
    <s v="Zhuo Chen"/>
    <s v="Bethany Rana"/>
    <m/>
    <m/>
    <s v="Not Planned"/>
    <m/>
    <x v="1"/>
    <n v="7"/>
    <m/>
    <e v="#N/A"/>
    <e v="#N/A"/>
    <s v=""/>
    <s v="Multiple Languages"/>
    <e v="#N/A"/>
  </r>
  <r>
    <x v="556"/>
    <x v="551"/>
    <s v="D'Arcy, Mark"/>
    <s v="Server"/>
    <s v="Server"/>
    <s v="N"/>
    <e v="#N/A"/>
    <s v="EMEA"/>
    <s v="Germany"/>
    <n v="0.61699999999999999"/>
    <n v="3.8967379973253502E-2"/>
    <m/>
    <s v="12/7"/>
    <s v="L1"/>
    <x v="556"/>
    <s v="Zhuo Chen"/>
    <s v="Bethany Rana"/>
    <n v="14"/>
    <m/>
    <s v="Not Planned"/>
    <n v="13"/>
    <x v="1"/>
    <n v="12"/>
    <m/>
    <s v="-"/>
    <s v="-"/>
    <s v=""/>
    <s v="German"/>
    <e v="#N/A"/>
  </r>
  <r>
    <x v="557"/>
    <x v="552"/>
    <s v="Denis Lucey"/>
    <s v="Enterprise"/>
    <s v="Enterprise"/>
    <s v="N"/>
    <e v="#N/A"/>
    <s v="Global"/>
    <s v="Multiple SubRegions"/>
    <n v="0.629"/>
    <n v="2.278539874447803E-2"/>
    <m/>
    <s v="9/5"/>
    <s v="Non-L1"/>
    <x v="557"/>
    <s v="Michael Yumnam - Dellteam"/>
    <m/>
    <n v="2"/>
    <m/>
    <s v="Not Planned"/>
    <n v="13"/>
    <x v="1"/>
    <n v="97"/>
    <m/>
    <m/>
    <m/>
    <m/>
    <s v="Multiple Languages"/>
    <e v="#N/A"/>
  </r>
  <r>
    <x v="558"/>
    <x v="553"/>
    <s v="Banthia, Nishant"/>
    <s v="Client"/>
    <m/>
    <s v="Y"/>
    <s v="Not Planned"/>
    <m/>
    <m/>
    <m/>
    <m/>
    <m/>
    <m/>
    <m/>
    <x v="558"/>
    <s v="Swathypriyal S"/>
    <s v=""/>
    <m/>
    <m/>
    <s v="Not Planned"/>
    <m/>
    <x v="1"/>
    <n v="85"/>
    <m/>
    <e v="#N/A"/>
    <e v="#N/A"/>
    <m/>
    <s v="English"/>
    <e v="#N/A"/>
  </r>
  <r>
    <x v="559"/>
    <x v="554"/>
    <s v="Yap, Diane"/>
    <s v="Enterprise"/>
    <s v="Enterprise"/>
    <s v="N"/>
    <s v="Not Planned"/>
    <s v="Global"/>
    <s v="Global"/>
    <n v="0.63300000000000001"/>
    <m/>
    <m/>
    <s v="12/7"/>
    <s v="Manager"/>
    <x v="559"/>
    <s v="Zhuo Chen"/>
    <s v="StephenRaj  Kumar"/>
    <n v="14"/>
    <m/>
    <s v="Not Planned"/>
    <m/>
    <x v="1"/>
    <n v="35"/>
    <m/>
    <e v="#N/A"/>
    <e v="#N/A"/>
    <s v=""/>
    <s v="Multiple Languages"/>
    <e v="#N/A"/>
  </r>
  <r>
    <x v="560"/>
    <x v="555"/>
    <s v="Yap, Diane"/>
    <s v="Enterprise"/>
    <s v="Enterprise"/>
    <s v="N"/>
    <e v="#N/A"/>
    <s v="Global"/>
    <s v="Global"/>
    <n v="0.63300000000000001"/>
    <m/>
    <m/>
    <s v="12/7"/>
    <m/>
    <x v="560"/>
    <s v="Zhuo Chen"/>
    <s v="Chen Zhou"/>
    <n v="14"/>
    <m/>
    <s v="Not Planned"/>
    <m/>
    <x v="1"/>
    <n v="4"/>
    <m/>
    <e v="#N/A"/>
    <e v="#N/A"/>
    <m/>
    <s v="Multiple Languages"/>
    <e v="#N/A"/>
  </r>
  <r>
    <x v="561"/>
    <x v="556"/>
    <s v="Yap, Diane"/>
    <s v="Enterprise"/>
    <s v="Enterprise"/>
    <s v="N"/>
    <s v="Not Planned"/>
    <s v="Global"/>
    <s v="Global"/>
    <n v="0.63300000000000001"/>
    <m/>
    <m/>
    <s v="12/7"/>
    <s v="Quality Coach"/>
    <x v="561"/>
    <s v="Zhuo Chen"/>
    <s v="StephenRaj  Kumar"/>
    <n v="14"/>
    <m/>
    <s v="Not Planned"/>
    <n v="13"/>
    <x v="1"/>
    <n v="39"/>
    <m/>
    <s v="-"/>
    <s v="-"/>
    <s v=""/>
    <s v="Multiple Languages"/>
    <e v="#N/A"/>
  </r>
  <r>
    <x v="562"/>
    <x v="557"/>
    <s v="D'Arcy, Mark"/>
    <s v="Enterprise"/>
    <s v="Enterprise"/>
    <s v="N"/>
    <s v="Not Planned"/>
    <s v="Global"/>
    <s v="Global"/>
    <m/>
    <m/>
    <m/>
    <m/>
    <s v="Quality Coach"/>
    <x v="562"/>
    <s v="Zhuo Chen"/>
    <s v="Bethany Rana"/>
    <n v="0"/>
    <m/>
    <s v="Not Planned"/>
    <n v="13"/>
    <x v="1"/>
    <n v="6"/>
    <m/>
    <s v="-"/>
    <s v="-"/>
    <s v=""/>
    <s v="Multiple Languages"/>
    <e v="#N/A"/>
  </r>
  <r>
    <x v="563"/>
    <x v="558"/>
    <s v="Punch, Patrick"/>
    <s v="Enterprise"/>
    <s v="Enterprise"/>
    <s v="N"/>
    <s v="Not Planned"/>
    <s v="Global"/>
    <s v="Global"/>
    <n v="0.63300000000000001"/>
    <m/>
    <m/>
    <s v="12/7"/>
    <s v="Manager"/>
    <x v="563"/>
    <s v="Zhuo Chen"/>
    <s v="Khim Sun Lau"/>
    <n v="14"/>
    <m/>
    <s v="Not Planned"/>
    <n v="13"/>
    <x v="1"/>
    <n v="43"/>
    <m/>
    <s v="-"/>
    <s v="-"/>
    <s v=""/>
    <s v="Multiple Languages"/>
    <e v="#N/A"/>
  </r>
  <r>
    <x v="564"/>
    <x v="559"/>
    <s v="Punch, Patrick"/>
    <s v="Enterprise"/>
    <s v="Enterprise"/>
    <s v="N"/>
    <e v="#N/A"/>
    <s v="EMEA"/>
    <s v="Egypt"/>
    <n v="0.61699999999999999"/>
    <m/>
    <m/>
    <s v="12/7"/>
    <s v="Non-L1"/>
    <x v="564"/>
    <s v="Zhuo Chen"/>
    <s v="Khim Sun Lau"/>
    <n v="14"/>
    <m/>
    <s v="Not Planned"/>
    <n v="13"/>
    <x v="1"/>
    <n v="1"/>
    <m/>
    <e v="#N/A"/>
    <e v="#N/A"/>
    <m/>
    <s v="Multiple Languages"/>
    <e v="#N/A"/>
  </r>
  <r>
    <x v="565"/>
    <x v="560"/>
    <s v="Punch, Patrick"/>
    <s v="Enterprise"/>
    <s v="Enterprise"/>
    <s v="N"/>
    <s v="Not Planned"/>
    <s v="Global"/>
    <s v="Global"/>
    <n v="0.63300000000000001"/>
    <m/>
    <m/>
    <s v="12/7"/>
    <s v="Quality Coach"/>
    <x v="565"/>
    <s v="Zhuo Chen"/>
    <s v="Khim Sun Lau"/>
    <n v="14"/>
    <m/>
    <s v="Not Planned"/>
    <n v="13"/>
    <x v="1"/>
    <n v="30.666666666666668"/>
    <m/>
    <s v="-"/>
    <s v="-"/>
    <s v=""/>
    <s v="Multiple Languages"/>
    <e v="#N/A"/>
  </r>
  <r>
    <x v="566"/>
    <x v="561"/>
    <s v="Punch, Patrick"/>
    <s v="Enterprise"/>
    <s v="Enterprise"/>
    <s v="N"/>
    <s v="Not Planned"/>
    <s v="NAMER"/>
    <s v="United States"/>
    <n v="0.64800000000000002"/>
    <m/>
    <m/>
    <s v="12/7"/>
    <s v="Technical Lead"/>
    <x v="566"/>
    <s v="Zhuo Chen"/>
    <s v="Khim Sun Lau"/>
    <n v="14"/>
    <m/>
    <s v="Not Planned"/>
    <n v="13"/>
    <x v="1"/>
    <n v="1"/>
    <m/>
    <s v="-"/>
    <s v="-"/>
    <s v=""/>
    <s v="Multiple Languages"/>
    <e v="#N/A"/>
  </r>
  <r>
    <x v="567"/>
    <x v="562"/>
    <s v="Yap, Diane"/>
    <s v="Enterprise"/>
    <s v="Enterprise"/>
    <s v="N"/>
    <e v="#N/A"/>
    <s v="Global"/>
    <s v="Global"/>
    <n v="0.63300000000000001"/>
    <m/>
    <m/>
    <s v="12/7"/>
    <s v="Manager"/>
    <x v="567"/>
    <s v="Zhuo Chen"/>
    <s v=""/>
    <n v="14"/>
    <m/>
    <s v="Not Planned"/>
    <m/>
    <x v="1"/>
    <n v="0.66666666666666663"/>
    <m/>
    <e v="#N/A"/>
    <e v="#N/A"/>
    <m/>
    <s v="Multiple Languages"/>
    <e v="#N/A"/>
  </r>
  <r>
    <x v="568"/>
    <x v="563"/>
    <s v="D'Arcy, Mark"/>
    <s v="Enterprise"/>
    <s v="Enterprise"/>
    <s v="N"/>
    <s v="Not Planned"/>
    <s v="Global"/>
    <s v="Global"/>
    <n v="0.63300000000000001"/>
    <m/>
    <m/>
    <s v="12/7"/>
    <s v="Quality Coach"/>
    <x v="568"/>
    <s v="Zhuo Chen"/>
    <s v="Bethany Rana"/>
    <n v="14"/>
    <m/>
    <s v="Not Planned"/>
    <n v="13"/>
    <x v="1"/>
    <n v="20.666666666666668"/>
    <m/>
    <s v="-"/>
    <s v="-"/>
    <s v=""/>
    <s v="Multiple Languages"/>
    <e v="#N/A"/>
  </r>
  <r>
    <x v="569"/>
    <x v="564"/>
    <s v="D'Arcy, Mark"/>
    <s v="Enterprise"/>
    <s v="Enterprise"/>
    <s v="N"/>
    <e v="#N/A"/>
    <s v="Global"/>
    <s v="Global"/>
    <n v="0.63300000000000001"/>
    <m/>
    <m/>
    <s v="12/7"/>
    <s v="Manager"/>
    <x v="569"/>
    <s v="Zhuo Chen"/>
    <s v=""/>
    <n v="14"/>
    <m/>
    <s v="Not Planned"/>
    <m/>
    <x v="1"/>
    <n v="26"/>
    <m/>
    <e v="#N/A"/>
    <e v="#N/A"/>
    <m/>
    <s v="Multiple Languages"/>
    <e v="#N/A"/>
  </r>
  <r>
    <x v="570"/>
    <x v="565"/>
    <s v="D'Arcy, Mark"/>
    <s v="Enterprise"/>
    <s v="Enterprise"/>
    <s v="N"/>
    <e v="#N/A"/>
    <s v="Global"/>
    <s v="Global"/>
    <n v="0.63300000000000001"/>
    <m/>
    <m/>
    <s v="12/7"/>
    <s v="Non-L1"/>
    <x v="570"/>
    <s v="Zhuo Chen"/>
    <s v="Miguel Galicia"/>
    <n v="14"/>
    <m/>
    <s v="Not Planned"/>
    <n v="13"/>
    <x v="1"/>
    <n v="8"/>
    <m/>
    <e v="#N/A"/>
    <e v="#N/A"/>
    <s v=""/>
    <s v="Multiple Languages"/>
    <e v="#N/A"/>
  </r>
  <r>
    <x v="571"/>
    <x v="566"/>
    <s v="D'Arcy, Mark"/>
    <s v="Enterprise"/>
    <s v="Enterprise"/>
    <s v="N"/>
    <s v="Not Planned"/>
    <s v="Global"/>
    <s v="Global"/>
    <n v="0.63300000000000001"/>
    <m/>
    <m/>
    <s v="12/7"/>
    <s v="Technical Lead"/>
    <x v="571"/>
    <s v="Zhuo Chen"/>
    <s v="Bethany Rana"/>
    <n v="14"/>
    <m/>
    <s v="Not Planned"/>
    <n v="13"/>
    <x v="1"/>
    <n v="5"/>
    <m/>
    <s v="-"/>
    <s v="-"/>
    <s v=""/>
    <s v="Multiple Languages"/>
    <e v="#N/A"/>
  </r>
  <r>
    <x v="572"/>
    <x v="567"/>
    <s v="Kenneally, Niall"/>
    <s v="Enterprise"/>
    <s v="Enterprise"/>
    <s v="N"/>
    <s v="Not Planned"/>
    <s v="Global"/>
    <s v="Global"/>
    <n v="0.63300000000000001"/>
    <m/>
    <m/>
    <s v="12/7"/>
    <s v="Non-L1"/>
    <x v="572"/>
    <s v="Zhuo Chen"/>
    <s v=""/>
    <n v="14"/>
    <m/>
    <s v="Not Planned"/>
    <n v="13"/>
    <x v="1"/>
    <n v="41"/>
    <m/>
    <e v="#N/A"/>
    <e v="#N/A"/>
    <s v=""/>
    <s v="Multiple Languages"/>
    <e v="#N/A"/>
  </r>
  <r>
    <x v="573"/>
    <x v="568"/>
    <s v="Kenneally, Niall"/>
    <s v="Enterprise"/>
    <s v="Enterprise"/>
    <s v="N"/>
    <e v="#N/A"/>
    <s v="EMEA"/>
    <s v="Egypt"/>
    <n v="0.61699999999999999"/>
    <m/>
    <m/>
    <s v="12/7"/>
    <s v="Non-L1"/>
    <x v="573"/>
    <s v="Zhuo Chen"/>
    <s v="Miguel Galicia"/>
    <n v="14"/>
    <m/>
    <s v="Not Planned"/>
    <n v="13"/>
    <x v="0"/>
    <n v="0"/>
    <m/>
    <e v="#N/A"/>
    <e v="#N/A"/>
    <s v=""/>
    <s v="Multiple Languages"/>
    <e v="#N/A"/>
  </r>
  <r>
    <x v="574"/>
    <x v="569"/>
    <s v="Kenneally, Niall"/>
    <s v="Enterprise"/>
    <s v="Enterprise"/>
    <s v="N"/>
    <s v="Not Planned"/>
    <s v="Global"/>
    <s v="Global"/>
    <n v="0.63300000000000001"/>
    <m/>
    <m/>
    <s v="12/7"/>
    <s v="Quality Coach"/>
    <x v="574"/>
    <s v="Zhuo Chen"/>
    <s v="Miguel Galicia"/>
    <n v="14"/>
    <m/>
    <s v="Not Planned"/>
    <n v="13"/>
    <x v="1"/>
    <n v="16"/>
    <m/>
    <s v="-"/>
    <s v="-"/>
    <s v=""/>
    <s v="Multiple Languages"/>
    <e v="#N/A"/>
  </r>
  <r>
    <x v="575"/>
    <x v="570"/>
    <s v="Kenneally, Niall"/>
    <s v="Enterprise"/>
    <s v="Enterprise"/>
    <s v="N"/>
    <s v="Not Planned"/>
    <s v="NAMER"/>
    <s v="United States"/>
    <n v="0.64800000000000002"/>
    <m/>
    <m/>
    <s v="12/7"/>
    <s v="Technical Lead"/>
    <x v="575"/>
    <s v="Zhuo Chen"/>
    <s v="Miguel Galicia"/>
    <n v="14"/>
    <m/>
    <s v="Not Planned"/>
    <n v="13"/>
    <x v="1"/>
    <n v="6"/>
    <m/>
    <s v="-"/>
    <s v="-"/>
    <s v=""/>
    <s v="Multiple Languages"/>
    <e v="#N/A"/>
  </r>
  <r>
    <x v="576"/>
    <x v="571"/>
    <s v="Punch, Patrick"/>
    <s v="Enterprise"/>
    <s v="Enterprise"/>
    <s v="N"/>
    <e v="#N/A"/>
    <s v="LATAM"/>
    <s v="Brazil"/>
    <n v="0.57099999999999995"/>
    <m/>
    <m/>
    <s v="12/7"/>
    <s v="Manager"/>
    <x v="576"/>
    <s v="Zhuo Chen"/>
    <s v=""/>
    <n v="14"/>
    <m/>
    <s v="Not Planned"/>
    <m/>
    <x v="1"/>
    <n v="14"/>
    <m/>
    <e v="#N/A"/>
    <e v="#N/A"/>
    <m/>
    <s v="Multiple Languages"/>
    <e v="#N/A"/>
  </r>
  <r>
    <x v="577"/>
    <x v="572"/>
    <s v="Kenneally, Niall"/>
    <s v="Enterprise"/>
    <s v="Enterprise"/>
    <s v="N"/>
    <e v="#N/A"/>
    <s v="LATAM"/>
    <s v="Brazil"/>
    <n v="0.57099999999999995"/>
    <m/>
    <m/>
    <s v="12/7"/>
    <s v="Non-L1"/>
    <x v="577"/>
    <s v="Zhuo Chen"/>
    <s v=""/>
    <n v="14"/>
    <m/>
    <s v="Not Planned"/>
    <n v="13"/>
    <x v="1"/>
    <n v="2"/>
    <m/>
    <e v="#N/A"/>
    <e v="#N/A"/>
    <s v=""/>
    <s v="Multiple Languages"/>
    <e v="#N/A"/>
  </r>
  <r>
    <x v="578"/>
    <x v="573"/>
    <s v="D'Arcy, Mark"/>
    <s v="Enterprise"/>
    <s v="Enterprise"/>
    <s v="N"/>
    <s v="Not Planned"/>
    <s v="LATAM"/>
    <s v="Brazil"/>
    <n v="0.57099999999999995"/>
    <m/>
    <m/>
    <s v="12/7"/>
    <s v="Quality Coach"/>
    <x v="578"/>
    <s v="Zhuo Chen"/>
    <s v="Lucas Serafim"/>
    <n v="14"/>
    <m/>
    <s v="Not Planned"/>
    <n v="13"/>
    <x v="1"/>
    <n v="12"/>
    <m/>
    <s v="-"/>
    <s v="-"/>
    <s v=""/>
    <s v="Multiple Languages"/>
    <e v="#N/A"/>
  </r>
  <r>
    <x v="579"/>
    <x v="574"/>
    <s v="Yap, Diane"/>
    <s v="Enterprise"/>
    <s v="Enterprise"/>
    <s v="N"/>
    <e v="#N/A"/>
    <s v="Global"/>
    <s v="Global"/>
    <n v="0.63300000000000001"/>
    <m/>
    <m/>
    <s v="12/7"/>
    <s v="Manager"/>
    <x v="579"/>
    <s v="Zhuo Chen"/>
    <s v=""/>
    <n v="14"/>
    <m/>
    <s v="Not Planned"/>
    <m/>
    <x v="0"/>
    <n v="0"/>
    <m/>
    <e v="#N/A"/>
    <e v="#N/A"/>
    <m/>
    <s v="Multiple Languages"/>
    <e v="#N/A"/>
  </r>
  <r>
    <x v="580"/>
    <x v="575"/>
    <s v="D'Arcy, Mark"/>
    <s v="Enterprise"/>
    <s v="Enterprise"/>
    <s v="N"/>
    <s v="Not Planned"/>
    <s v="Global"/>
    <s v="Global"/>
    <n v="0.63300000000000001"/>
    <m/>
    <m/>
    <s v="12/7"/>
    <s v="Quality Coach"/>
    <x v="580"/>
    <s v="Zhuo Chen"/>
    <s v="Bethany Rana"/>
    <n v="14"/>
    <m/>
    <s v="Not Planned"/>
    <n v="13"/>
    <x v="1"/>
    <n v="22"/>
    <m/>
    <s v="-"/>
    <s v="-"/>
    <s v=""/>
    <s v="Multiple Languages"/>
    <e v="#N/A"/>
  </r>
  <r>
    <x v="581"/>
    <x v="576"/>
    <s v="Lind, Matt"/>
    <s v="Enterprise"/>
    <s v="Enterprise"/>
    <s v="N"/>
    <e v="#N/A"/>
    <s v="Global"/>
    <s v="Global"/>
    <n v="0.63300000000000001"/>
    <m/>
    <m/>
    <s v="12/7"/>
    <s v="Non-L1"/>
    <x v="581"/>
    <s v="Zhuo Chen"/>
    <s v=""/>
    <n v="14"/>
    <m/>
    <s v="Not Planned"/>
    <n v="13"/>
    <x v="1"/>
    <n v="112"/>
    <m/>
    <e v="#N/A"/>
    <e v="#N/A"/>
    <s v=""/>
    <s v="Multiple Languages"/>
    <e v="#N/A"/>
  </r>
  <r>
    <x v="582"/>
    <x v="577"/>
    <s v="No Assigned L6"/>
    <s v="Enterprise"/>
    <s v="Enterprise"/>
    <s v="N"/>
    <e v="#N/A"/>
    <s v="Global"/>
    <s v="Global"/>
    <n v="0.63300000000000001"/>
    <m/>
    <m/>
    <s v="12/7"/>
    <s v="Manager"/>
    <x v="582"/>
    <s v="Zhuo Chen"/>
    <s v=""/>
    <n v="14"/>
    <m/>
    <s v="Not Planned"/>
    <m/>
    <x v="1"/>
    <n v="9"/>
    <m/>
    <e v="#N/A"/>
    <e v="#N/A"/>
    <m/>
    <s v="Multiple Languages"/>
    <e v="#N/A"/>
  </r>
  <r>
    <x v="583"/>
    <x v="578"/>
    <s v="Carey, Geraldine"/>
    <s v="Enterprise"/>
    <s v="Enterprise"/>
    <s v="N"/>
    <e v="#N/A"/>
    <s v="Global"/>
    <s v="Global"/>
    <n v="0.63300000000000001"/>
    <m/>
    <m/>
    <s v="12/7"/>
    <s v="Non-L1"/>
    <x v="583"/>
    <s v="Zhuo Chen"/>
    <s v="Miguel Galicia"/>
    <n v="14"/>
    <m/>
    <s v="Not Planned"/>
    <n v="13"/>
    <x v="1"/>
    <n v="252"/>
    <m/>
    <e v="#N/A"/>
    <e v="#N/A"/>
    <s v=""/>
    <s v="Multiple Languages"/>
    <e v="#N/A"/>
  </r>
  <r>
    <x v="584"/>
    <x v="579"/>
    <s v="Copeland, Jessica"/>
    <s v="Enterprise"/>
    <s v="Enterprise"/>
    <s v="N"/>
    <s v="Not Planned"/>
    <s v="Global"/>
    <s v="Global"/>
    <n v="0.63300000000000001"/>
    <m/>
    <m/>
    <s v="12/7"/>
    <s v="Non-L1"/>
    <x v="584"/>
    <s v="Zhuo Chen"/>
    <s v="Miguel Galicia"/>
    <n v="14"/>
    <m/>
    <s v="Not Planned"/>
    <n v="13"/>
    <x v="1"/>
    <n v="49"/>
    <m/>
    <s v="-"/>
    <s v="-"/>
    <m/>
    <s v="Multiple Languages"/>
    <e v="#N/A"/>
  </r>
  <r>
    <x v="585"/>
    <x v="580"/>
    <s v="No Assigned L6"/>
    <s v="Enterprise"/>
    <s v="Enterprise"/>
    <s v="N"/>
    <e v="#N/A"/>
    <s v="Global"/>
    <s v="Global"/>
    <n v="0.63300000000000001"/>
    <m/>
    <m/>
    <s v="12/7"/>
    <m/>
    <x v="585"/>
    <s v="Zhuo Chen"/>
    <s v=""/>
    <n v="14"/>
    <m/>
    <s v="Not Planned"/>
    <m/>
    <x v="1"/>
    <n v="8"/>
    <m/>
    <e v="#N/A"/>
    <e v="#N/A"/>
    <m/>
    <s v="Multiple Languages"/>
    <e v="#N/A"/>
  </r>
  <r>
    <x v="586"/>
    <x v="581"/>
    <s v="D'Arcy, Mark"/>
    <s v="Enterprise"/>
    <s v="Enterprise"/>
    <s v="N"/>
    <s v="Not Planned"/>
    <s v="EMEA"/>
    <s v="Egypt"/>
    <n v="0.61699999999999999"/>
    <m/>
    <m/>
    <s v="12/7"/>
    <s v="Quality Coach"/>
    <x v="586"/>
    <s v="Zhuo Chen"/>
    <s v="Bethany Rana"/>
    <n v="14"/>
    <m/>
    <s v="Not Planned"/>
    <n v="13"/>
    <x v="1"/>
    <n v="11"/>
    <m/>
    <s v="-"/>
    <s v="-"/>
    <s v=""/>
    <s v="Multiple Languages"/>
    <e v="#N/A"/>
  </r>
  <r>
    <x v="587"/>
    <x v="582"/>
    <s v="Vega, Cyril"/>
    <s v="Server"/>
    <s v="Server"/>
    <s v="N"/>
    <e v="#N/A"/>
    <s v="Global"/>
    <s v="Global"/>
    <m/>
    <m/>
    <m/>
    <m/>
    <s v="Non-L1"/>
    <x v="587"/>
    <s v="Zhuo Chen"/>
    <s v="Bethany Rana"/>
    <m/>
    <m/>
    <s v="Not Planned"/>
    <m/>
    <x v="1"/>
    <n v="5"/>
    <m/>
    <e v="#N/A"/>
    <e v="#N/A"/>
    <s v=""/>
    <s v="English"/>
    <e v="#N/A"/>
  </r>
  <r>
    <x v="588"/>
    <x v="583"/>
    <s v="D'Arcy, Mark"/>
    <s v="DSE"/>
    <s v="High End Storage"/>
    <s v="Y"/>
    <s v="Backline"/>
    <s v="Global"/>
    <s v="Global"/>
    <n v="0.63300000000000001"/>
    <m/>
    <m/>
    <s v="12/7"/>
    <s v="Non-L1"/>
    <x v="588"/>
    <s v="Arpit Rathod - Dellteam"/>
    <s v="Bethany Rana"/>
    <n v="14"/>
    <m/>
    <s v="HES"/>
    <n v="13"/>
    <x v="1"/>
    <n v="22"/>
    <m/>
    <e v="#N/A"/>
    <e v="#N/A"/>
    <m/>
    <s v="English"/>
    <s v="Thakur, Jyoti - Dell Team"/>
  </r>
  <r>
    <x v="589"/>
    <x v="584"/>
    <s v="D'Arcy, Mark"/>
    <s v="Server"/>
    <s v="Server"/>
    <s v="N"/>
    <s v="Backline"/>
    <s v="NAMER"/>
    <s v="United States"/>
    <n v="0.64800000000000002"/>
    <n v="2.0441445869264104E-2"/>
    <m/>
    <s v="12/7"/>
    <s v="Non-L1"/>
    <x v="589"/>
    <s v="Zhuo Chen"/>
    <s v="Bethany Rana"/>
    <n v="6"/>
    <m/>
    <s v="Not Planned"/>
    <n v="13"/>
    <x v="1"/>
    <n v="5"/>
    <m/>
    <s v="-"/>
    <s v="-"/>
    <m/>
    <s v="English"/>
    <e v="#N/A"/>
  </r>
  <r>
    <x v="590"/>
    <x v="585"/>
    <s v="D'Arcy, Mark"/>
    <s v="Server"/>
    <s v="Server"/>
    <s v="N"/>
    <e v="#N/A"/>
    <s v="EMEA"/>
    <s v="EMEA"/>
    <m/>
    <m/>
    <m/>
    <m/>
    <s v="Quality Coach"/>
    <x v="590"/>
    <s v="Zhuo Chen"/>
    <s v="Bethany Rana"/>
    <n v="0"/>
    <m/>
    <s v="Not Planned"/>
    <n v="13"/>
    <x v="0"/>
    <n v="0"/>
    <m/>
    <s v="-"/>
    <s v="-"/>
    <s v=""/>
    <s v="Multiple Languages"/>
    <e v="#N/A"/>
  </r>
  <r>
    <x v="591"/>
    <x v="586"/>
    <s v="Brown, Dexter"/>
    <s v="RPS"/>
    <s v="Server"/>
    <s v="N"/>
    <e v="#N/A"/>
    <s v="Global"/>
    <s v="Global"/>
    <n v="0.63300000000000001"/>
    <m/>
    <m/>
    <s v="12/7"/>
    <s v="Manager"/>
    <x v="591"/>
    <s v="Zhuo Chen"/>
    <s v="Miguel Galicia"/>
    <n v="14"/>
    <m/>
    <s v="Not Planned"/>
    <m/>
    <x v="1"/>
    <n v="12"/>
    <m/>
    <e v="#N/A"/>
    <e v="#N/A"/>
    <m/>
    <s v="English"/>
    <e v="#N/A"/>
  </r>
  <r>
    <x v="592"/>
    <x v="587"/>
    <s v="Brown, Dexter"/>
    <s v="VCF"/>
    <s v="VCF"/>
    <s v="N"/>
    <s v="Backline"/>
    <s v="Global"/>
    <m/>
    <n v="0.63300000000000001"/>
    <m/>
    <m/>
    <m/>
    <s v="L1"/>
    <x v="592"/>
    <s v="Douglas Lumb"/>
    <s v="StephenRaj  Kumar"/>
    <n v="0"/>
    <m/>
    <s v="Not Planned"/>
    <n v="13"/>
    <x v="1"/>
    <n v="50"/>
    <m/>
    <s v="-"/>
    <s v="-"/>
    <s v=""/>
    <s v="Multiple Languages"/>
    <e v="#N/A"/>
  </r>
  <r>
    <x v="593"/>
    <x v="588"/>
    <s v="Brown, Dexter"/>
    <s v="VCF"/>
    <s v="VCF"/>
    <s v="N"/>
    <e v="#N/A"/>
    <s v="Global"/>
    <m/>
    <n v="0.63300000000000001"/>
    <m/>
    <m/>
    <m/>
    <s v="Non-L1"/>
    <x v="593"/>
    <s v="Douglas Lumb"/>
    <s v="StephenRaj  Kumar"/>
    <n v="0"/>
    <m/>
    <s v="Not Planned"/>
    <n v="13"/>
    <x v="1"/>
    <n v="7"/>
    <m/>
    <e v="#N/A"/>
    <e v="#N/A"/>
    <s v=""/>
    <s v="Multiple Languages"/>
    <e v="#N/A"/>
  </r>
  <r>
    <x v="594"/>
    <x v="589"/>
    <s v="Copeland, Jessica"/>
    <m/>
    <s v="Wipro"/>
    <s v="N"/>
    <s v="Not Planned"/>
    <s v="APJ"/>
    <s v="India"/>
    <n v="0.629"/>
    <m/>
    <m/>
    <e v="#N/A"/>
    <m/>
    <x v="594"/>
    <s v="Swathypriyal S"/>
    <s v=""/>
    <m/>
    <m/>
    <s v="Not Planned"/>
    <n v="13"/>
    <x v="1"/>
    <n v="666.66666666666663"/>
    <m/>
    <e v="#N/A"/>
    <e v="#N/A"/>
    <m/>
    <s v="English"/>
    <e v="#N/A"/>
  </r>
  <r>
    <x v="595"/>
    <x v="590"/>
    <s v="Christmas, James"/>
    <s v="Server"/>
    <s v="Server"/>
    <s v="Y"/>
    <s v="Not Planned"/>
    <s v="APJ"/>
    <s v="China"/>
    <n v="0.629"/>
    <n v="2.278539874447803E-2"/>
    <m/>
    <s v="12/7"/>
    <m/>
    <x v="595"/>
    <s v="Swathypriyal S"/>
    <s v="Bethany Rana"/>
    <n v="14"/>
    <m/>
    <s v="OSP Forecast"/>
    <m/>
    <x v="1"/>
    <n v="1"/>
    <m/>
    <m/>
    <m/>
    <m/>
    <m/>
    <m/>
  </r>
  <r>
    <x v="596"/>
    <x v="591"/>
    <s v="No Assigned L6"/>
    <s v="Server"/>
    <s v="Server"/>
    <s v="Y"/>
    <s v="Not Planned"/>
    <s v="EMEA"/>
    <s v="Israel"/>
    <n v="0.61699999999999999"/>
    <m/>
    <m/>
    <s v="12/7"/>
    <m/>
    <x v="596"/>
    <s v="Swathypriyal S"/>
    <s v="Bethany Rana"/>
    <n v="14"/>
    <m/>
    <s v="OSP Forecast"/>
    <m/>
    <x v="1"/>
    <n v="0"/>
    <m/>
    <m/>
    <m/>
    <m/>
    <m/>
    <m/>
  </r>
  <r>
    <x v="597"/>
    <x v="592"/>
    <s v="Christmas, James"/>
    <s v="Server"/>
    <s v="Server"/>
    <s v="Y"/>
    <s v="Not Planned"/>
    <s v="EMEA"/>
    <s v="Israel"/>
    <n v="0.61699999999999999"/>
    <n v="3.8967379973253502E-2"/>
    <m/>
    <s v="12/7"/>
    <m/>
    <x v="597"/>
    <s v="Swathypriyal S"/>
    <s v="Bethany Rana"/>
    <n v="14"/>
    <m/>
    <s v="OSP Forecast"/>
    <m/>
    <x v="1"/>
    <n v="9"/>
    <m/>
    <m/>
    <m/>
    <m/>
    <m/>
    <m/>
  </r>
  <r>
    <x v="598"/>
    <x v="593"/>
    <s v="Christmas, James"/>
    <s v="Server"/>
    <s v="Server"/>
    <s v="Y"/>
    <s v="Not Planned"/>
    <s v="EMEA"/>
    <s v="Nordics"/>
    <n v="0.61699999999999999"/>
    <n v="3.8967379973253502E-2"/>
    <m/>
    <s v="12/7"/>
    <m/>
    <x v="598"/>
    <s v="Swathypriyal S"/>
    <s v="Bethany Rana"/>
    <n v="14"/>
    <m/>
    <s v="OSP Forecast"/>
    <m/>
    <x v="1"/>
    <n v="7"/>
    <m/>
    <m/>
    <m/>
    <m/>
    <m/>
    <m/>
  </r>
  <r>
    <x v="599"/>
    <x v="594"/>
    <s v="Yap, Diane"/>
    <s v="Server"/>
    <s v="Server"/>
    <s v="Y"/>
    <s v="Not Planned"/>
    <s v="APJ"/>
    <s v="China"/>
    <n v="0.629"/>
    <n v="2.278539874447803E-2"/>
    <m/>
    <s v="12/7"/>
    <m/>
    <x v="599"/>
    <s v="Swathypriyal S"/>
    <s v="Bethany Rana"/>
    <n v="14"/>
    <m/>
    <s v="OSP Forecast"/>
    <m/>
    <x v="1"/>
    <n v="3"/>
    <m/>
    <m/>
    <m/>
    <m/>
    <m/>
    <m/>
  </r>
  <r>
    <x v="600"/>
    <x v="595"/>
    <s v="Yap, Diane"/>
    <s v="Server"/>
    <s v="Server"/>
    <s v="Y"/>
    <s v="Not Planned"/>
    <s v="APJ"/>
    <s v="China"/>
    <m/>
    <m/>
    <m/>
    <m/>
    <m/>
    <x v="600"/>
    <s v="Swathypriyal S"/>
    <s v="Bethany Rana"/>
    <m/>
    <m/>
    <s v="OSP Forecast"/>
    <m/>
    <x v="1"/>
    <n v="0"/>
    <m/>
    <m/>
    <m/>
    <m/>
    <m/>
    <m/>
  </r>
  <r>
    <x v="601"/>
    <x v="596"/>
    <s v="Yap, Diane"/>
    <s v="Server"/>
    <s v="Server"/>
    <s v="Y"/>
    <s v="Not Planned"/>
    <s v="APJ"/>
    <s v="China"/>
    <m/>
    <m/>
    <m/>
    <m/>
    <m/>
    <x v="601"/>
    <s v="Swathypriyal S"/>
    <s v="Bethany Rana"/>
    <m/>
    <m/>
    <s v="OSP Forecast"/>
    <m/>
    <x v="1"/>
    <n v="0"/>
    <m/>
    <m/>
    <m/>
    <m/>
    <m/>
    <m/>
  </r>
  <r>
    <x v="602"/>
    <x v="597"/>
    <s v="Yap, Diane"/>
    <s v="Server"/>
    <s v="Server"/>
    <s v="Y"/>
    <s v="Not Planned"/>
    <s v="APJ"/>
    <s v="China"/>
    <n v="0.629"/>
    <n v="2.278539874447803E-2"/>
    <m/>
    <s v="12/7"/>
    <m/>
    <x v="602"/>
    <s v="Swathypriyal S"/>
    <s v="Bethany Rana"/>
    <n v="14"/>
    <m/>
    <s v="OSP Forecast"/>
    <m/>
    <x v="1"/>
    <n v="6"/>
    <m/>
    <m/>
    <m/>
    <m/>
    <m/>
    <m/>
  </r>
  <r>
    <x v="603"/>
    <x v="598"/>
    <s v="Yap, Diane"/>
    <s v="Server"/>
    <s v="Server"/>
    <s v="Y"/>
    <s v="Not Planned"/>
    <s v="APJ"/>
    <s v="China"/>
    <m/>
    <m/>
    <m/>
    <m/>
    <m/>
    <x v="603"/>
    <s v="Swathypriyal S"/>
    <s v="Bethany Rana"/>
    <m/>
    <m/>
    <s v="OSP Forecast"/>
    <m/>
    <x v="1"/>
    <n v="0"/>
    <m/>
    <m/>
    <m/>
    <m/>
    <m/>
    <m/>
  </r>
  <r>
    <x v="604"/>
    <x v="599"/>
    <s v="Yap, Diane"/>
    <s v="Midrange"/>
    <s v="Midrange"/>
    <s v="Y"/>
    <s v="Not Planned"/>
    <s v="APJ"/>
    <s v="China"/>
    <m/>
    <m/>
    <m/>
    <m/>
    <m/>
    <x v="604"/>
    <s v="Swathypriyal S"/>
    <s v="Bethany Rana"/>
    <m/>
    <m/>
    <s v="OSP Forecast"/>
    <m/>
    <x v="1"/>
    <n v="20"/>
    <m/>
    <m/>
    <m/>
    <m/>
    <m/>
    <m/>
  </r>
  <r>
    <x v="605"/>
    <x v="600"/>
    <s v="Copeland, Jessica"/>
    <s v="Server"/>
    <s v="Server"/>
    <s v="Y"/>
    <s v="Not Planned"/>
    <s v="NAMER"/>
    <s v="United States"/>
    <m/>
    <m/>
    <m/>
    <m/>
    <m/>
    <x v="605"/>
    <s v="Swathypriyal S"/>
    <s v="Bethany Rana"/>
    <m/>
    <m/>
    <s v="OSP Forecast"/>
    <m/>
    <x v="1"/>
    <n v="28.666666666666668"/>
    <m/>
    <m/>
    <m/>
    <m/>
    <m/>
    <m/>
  </r>
  <r>
    <x v="606"/>
    <x v="601"/>
    <s v="Copeland, Jessica"/>
    <s v="Server"/>
    <s v="Server"/>
    <s v="Y"/>
    <s v="Not Planned"/>
    <s v="APJ"/>
    <s v="India"/>
    <m/>
    <m/>
    <m/>
    <m/>
    <m/>
    <x v="606"/>
    <s v="Swathypriyal S"/>
    <s v="Bethany Rana"/>
    <m/>
    <m/>
    <s v="OSP Forecast"/>
    <m/>
    <x v="1"/>
    <n v="16.666666666666668"/>
    <m/>
    <m/>
    <m/>
    <m/>
    <m/>
    <m/>
  </r>
  <r>
    <x v="607"/>
    <x v="602"/>
    <s v="Copeland, Jessica"/>
    <s v="Server"/>
    <s v="Server"/>
    <s v="Y"/>
    <s v="Not Planned"/>
    <s v="APJ"/>
    <s v="South Asia"/>
    <m/>
    <m/>
    <m/>
    <m/>
    <m/>
    <x v="607"/>
    <s v="Swathypriyal S"/>
    <s v="Bethany Rana"/>
    <m/>
    <m/>
    <s v="OSP Forecast"/>
    <m/>
    <x v="1"/>
    <n v="0"/>
    <m/>
    <m/>
    <m/>
    <m/>
    <m/>
    <m/>
  </r>
  <r>
    <x v="608"/>
    <x v="603"/>
    <s v="Copeland, Jessica"/>
    <s v="Server"/>
    <s v="Server"/>
    <s v="Y"/>
    <s v="Not Planned"/>
    <s v="APJ"/>
    <s v="South Asia"/>
    <m/>
    <m/>
    <m/>
    <m/>
    <m/>
    <x v="608"/>
    <s v="Swathypriyal S"/>
    <s v="Bethany Rana"/>
    <m/>
    <m/>
    <s v="OSP Forecast"/>
    <m/>
    <x v="1"/>
    <n v="11"/>
    <m/>
    <m/>
    <m/>
    <m/>
    <m/>
    <m/>
  </r>
  <r>
    <x v="609"/>
    <x v="604"/>
    <s v="Copeland, Jessica"/>
    <s v="Server"/>
    <s v="Server"/>
    <s v="Y"/>
    <s v="Not Planned"/>
    <s v="NAMER"/>
    <s v="United States"/>
    <m/>
    <m/>
    <m/>
    <m/>
    <m/>
    <x v="609"/>
    <s v="Swathypriyal S"/>
    <s v="Bethany Rana"/>
    <m/>
    <m/>
    <s v="OSP Forecast"/>
    <m/>
    <x v="1"/>
    <n v="15"/>
    <m/>
    <m/>
    <m/>
    <m/>
    <m/>
    <m/>
  </r>
  <r>
    <x v="610"/>
    <x v="605"/>
    <s v="Copeland, Jessica"/>
    <s v="Server"/>
    <s v="Server"/>
    <s v="Y"/>
    <s v="Not Planned"/>
    <s v="EMEA"/>
    <s v="United Kingdom"/>
    <m/>
    <m/>
    <m/>
    <m/>
    <m/>
    <x v="610"/>
    <s v="Swathypriyal S"/>
    <s v="Bethany Rana"/>
    <m/>
    <m/>
    <s v="OSP Forecast"/>
    <m/>
    <x v="1"/>
    <n v="9.333333333333333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39FB7-CF21-4D41-A7A8-6971DB40B03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425" firstHeaderRow="1" firstDataRow="1" firstDataCol="5"/>
  <pivotFields count="24">
    <pivotField axis="axisRow" compact="0" outline="0" showAll="0" defaultSubtotal="0">
      <items count="5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</items>
    </pivotField>
    <pivotField axis="axisRow" compact="0" outline="0" showAll="0" defaultSubtotal="0">
      <items count="550">
        <item x="277"/>
        <item x="266"/>
        <item x="279"/>
        <item x="269"/>
        <item x="270"/>
        <item x="273"/>
        <item x="275"/>
        <item x="262"/>
        <item x="264"/>
        <item x="268"/>
        <item x="4"/>
        <item x="5"/>
        <item x="7"/>
        <item x="300"/>
        <item x="11"/>
        <item x="302"/>
        <item x="13"/>
        <item x="24"/>
        <item x="303"/>
        <item x="25"/>
        <item x="306"/>
        <item x="17"/>
        <item x="355"/>
        <item x="477"/>
        <item x="272"/>
        <item x="255"/>
        <item x="256"/>
        <item x="60"/>
        <item x="361"/>
        <item x="301"/>
        <item x="12"/>
        <item x="74"/>
        <item x="98"/>
        <item x="258"/>
        <item x="540"/>
        <item x="305"/>
        <item x="16"/>
        <item x="310"/>
        <item x="21"/>
        <item x="22"/>
        <item x="308"/>
        <item x="18"/>
        <item x="19"/>
        <item x="281"/>
        <item x="309"/>
        <item x="20"/>
        <item x="311"/>
        <item x="23"/>
        <item x="312"/>
        <item x="420"/>
        <item x="421"/>
        <item x="422"/>
        <item x="423"/>
        <item x="482"/>
        <item x="295"/>
        <item x="9"/>
        <item x="10"/>
        <item x="6"/>
        <item x="380"/>
        <item x="180"/>
        <item x="401"/>
        <item x="523"/>
        <item x="32"/>
        <item x="478"/>
        <item x="33"/>
        <item x="34"/>
        <item x="35"/>
        <item x="38"/>
        <item x="39"/>
        <item x="40"/>
        <item x="41"/>
        <item x="48"/>
        <item x="73"/>
        <item x="71"/>
        <item x="117"/>
        <item x="522"/>
        <item x="70"/>
        <item x="66"/>
        <item x="531"/>
        <item x="30"/>
        <item x="47"/>
        <item x="53"/>
        <item x="520"/>
        <item x="397"/>
        <item x="529"/>
        <item x="72"/>
        <item x="409"/>
        <item x="419"/>
        <item x="483"/>
        <item x="75"/>
        <item x="76"/>
        <item x="77"/>
        <item x="78"/>
        <item x="79"/>
        <item x="112"/>
        <item x="184"/>
        <item x="80"/>
        <item x="81"/>
        <item x="82"/>
        <item x="106"/>
        <item x="83"/>
        <item x="84"/>
        <item x="108"/>
        <item x="110"/>
        <item x="109"/>
        <item x="107"/>
        <item x="111"/>
        <item x="426"/>
        <item x="427"/>
        <item x="428"/>
        <item x="429"/>
        <item x="430"/>
        <item x="134"/>
        <item x="181"/>
        <item x="141"/>
        <item x="135"/>
        <item x="139"/>
        <item x="142"/>
        <item x="144"/>
        <item x="138"/>
        <item x="143"/>
        <item x="145"/>
        <item x="140"/>
        <item x="137"/>
        <item x="8"/>
        <item x="313"/>
        <item x="315"/>
        <item x="318"/>
        <item x="345"/>
        <item x="278"/>
        <item x="265"/>
        <item x="280"/>
        <item x="271"/>
        <item x="274"/>
        <item x="276"/>
        <item x="261"/>
        <item x="263"/>
        <item x="267"/>
        <item x="314"/>
        <item x="317"/>
        <item x="322"/>
        <item x="320"/>
        <item x="321"/>
        <item x="323"/>
        <item x="324"/>
        <item x="105"/>
        <item x="431"/>
        <item x="115"/>
        <item x="432"/>
        <item x="433"/>
        <item x="175"/>
        <item x="525"/>
        <item x="178"/>
        <item x="526"/>
        <item x="434"/>
        <item x="480"/>
        <item x="114"/>
        <item x="150"/>
        <item x="383"/>
        <item x="385"/>
        <item x="387"/>
        <item x="382"/>
        <item x="384"/>
        <item x="386"/>
        <item x="149"/>
        <item x="213"/>
        <item x="148"/>
        <item x="151"/>
        <item x="296"/>
        <item x="152"/>
        <item x="538"/>
        <item x="170"/>
        <item x="37"/>
        <item x="399"/>
        <item x="174"/>
        <item x="173"/>
        <item x="528"/>
        <item x="172"/>
        <item x="372"/>
        <item x="31"/>
        <item x="50"/>
        <item x="61"/>
        <item x="375"/>
        <item x="365"/>
        <item x="62"/>
        <item x="368"/>
        <item x="56"/>
        <item x="285"/>
        <item x="473"/>
        <item x="521"/>
        <item x="530"/>
        <item x="393"/>
        <item x="36"/>
        <item x="376"/>
        <item x="503"/>
        <item x="504"/>
        <item x="0"/>
        <item x="402"/>
        <item x="57"/>
        <item x="154"/>
        <item x="153"/>
        <item x="156"/>
        <item x="157"/>
        <item x="158"/>
        <item x="162"/>
        <item x="164"/>
        <item x="161"/>
        <item x="160"/>
        <item x="159"/>
        <item x="165"/>
        <item x="249"/>
        <item x="248"/>
        <item x="128"/>
        <item x="129"/>
        <item x="132"/>
        <item x="130"/>
        <item x="127"/>
        <item x="185"/>
        <item x="131"/>
        <item x="126"/>
        <item x="247"/>
        <item x="133"/>
        <item x="214"/>
        <item x="246"/>
        <item x="182"/>
        <item x="65"/>
        <item x="89"/>
        <item x="91"/>
        <item x="186"/>
        <item x="187"/>
        <item x="188"/>
        <item x="189"/>
        <item x="190"/>
        <item x="191"/>
        <item x="193"/>
        <item x="195"/>
        <item x="210"/>
        <item x="196"/>
        <item x="197"/>
        <item x="86"/>
        <item x="67"/>
        <item x="90"/>
        <item x="87"/>
        <item x="201"/>
        <item x="202"/>
        <item x="203"/>
        <item x="204"/>
        <item x="207"/>
        <item x="205"/>
        <item x="206"/>
        <item x="208"/>
        <item x="541"/>
        <item x="209"/>
        <item x="212"/>
        <item x="93"/>
        <item x="94"/>
        <item x="211"/>
        <item x="99"/>
        <item x="469"/>
        <item x="467"/>
        <item x="466"/>
        <item x="192"/>
        <item x="194"/>
        <item x="69"/>
        <item x="68"/>
        <item x="104"/>
        <item x="118"/>
        <item x="119"/>
        <item x="304"/>
        <item x="14"/>
        <item x="363"/>
        <item x="15"/>
        <item x="257"/>
        <item x="120"/>
        <item x="316"/>
        <item x="26"/>
        <item x="146"/>
        <item x="85"/>
        <item x="121"/>
        <item x="88"/>
        <item x="199"/>
        <item x="200"/>
        <item x="92"/>
        <item x="198"/>
        <item x="46"/>
        <item x="490"/>
        <item x="343"/>
        <item x="435"/>
        <item x="352"/>
        <item x="436"/>
        <item x="437"/>
        <item x="468"/>
        <item x="438"/>
        <item x="233"/>
        <item x="241"/>
        <item x="230"/>
        <item x="215"/>
        <item x="216"/>
        <item x="217"/>
        <item x="235"/>
        <item x="228"/>
        <item x="239"/>
        <item x="237"/>
        <item x="282"/>
        <item x="238"/>
        <item x="221"/>
        <item x="245"/>
        <item x="223"/>
        <item x="220"/>
        <item x="242"/>
        <item x="218"/>
        <item x="227"/>
        <item x="234"/>
        <item x="243"/>
        <item x="222"/>
        <item x="244"/>
        <item x="236"/>
        <item x="283"/>
        <item x="219"/>
        <item x="231"/>
        <item x="240"/>
        <item x="232"/>
        <item x="224"/>
        <item x="225"/>
        <item x="226"/>
        <item x="229"/>
        <item x="439"/>
        <item x="440"/>
        <item x="441"/>
        <item x="442"/>
        <item x="443"/>
        <item x="284"/>
        <item x="286"/>
        <item x="362"/>
        <item x="292"/>
        <item x="325"/>
        <item x="327"/>
        <item x="330"/>
        <item x="331"/>
        <item x="328"/>
        <item x="326"/>
        <item x="329"/>
        <item x="334"/>
        <item x="332"/>
        <item x="333"/>
        <item x="335"/>
        <item x="336"/>
        <item x="293"/>
        <item x="297"/>
        <item x="136"/>
        <item x="340"/>
        <item x="341"/>
        <item x="342"/>
        <item x="252"/>
        <item x="367"/>
        <item x="366"/>
        <item x="364"/>
        <item x="374"/>
        <item x="337"/>
        <item x="338"/>
        <item x="339"/>
        <item x="344"/>
        <item x="348"/>
        <item x="346"/>
        <item x="347"/>
        <item x="444"/>
        <item x="445"/>
        <item x="446"/>
        <item x="447"/>
        <item x="298"/>
        <item x="319"/>
        <item x="539"/>
        <item x="183"/>
        <item x="535"/>
        <item x="517"/>
        <item x="493"/>
        <item x="492"/>
        <item x="489"/>
        <item x="389"/>
        <item x="499"/>
        <item x="391"/>
        <item x="390"/>
        <item x="416"/>
        <item x="396"/>
        <item x="113"/>
        <item x="116"/>
        <item x="260"/>
        <item x="532"/>
        <item x="527"/>
        <item x="474"/>
        <item x="413"/>
        <item x="407"/>
        <item x="122"/>
        <item x="406"/>
        <item x="125"/>
        <item x="533"/>
        <item x="349"/>
        <item x="351"/>
        <item x="354"/>
        <item x="307"/>
        <item x="476"/>
        <item x="350"/>
        <item x="353"/>
        <item x="358"/>
        <item x="356"/>
        <item x="357"/>
        <item x="359"/>
        <item x="360"/>
        <item x="448"/>
        <item x="449"/>
        <item x="450"/>
        <item x="451"/>
        <item x="452"/>
        <item x="299"/>
        <item x="537"/>
        <item x="405"/>
        <item x="49"/>
        <item x="294"/>
        <item x="379"/>
        <item x="392"/>
        <item x="373"/>
        <item x="147"/>
        <item x="1"/>
        <item x="27"/>
        <item x="42"/>
        <item x="491"/>
        <item x="2"/>
        <item x="410"/>
        <item x="97"/>
        <item x="400"/>
        <item x="470"/>
        <item x="475"/>
        <item x="45"/>
        <item x="472"/>
        <item x="404"/>
        <item x="408"/>
        <item x="479"/>
        <item x="43"/>
        <item x="55"/>
        <item x="177"/>
        <item x="414"/>
        <item x="487"/>
        <item x="395"/>
        <item x="169"/>
        <item x="163"/>
        <item x="176"/>
        <item x="168"/>
        <item x="415"/>
        <item x="471"/>
        <item x="3"/>
        <item x="463"/>
        <item x="494"/>
        <item x="464"/>
        <item x="488"/>
        <item x="495"/>
        <item x="481"/>
        <item x="502"/>
        <item x="500"/>
        <item x="496"/>
        <item x="498"/>
        <item x="101"/>
        <item x="100"/>
        <item x="497"/>
        <item x="417"/>
        <item x="418"/>
        <item x="59"/>
        <item x="289"/>
        <item x="123"/>
        <item x="124"/>
        <item x="411"/>
        <item x="369"/>
        <item x="28"/>
        <item x="51"/>
        <item x="412"/>
        <item x="290"/>
        <item x="378"/>
        <item x="58"/>
        <item x="371"/>
        <item x="485"/>
        <item x="96"/>
        <item x="64"/>
        <item x="453"/>
        <item x="454"/>
        <item x="455"/>
        <item x="465"/>
        <item x="519"/>
        <item x="511"/>
        <item x="513"/>
        <item x="508"/>
        <item x="512"/>
        <item x="509"/>
        <item x="507"/>
        <item x="510"/>
        <item x="506"/>
        <item x="54"/>
        <item x="103"/>
        <item x="102"/>
        <item x="398"/>
        <item x="505"/>
        <item x="424"/>
        <item x="425"/>
        <item x="95"/>
        <item x="514"/>
        <item x="515"/>
        <item x="516"/>
        <item x="254"/>
        <item x="253"/>
        <item x="388"/>
        <item x="456"/>
        <item x="457"/>
        <item x="458"/>
        <item x="459"/>
        <item x="381"/>
        <item x="462"/>
        <item x="63"/>
        <item x="288"/>
        <item x="370"/>
        <item x="29"/>
        <item x="52"/>
        <item x="377"/>
        <item x="394"/>
        <item x="403"/>
        <item x="484"/>
        <item x="460"/>
        <item x="501"/>
        <item x="518"/>
        <item x="486"/>
        <item x="251"/>
        <item x="171"/>
        <item x="179"/>
        <item x="250"/>
        <item x="167"/>
        <item x="524"/>
        <item x="166"/>
        <item x="155"/>
        <item x="534"/>
        <item x="461"/>
        <item x="259"/>
        <item x="536"/>
        <item x="287"/>
        <item x="291"/>
        <item x="44"/>
        <item x="542"/>
        <item x="543"/>
        <item x="544"/>
        <item x="545"/>
        <item x="546"/>
        <item x="547"/>
        <item x="548"/>
        <item x="549"/>
      </items>
    </pivotField>
    <pivotField compact="0" outline="0" showAll="0"/>
    <pivotField axis="axisRow" compact="0" outline="0" showAll="0" defaultSubtotal="0">
      <items count="22">
        <item x="2"/>
        <item x="18"/>
        <item x="11"/>
        <item x="12"/>
        <item x="4"/>
        <item x="14"/>
        <item x="13"/>
        <item x="17"/>
        <item x="6"/>
        <item x="7"/>
        <item x="1"/>
        <item x="5"/>
        <item x="16"/>
        <item x="8"/>
        <item x="10"/>
        <item x="9"/>
        <item x="3"/>
        <item x="20"/>
        <item x="0"/>
        <item x="19"/>
        <item x="15"/>
        <item x="21"/>
      </items>
    </pivotField>
    <pivotField axis="axisRow" compact="0" outline="0" showAll="0" defaultSubtotal="0">
      <items count="53">
        <item x="4"/>
        <item x="16"/>
        <item x="6"/>
        <item x="26"/>
        <item x="19"/>
        <item x="31"/>
        <item x="49"/>
        <item x="32"/>
        <item x="7"/>
        <item x="24"/>
        <item x="30"/>
        <item x="8"/>
        <item x="41"/>
        <item x="33"/>
        <item x="34"/>
        <item x="46"/>
        <item x="45"/>
        <item x="15"/>
        <item x="25"/>
        <item x="0"/>
        <item x="3"/>
        <item x="22"/>
        <item x="9"/>
        <item x="10"/>
        <item x="5"/>
        <item x="42"/>
        <item x="2"/>
        <item x="11"/>
        <item x="1"/>
        <item x="35"/>
        <item x="39"/>
        <item x="36"/>
        <item x="44"/>
        <item x="37"/>
        <item x="17"/>
        <item x="38"/>
        <item x="50"/>
        <item x="47"/>
        <item x="18"/>
        <item x="12"/>
        <item x="13"/>
        <item x="27"/>
        <item x="14"/>
        <item x="48"/>
        <item x="51"/>
        <item x="43"/>
        <item x="21"/>
        <item x="20"/>
        <item x="23"/>
        <item x="40"/>
        <item x="29"/>
        <item x="28"/>
        <item x="52"/>
      </items>
    </pivotField>
    <pivotField axis="axisRow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3"/>
    <field x="4"/>
    <field x="0"/>
    <field x="1"/>
    <field x="5"/>
  </rowFields>
  <rowItems count="422">
    <i>
      <x/>
      <x/>
      <x v="6"/>
      <x v="57"/>
      <x v="1"/>
    </i>
    <i r="2">
      <x v="151"/>
      <x v="164"/>
      <x v="1"/>
    </i>
    <i r="2">
      <x v="508"/>
      <x v="524"/>
      <x v="1"/>
    </i>
    <i>
      <x v="3"/>
      <x v="48"/>
      <x v="78"/>
      <x v="91"/>
      <x v="1"/>
    </i>
    <i r="2">
      <x v="80"/>
      <x v="93"/>
      <x v="1"/>
    </i>
    <i r="2">
      <x v="81"/>
      <x v="96"/>
      <x v="1"/>
    </i>
    <i r="2">
      <x v="82"/>
      <x v="97"/>
      <x v="1"/>
    </i>
    <i r="2">
      <x v="83"/>
      <x v="98"/>
      <x v="1"/>
    </i>
    <i r="2">
      <x v="85"/>
      <x v="101"/>
      <x v="1"/>
    </i>
    <i r="2">
      <x v="107"/>
      <x v="99"/>
      <x v="1"/>
    </i>
    <i r="2">
      <x v="108"/>
      <x v="105"/>
      <x v="1"/>
    </i>
    <i r="2">
      <x v="114"/>
      <x v="384"/>
      <x v="1"/>
    </i>
    <i r="2">
      <x v="115"/>
      <x v="156"/>
      <x v="1"/>
    </i>
    <i r="2">
      <x v="116"/>
      <x v="147"/>
      <x v="1"/>
    </i>
    <i r="2">
      <x v="117"/>
      <x v="385"/>
      <x v="1"/>
    </i>
    <i r="2">
      <x v="186"/>
      <x v="95"/>
      <x v="1"/>
    </i>
    <i r="2">
      <x v="485"/>
      <x v="63"/>
      <x v="1"/>
    </i>
    <i r="2">
      <x v="524"/>
      <x v="374"/>
      <x v="1"/>
    </i>
    <i>
      <x v="4"/>
      <x v="2"/>
      <x v="11"/>
      <x v="14"/>
      <x v="1"/>
    </i>
    <i r="2">
      <x v="188"/>
      <x v="228"/>
      <x v="1"/>
    </i>
    <i r="2">
      <x v="237"/>
      <x v="293"/>
      <x v="1"/>
    </i>
    <i r="2">
      <x v="282"/>
      <x/>
      <x v="1"/>
    </i>
    <i r="2">
      <x v="283"/>
      <x v="129"/>
      <x v="1"/>
    </i>
    <i r="2">
      <x v="305"/>
      <x v="13"/>
      <x v="1"/>
    </i>
    <i r="2">
      <x v="318"/>
      <x v="125"/>
      <x v="1"/>
    </i>
    <i r="2">
      <x v="330"/>
      <x v="335"/>
      <x v="1"/>
    </i>
    <i r="2">
      <x v="342"/>
      <x v="358"/>
      <x v="1"/>
    </i>
    <i r="2">
      <x v="354"/>
      <x v="396"/>
      <x v="1"/>
    </i>
    <i r="1">
      <x v="7"/>
      <x v="189"/>
      <x v="229"/>
      <x v="1"/>
    </i>
    <i r="2">
      <x v="245"/>
      <x v="294"/>
      <x v="1"/>
    </i>
    <i r="1">
      <x v="11"/>
      <x v="13"/>
      <x v="16"/>
      <x v="1"/>
    </i>
    <i r="2">
      <x v="190"/>
      <x v="230"/>
      <x v="1"/>
    </i>
    <i r="2">
      <x v="239"/>
      <x v="299"/>
      <x v="1"/>
    </i>
    <i r="2">
      <x v="284"/>
      <x v="2"/>
      <x v="1"/>
    </i>
    <i r="2">
      <x v="285"/>
      <x v="131"/>
      <x v="1"/>
    </i>
    <i r="2">
      <x v="307"/>
      <x v="15"/>
      <x v="1"/>
    </i>
    <i r="2">
      <x v="320"/>
      <x v="126"/>
      <x v="1"/>
    </i>
    <i r="2">
      <x v="332"/>
      <x v="336"/>
      <x v="1"/>
    </i>
    <i r="2">
      <x v="343"/>
      <x v="359"/>
      <x v="1"/>
    </i>
    <i r="2">
      <x v="357"/>
      <x v="397"/>
      <x v="1"/>
    </i>
    <i r="1">
      <x v="13"/>
      <x v="191"/>
      <x v="231"/>
      <x v="1"/>
    </i>
    <i r="2">
      <x v="243"/>
      <x v="301"/>
      <x v="1"/>
    </i>
    <i r="2">
      <x v="344"/>
      <x v="360"/>
      <x v="1"/>
    </i>
    <i r="1">
      <x v="14"/>
      <x v="192"/>
      <x v="232"/>
      <x v="1"/>
    </i>
    <i r="1">
      <x v="17"/>
      <x v="25"/>
      <x v="19"/>
      <x v="1"/>
    </i>
    <i r="2">
      <x v="193"/>
      <x v="233"/>
      <x v="1"/>
    </i>
    <i r="2">
      <x v="308"/>
      <x v="18"/>
      <x v="1"/>
    </i>
    <i r="1">
      <x v="27"/>
      <x v="17"/>
      <x v="21"/>
      <x v="1"/>
    </i>
    <i r="2">
      <x v="195"/>
      <x v="234"/>
      <x v="1"/>
    </i>
    <i r="2">
      <x v="238"/>
      <x v="312"/>
      <x v="1"/>
    </i>
    <i r="2">
      <x v="278"/>
      <x v="5"/>
      <x v="1"/>
    </i>
    <i r="2">
      <x v="279"/>
      <x v="133"/>
      <x v="1"/>
    </i>
    <i r="2">
      <x v="311"/>
      <x v="20"/>
      <x v="1"/>
    </i>
    <i r="2">
      <x v="323"/>
      <x v="127"/>
      <x v="1"/>
    </i>
    <i r="2">
      <x v="335"/>
      <x v="337"/>
      <x v="1"/>
    </i>
    <i r="2">
      <x v="349"/>
      <x v="361"/>
      <x v="1"/>
    </i>
    <i r="2">
      <x v="360"/>
      <x v="398"/>
      <x v="1"/>
    </i>
    <i r="1">
      <x v="31"/>
      <x v="197"/>
      <x v="235"/>
      <x v="1"/>
    </i>
    <i r="2">
      <x v="483"/>
      <x v="400"/>
      <x v="1"/>
    </i>
    <i r="1">
      <x v="32"/>
      <x v="212"/>
      <x v="236"/>
      <x v="1"/>
    </i>
    <i r="1">
      <x v="33"/>
      <x v="198"/>
      <x v="237"/>
      <x v="1"/>
    </i>
    <i r="2">
      <x v="240"/>
      <x v="316"/>
      <x v="1"/>
    </i>
    <i r="1">
      <x v="35"/>
      <x v="199"/>
      <x v="238"/>
      <x v="1"/>
    </i>
    <i r="2">
      <x v="244"/>
      <x v="320"/>
      <x v="1"/>
    </i>
    <i r="1">
      <x v="43"/>
      <x v="287"/>
      <x v="303"/>
      <x v="1"/>
    </i>
    <i r="2">
      <x v="288"/>
      <x v="317"/>
      <x v="1"/>
    </i>
    <i>
      <x v="6"/>
      <x v="18"/>
      <x v="87"/>
      <x v="239"/>
      <x v="1"/>
    </i>
    <i r="2">
      <x v="249"/>
      <x v="306"/>
      <x v="1"/>
    </i>
    <i>
      <x v="8"/>
      <x v="1"/>
      <x v="26"/>
      <x v="275"/>
      <x v="1"/>
    </i>
    <i r="1">
      <x v="9"/>
      <x v="86"/>
      <x v="277"/>
      <x v="1"/>
    </i>
    <i r="2">
      <x v="119"/>
      <x v="266"/>
      <x v="1"/>
    </i>
    <i r="2">
      <x v="120"/>
      <x v="267"/>
      <x v="1"/>
    </i>
    <i r="2">
      <x v="121"/>
      <x v="273"/>
      <x v="1"/>
    </i>
    <i r="2">
      <x v="122"/>
      <x v="278"/>
      <x v="1"/>
    </i>
    <i r="1">
      <x v="22"/>
      <x v="14"/>
      <x v="269"/>
      <x v="1"/>
    </i>
    <i r="2">
      <x v="15"/>
      <x v="271"/>
      <x v="1"/>
    </i>
    <i r="2">
      <x v="46"/>
      <x v="284"/>
      <x v="1"/>
    </i>
    <i r="2">
      <x v="105"/>
      <x v="265"/>
      <x v="1"/>
    </i>
    <i r="2">
      <x v="147"/>
      <x v="276"/>
      <x v="1"/>
    </i>
    <i r="2">
      <x v="200"/>
      <x v="283"/>
      <x v="1"/>
    </i>
    <i r="2">
      <x v="227"/>
      <x v="307"/>
      <x v="1"/>
    </i>
    <i r="2">
      <x v="250"/>
      <x v="223"/>
      <x v="1"/>
    </i>
    <i r="2">
      <x v="252"/>
      <x v="211"/>
      <x v="1"/>
    </i>
    <i r="2">
      <x v="254"/>
      <x v="530"/>
      <x v="1"/>
    </i>
    <i r="2">
      <x v="257"/>
      <x v="506"/>
      <x v="1"/>
    </i>
    <i r="2">
      <x v="260"/>
      <x v="26"/>
      <x v="1"/>
    </i>
    <i r="2">
      <x v="261"/>
      <x v="272"/>
      <x v="1"/>
    </i>
    <i r="2">
      <x v="309"/>
      <x v="268"/>
      <x v="1"/>
    </i>
    <i r="2">
      <x v="321"/>
      <x v="274"/>
      <x v="1"/>
    </i>
    <i r="2">
      <x v="333"/>
      <x v="339"/>
      <x v="1"/>
    </i>
    <i r="2">
      <x v="348"/>
      <x v="286"/>
      <x v="1"/>
    </i>
    <i r="2">
      <x v="358"/>
      <x v="288"/>
      <x v="1"/>
    </i>
    <i r="2">
      <x v="370"/>
      <x v="270"/>
      <x v="1"/>
    </i>
    <i r="2">
      <x v="497"/>
      <x v="285"/>
      <x v="1"/>
    </i>
    <i r="2">
      <x v="540"/>
      <x v="395"/>
      <x v="1"/>
    </i>
    <i r="2">
      <x v="541"/>
      <x v="535"/>
      <x v="1"/>
    </i>
    <i r="1">
      <x v="30"/>
      <x v="201"/>
      <x v="280"/>
      <x v="1"/>
    </i>
    <i r="1">
      <x v="41"/>
      <x v="93"/>
      <x v="282"/>
      <x v="1"/>
    </i>
    <i r="1">
      <x v="49"/>
      <x v="202"/>
      <x v="281"/>
      <x v="1"/>
    </i>
    <i r="2">
      <x v="235"/>
      <x v="319"/>
      <x v="1"/>
    </i>
    <i>
      <x v="9"/>
      <x v="26"/>
      <x v="21"/>
      <x v="38"/>
      <x v="1"/>
    </i>
    <i r="2">
      <x v="22"/>
      <x v="39"/>
      <x v="1"/>
    </i>
    <i r="2">
      <x v="91"/>
      <x v="241"/>
      <x v="1"/>
    </i>
    <i r="2">
      <x v="209"/>
      <x v="247"/>
      <x v="1"/>
    </i>
    <i r="2">
      <x v="251"/>
      <x v="220"/>
      <x v="1"/>
    </i>
    <i r="2">
      <x v="253"/>
      <x v="210"/>
      <x v="1"/>
    </i>
    <i r="2">
      <x v="255"/>
      <x v="527"/>
      <x v="1"/>
    </i>
    <i r="2">
      <x v="256"/>
      <x v="353"/>
      <x v="1"/>
    </i>
    <i r="2">
      <x v="258"/>
      <x v="505"/>
      <x v="1"/>
    </i>
    <i r="2">
      <x v="259"/>
      <x v="25"/>
      <x v="1"/>
    </i>
    <i r="2">
      <x v="263"/>
      <x v="537"/>
      <x v="1"/>
    </i>
    <i r="2">
      <x v="315"/>
      <x v="37"/>
      <x v="1"/>
    </i>
    <i r="2">
      <x v="327"/>
      <x v="140"/>
      <x v="1"/>
    </i>
    <i r="2">
      <x v="339"/>
      <x v="342"/>
      <x v="1"/>
    </i>
    <i r="2">
      <x v="353"/>
      <x v="362"/>
      <x v="1"/>
    </i>
    <i r="2">
      <x v="364"/>
      <x v="403"/>
      <x v="1"/>
    </i>
    <i r="2">
      <x v="539"/>
      <x v="387"/>
      <x v="1"/>
    </i>
    <i r="2">
      <x v="542"/>
      <x v="373"/>
      <x v="1"/>
    </i>
    <i>
      <x v="10"/>
      <x v="28"/>
      <x v="1"/>
      <x v="422"/>
      <x v="1"/>
    </i>
    <i r="2">
      <x v="2"/>
      <x v="426"/>
      <x v="1"/>
    </i>
    <i r="2">
      <x v="27"/>
      <x v="423"/>
      <x v="1"/>
    </i>
    <i r="2">
      <x v="42"/>
      <x v="424"/>
      <x v="1"/>
    </i>
    <i r="2">
      <x v="49"/>
      <x v="416"/>
      <x v="1"/>
    </i>
    <i r="2">
      <x v="94"/>
      <x v="254"/>
      <x v="1"/>
    </i>
    <i r="2">
      <x v="130"/>
      <x v="213"/>
      <x v="1"/>
    </i>
    <i r="2">
      <x v="160"/>
      <x v="203"/>
      <x v="1"/>
    </i>
    <i r="2">
      <x v="173"/>
      <x v="528"/>
      <x v="1"/>
    </i>
    <i r="2">
      <x v="299"/>
      <x v="417"/>
      <x v="1"/>
    </i>
    <i r="2">
      <x v="380"/>
      <x v="420"/>
      <x v="1"/>
    </i>
    <i r="2">
      <x v="386"/>
      <x v="418"/>
      <x v="1"/>
    </i>
    <i r="2">
      <x v="399"/>
      <x v="419"/>
      <x v="1"/>
    </i>
    <i r="2">
      <x v="412"/>
      <x v="415"/>
      <x v="1"/>
    </i>
    <i r="2">
      <x v="417"/>
      <x v="427"/>
      <x v="1"/>
    </i>
    <i r="2">
      <x v="498"/>
      <x v="425"/>
      <x v="1"/>
    </i>
    <i r="2">
      <x v="502"/>
      <x v="454"/>
      <x v="1"/>
    </i>
    <i>
      <x v="11"/>
      <x v="3"/>
      <x v="88"/>
      <x v="242"/>
      <x v="1"/>
    </i>
    <i r="1">
      <x v="8"/>
      <x v="12"/>
      <x v="30"/>
      <x v="1"/>
    </i>
    <i r="2">
      <x v="203"/>
      <x v="243"/>
      <x v="1"/>
    </i>
    <i r="2">
      <x v="234"/>
      <x v="295"/>
      <x v="1"/>
    </i>
    <i r="2">
      <x v="269"/>
      <x v="130"/>
      <x v="1"/>
    </i>
    <i r="2">
      <x v="270"/>
      <x v="1"/>
      <x v="1"/>
    </i>
    <i r="2">
      <x v="306"/>
      <x v="29"/>
      <x v="1"/>
    </i>
    <i r="2">
      <x v="319"/>
      <x v="138"/>
      <x v="1"/>
    </i>
    <i r="2">
      <x v="331"/>
      <x v="340"/>
      <x v="1"/>
    </i>
    <i r="2">
      <x v="355"/>
      <x v="401"/>
      <x v="1"/>
    </i>
    <i r="2">
      <x v="356"/>
      <x v="401"/>
      <x v="1"/>
    </i>
    <i r="1">
      <x v="12"/>
      <x v="204"/>
      <x v="244"/>
      <x v="1"/>
    </i>
    <i r="2">
      <x v="232"/>
      <x v="300"/>
      <x v="1"/>
    </i>
    <i r="1">
      <x v="14"/>
      <x v="241"/>
      <x v="302"/>
      <x v="1"/>
    </i>
    <i r="1">
      <x v="17"/>
      <x v="242"/>
      <x v="304"/>
      <x v="1"/>
    </i>
    <i r="1">
      <x v="23"/>
      <x v="16"/>
      <x v="36"/>
      <x v="1"/>
    </i>
    <i r="2">
      <x v="205"/>
      <x v="245"/>
      <x v="1"/>
    </i>
    <i r="2">
      <x v="224"/>
      <x v="308"/>
      <x v="1"/>
    </i>
    <i r="2">
      <x v="273"/>
      <x v="3"/>
      <x v="1"/>
    </i>
    <i r="2">
      <x v="274"/>
      <x v="3"/>
      <x v="1"/>
    </i>
    <i r="2">
      <x v="310"/>
      <x v="35"/>
      <x v="1"/>
    </i>
    <i r="2">
      <x v="322"/>
      <x v="139"/>
      <x v="1"/>
    </i>
    <i r="2">
      <x v="334"/>
      <x v="341"/>
      <x v="1"/>
    </i>
    <i r="2">
      <x v="359"/>
      <x v="402"/>
      <x v="1"/>
    </i>
    <i r="1">
      <x v="25"/>
      <x v="206"/>
      <x v="246"/>
      <x v="1"/>
    </i>
    <i r="2">
      <x v="231"/>
      <x v="311"/>
      <x v="1"/>
    </i>
    <i r="1">
      <x v="39"/>
      <x v="18"/>
      <x v="41"/>
      <x v="1"/>
    </i>
    <i r="2">
      <x v="19"/>
      <x v="42"/>
      <x v="1"/>
    </i>
    <i r="2">
      <x v="207"/>
      <x v="248"/>
      <x v="1"/>
    </i>
    <i r="2">
      <x v="228"/>
      <x v="322"/>
      <x v="1"/>
    </i>
    <i r="2">
      <x v="265"/>
      <x v="135"/>
      <x v="1"/>
    </i>
    <i r="2">
      <x v="266"/>
      <x v="7"/>
      <x v="1"/>
    </i>
    <i r="2">
      <x v="267"/>
      <x v="136"/>
      <x v="1"/>
    </i>
    <i r="2">
      <x v="268"/>
      <x v="8"/>
      <x v="1"/>
    </i>
    <i r="2">
      <x v="286"/>
      <x v="43"/>
      <x v="1"/>
    </i>
    <i r="2">
      <x v="313"/>
      <x v="40"/>
      <x v="1"/>
    </i>
    <i r="2">
      <x v="325"/>
      <x v="141"/>
      <x v="1"/>
    </i>
    <i r="2">
      <x v="337"/>
      <x v="343"/>
      <x v="1"/>
    </i>
    <i r="2">
      <x v="351"/>
      <x v="363"/>
      <x v="1"/>
    </i>
    <i r="2">
      <x v="362"/>
      <x v="404"/>
      <x v="1"/>
    </i>
    <i r="1">
      <x v="40"/>
      <x v="20"/>
      <x v="45"/>
      <x v="1"/>
    </i>
    <i r="2">
      <x v="208"/>
      <x v="249"/>
      <x v="1"/>
    </i>
    <i r="2">
      <x v="229"/>
      <x v="323"/>
      <x v="1"/>
    </i>
    <i r="2">
      <x v="314"/>
      <x v="44"/>
      <x v="1"/>
    </i>
    <i r="2">
      <x v="326"/>
      <x v="142"/>
      <x v="1"/>
    </i>
    <i r="2">
      <x v="338"/>
      <x v="344"/>
      <x v="1"/>
    </i>
    <i r="2">
      <x v="352"/>
      <x v="364"/>
      <x v="1"/>
    </i>
    <i r="2">
      <x v="363"/>
      <x v="405"/>
      <x v="1"/>
    </i>
    <i r="1">
      <x v="42"/>
      <x v="23"/>
      <x v="47"/>
      <x v="1"/>
    </i>
    <i r="2">
      <x v="210"/>
      <x v="250"/>
      <x v="1"/>
    </i>
    <i r="2">
      <x v="230"/>
      <x v="324"/>
      <x v="1"/>
    </i>
    <i r="2">
      <x v="316"/>
      <x v="46"/>
      <x v="1"/>
    </i>
    <i r="2">
      <x v="328"/>
      <x v="143"/>
      <x v="1"/>
    </i>
    <i r="2">
      <x v="340"/>
      <x v="345"/>
      <x v="1"/>
    </i>
    <i r="2">
      <x v="365"/>
      <x v="406"/>
      <x v="1"/>
    </i>
    <i r="2">
      <x v="366"/>
      <x v="406"/>
      <x v="1"/>
    </i>
    <i r="1">
      <x v="45"/>
      <x v="211"/>
      <x v="252"/>
      <x v="1"/>
    </i>
    <i r="2">
      <x v="233"/>
      <x v="325"/>
      <x v="1"/>
    </i>
    <i r="2">
      <x v="271"/>
      <x v="137"/>
      <x v="1"/>
    </i>
    <i r="2">
      <x v="272"/>
      <x v="9"/>
      <x v="1"/>
    </i>
    <i r="2">
      <x v="317"/>
      <x v="48"/>
      <x v="1"/>
    </i>
    <i r="2">
      <x v="329"/>
      <x v="144"/>
      <x v="1"/>
    </i>
    <i r="2">
      <x v="341"/>
      <x v="346"/>
      <x v="1"/>
    </i>
    <i r="2">
      <x v="367"/>
      <x v="407"/>
      <x v="1"/>
    </i>
    <i>
      <x v="12"/>
      <x v="50"/>
      <x v="101"/>
      <x v="461"/>
      <x v="1"/>
    </i>
    <i>
      <x v="13"/>
      <x v="19"/>
      <x v="34"/>
      <x v="65"/>
      <x v="1"/>
    </i>
    <i r="1">
      <x v="34"/>
      <x v="28"/>
      <x v="471"/>
      <x v="1"/>
    </i>
    <i r="2">
      <x v="31"/>
      <x v="179"/>
      <x v="1"/>
    </i>
    <i r="2">
      <x v="32"/>
      <x v="62"/>
      <x v="1"/>
    </i>
    <i r="2">
      <x v="35"/>
      <x v="66"/>
      <x v="1"/>
    </i>
    <i r="2">
      <x v="36"/>
      <x v="192"/>
      <x v="1"/>
    </i>
    <i r="2">
      <x v="37"/>
      <x v="172"/>
      <x v="1"/>
    </i>
    <i r="2">
      <x v="38"/>
      <x v="67"/>
      <x v="1"/>
    </i>
    <i r="2">
      <x v="40"/>
      <x v="69"/>
      <x v="1"/>
    </i>
    <i r="2">
      <x v="48"/>
      <x v="71"/>
      <x v="1"/>
    </i>
    <i r="2">
      <x v="50"/>
      <x v="180"/>
      <x v="1"/>
    </i>
    <i r="2">
      <x v="56"/>
      <x v="186"/>
      <x v="1"/>
    </i>
    <i r="2">
      <x v="59"/>
      <x v="465"/>
      <x v="1"/>
    </i>
    <i r="2">
      <x v="61"/>
      <x v="181"/>
      <x v="1"/>
    </i>
    <i r="2">
      <x v="64"/>
      <x v="480"/>
      <x v="1"/>
    </i>
    <i r="2">
      <x v="90"/>
      <x v="226"/>
      <x v="1"/>
    </i>
    <i r="2">
      <x v="92"/>
      <x v="227"/>
      <x v="1"/>
    </i>
    <i r="2">
      <x v="127"/>
      <x v="219"/>
      <x v="1"/>
    </i>
    <i r="2">
      <x v="128"/>
      <x v="216"/>
      <x v="1"/>
    </i>
    <i r="2">
      <x v="129"/>
      <x v="212"/>
      <x v="1"/>
    </i>
    <i r="2">
      <x v="131"/>
      <x v="215"/>
      <x v="1"/>
    </i>
    <i r="2">
      <x v="132"/>
      <x v="218"/>
      <x v="1"/>
    </i>
    <i r="2">
      <x v="133"/>
      <x v="214"/>
      <x v="1"/>
    </i>
    <i r="2">
      <x v="135"/>
      <x v="112"/>
      <x v="1"/>
    </i>
    <i r="2">
      <x v="136"/>
      <x v="115"/>
      <x v="1"/>
    </i>
    <i r="2">
      <x v="138"/>
      <x v="123"/>
      <x v="1"/>
    </i>
    <i r="2">
      <x v="139"/>
      <x v="119"/>
      <x v="1"/>
    </i>
    <i r="2">
      <x v="140"/>
      <x v="116"/>
      <x v="1"/>
    </i>
    <i r="2">
      <x v="141"/>
      <x v="122"/>
      <x v="1"/>
    </i>
    <i r="2">
      <x v="142"/>
      <x v="114"/>
      <x v="1"/>
    </i>
    <i r="2">
      <x v="143"/>
      <x v="117"/>
      <x v="1"/>
    </i>
    <i r="2">
      <x v="144"/>
      <x v="120"/>
      <x v="1"/>
    </i>
    <i r="2">
      <x v="145"/>
      <x v="118"/>
      <x v="1"/>
    </i>
    <i r="2">
      <x v="156"/>
      <x v="199"/>
      <x v="1"/>
    </i>
    <i r="2">
      <x v="158"/>
      <x v="201"/>
      <x v="1"/>
    </i>
    <i r="2">
      <x v="159"/>
      <x v="202"/>
      <x v="1"/>
    </i>
    <i r="2">
      <x v="161"/>
      <x v="208"/>
      <x v="1"/>
    </i>
    <i r="2">
      <x v="162"/>
      <x v="207"/>
      <x v="1"/>
    </i>
    <i r="2">
      <x v="163"/>
      <x v="206"/>
      <x v="1"/>
    </i>
    <i r="2">
      <x v="164"/>
      <x v="204"/>
      <x v="1"/>
    </i>
    <i r="2">
      <x v="169"/>
      <x v="531"/>
      <x v="1"/>
    </i>
    <i r="2">
      <x v="172"/>
      <x v="171"/>
      <x v="1"/>
    </i>
    <i r="2">
      <x v="174"/>
      <x v="177"/>
      <x v="1"/>
    </i>
    <i r="2">
      <x v="175"/>
      <x v="175"/>
      <x v="1"/>
    </i>
    <i r="2">
      <x v="176"/>
      <x v="174"/>
      <x v="1"/>
    </i>
    <i r="2">
      <x v="217"/>
      <x v="222"/>
      <x v="1"/>
    </i>
    <i r="2">
      <x v="290"/>
      <x v="187"/>
      <x v="1"/>
    </i>
    <i r="2">
      <x v="294"/>
      <x v="466"/>
      <x v="1"/>
    </i>
    <i r="2">
      <x v="295"/>
      <x v="474"/>
      <x v="1"/>
    </i>
    <i r="2">
      <x v="345"/>
      <x v="350"/>
      <x v="1"/>
    </i>
    <i r="2">
      <x v="346"/>
      <x v="351"/>
      <x v="1"/>
    </i>
    <i r="2">
      <x v="376"/>
      <x v="470"/>
      <x v="1"/>
    </i>
    <i r="2">
      <x v="378"/>
      <x v="477"/>
      <x v="1"/>
    </i>
    <i r="2">
      <x v="382"/>
      <x v="182"/>
      <x v="1"/>
    </i>
    <i r="2">
      <x v="385"/>
      <x v="475"/>
      <x v="1"/>
    </i>
    <i r="2">
      <x v="398"/>
      <x v="380"/>
      <x v="1"/>
    </i>
    <i r="2">
      <x v="406"/>
      <x v="173"/>
      <x v="1"/>
    </i>
    <i r="2">
      <x v="407"/>
      <x v="429"/>
      <x v="1"/>
    </i>
    <i r="2">
      <x v="408"/>
      <x v="60"/>
      <x v="1"/>
    </i>
    <i r="2">
      <x v="409"/>
      <x v="197"/>
      <x v="1"/>
    </i>
    <i r="2">
      <x v="411"/>
      <x v="434"/>
      <x v="1"/>
    </i>
    <i r="2">
      <x v="413"/>
      <x v="393"/>
      <x v="1"/>
    </i>
    <i r="2">
      <x v="414"/>
      <x v="391"/>
      <x v="1"/>
    </i>
    <i r="2">
      <x v="415"/>
      <x v="435"/>
      <x v="1"/>
    </i>
    <i r="2">
      <x v="419"/>
      <x v="473"/>
      <x v="1"/>
    </i>
    <i r="2">
      <x v="422"/>
      <x v="447"/>
      <x v="1"/>
    </i>
    <i r="2">
      <x v="423"/>
      <x v="382"/>
      <x v="1"/>
    </i>
    <i r="2">
      <x v="424"/>
      <x v="463"/>
      <x v="1"/>
    </i>
    <i r="2">
      <x v="425"/>
      <x v="464"/>
      <x v="1"/>
    </i>
    <i r="2">
      <x v="426"/>
      <x v="87"/>
      <x v="1"/>
    </i>
    <i r="2">
      <x v="478"/>
      <x v="448"/>
      <x v="1"/>
    </i>
    <i r="2">
      <x v="479"/>
      <x v="433"/>
      <x v="1"/>
    </i>
    <i r="2">
      <x v="480"/>
      <x v="188"/>
      <x v="1"/>
    </i>
    <i r="2">
      <x v="488"/>
      <x v="455"/>
      <x v="1"/>
    </i>
    <i r="2">
      <x v="499"/>
      <x v="376"/>
      <x v="1"/>
    </i>
    <i r="2">
      <x v="500"/>
      <x v="375"/>
      <x v="1"/>
    </i>
    <i r="2">
      <x v="509"/>
      <x v="456"/>
      <x v="1"/>
    </i>
    <i r="2">
      <x v="510"/>
      <x v="194"/>
      <x v="1"/>
    </i>
    <i r="2">
      <x v="521"/>
      <x v="502"/>
      <x v="1"/>
    </i>
    <i r="2">
      <x v="522"/>
      <x v="503"/>
      <x v="1"/>
    </i>
    <i r="2">
      <x v="528"/>
      <x v="189"/>
      <x v="1"/>
    </i>
    <i r="2">
      <x v="530"/>
      <x v="61"/>
      <x v="1"/>
    </i>
    <i r="2">
      <x v="535"/>
      <x v="176"/>
      <x v="1"/>
    </i>
    <i r="2">
      <x v="537"/>
      <x v="190"/>
      <x v="1"/>
    </i>
    <i r="2">
      <x v="549"/>
      <x v="542"/>
      <x v="1"/>
    </i>
    <i r="2">
      <x v="550"/>
      <x v="543"/>
      <x v="1"/>
    </i>
    <i r="2">
      <x v="551"/>
      <x v="544"/>
      <x v="1"/>
    </i>
    <i r="2">
      <x v="552"/>
      <x v="545"/>
      <x v="1"/>
    </i>
    <i r="2">
      <x v="553"/>
      <x v="546"/>
      <x v="1"/>
    </i>
    <i r="2">
      <x v="555"/>
      <x v="548"/>
      <x v="1"/>
    </i>
    <i r="2">
      <x v="556"/>
      <x v="549"/>
      <x v="1"/>
    </i>
    <i>
      <x v="15"/>
      <x v="38"/>
      <x v="29"/>
      <x v="517"/>
      <x v="1"/>
    </i>
    <i r="2">
      <x v="33"/>
      <x v="64"/>
      <x v="1"/>
    </i>
    <i r="2">
      <x v="39"/>
      <x v="68"/>
      <x v="1"/>
    </i>
    <i r="2">
      <x v="41"/>
      <x v="70"/>
      <x v="1"/>
    </i>
    <i r="2">
      <x v="52"/>
      <x v="518"/>
      <x v="1"/>
    </i>
    <i r="2">
      <x v="63"/>
      <x v="514"/>
      <x v="1"/>
    </i>
    <i r="2">
      <x v="134"/>
      <x v="221"/>
      <x v="1"/>
    </i>
    <i r="2">
      <x v="146"/>
      <x v="121"/>
      <x v="1"/>
    </i>
    <i r="2">
      <x v="157"/>
      <x v="534"/>
      <x v="1"/>
    </i>
    <i r="2">
      <x v="165"/>
      <x v="444"/>
      <x v="1"/>
    </i>
    <i r="2">
      <x v="166"/>
      <x v="205"/>
      <x v="1"/>
    </i>
    <i r="2">
      <x v="167"/>
      <x v="209"/>
      <x v="1"/>
    </i>
    <i r="2">
      <x v="170"/>
      <x v="446"/>
      <x v="1"/>
    </i>
    <i r="2">
      <x v="171"/>
      <x v="443"/>
      <x v="1"/>
    </i>
    <i r="2">
      <x v="178"/>
      <x v="445"/>
      <x v="1"/>
    </i>
    <i r="2">
      <x v="180"/>
      <x v="152"/>
      <x v="1"/>
    </i>
    <i r="2">
      <x v="181"/>
      <x v="529"/>
      <x v="1"/>
    </i>
    <i r="2">
      <x v="187"/>
      <x v="217"/>
      <x v="1"/>
    </i>
    <i r="2">
      <x v="213"/>
      <x v="256"/>
      <x v="1"/>
    </i>
    <i r="2">
      <x v="214"/>
      <x v="256"/>
      <x v="1"/>
    </i>
    <i r="2">
      <x v="293"/>
      <x v="515"/>
      <x v="1"/>
    </i>
    <i r="2">
      <x v="377"/>
      <x v="516"/>
      <x v="1"/>
    </i>
    <i r="2">
      <x v="384"/>
      <x v="519"/>
      <x v="1"/>
    </i>
    <i r="2">
      <x v="401"/>
      <x v="520"/>
      <x v="1"/>
    </i>
    <i r="2">
      <x v="410"/>
      <x v="521"/>
      <x v="1"/>
    </i>
    <i r="2">
      <x v="416"/>
      <x v="86"/>
      <x v="1"/>
    </i>
    <i r="2">
      <x v="420"/>
      <x v="390"/>
      <x v="1"/>
    </i>
    <i r="2">
      <x v="486"/>
      <x v="436"/>
      <x v="1"/>
    </i>
    <i r="2">
      <x v="491"/>
      <x v="522"/>
      <x v="1"/>
    </i>
    <i r="2">
      <x v="506"/>
      <x v="379"/>
      <x v="1"/>
    </i>
    <i r="2">
      <x v="532"/>
      <x v="151"/>
      <x v="1"/>
    </i>
    <i r="2">
      <x v="533"/>
      <x v="153"/>
      <x v="1"/>
    </i>
    <i>
      <x v="16"/>
      <x v="24"/>
      <x v="9"/>
      <x v="55"/>
      <x v="1"/>
    </i>
    <i r="2">
      <x v="10"/>
      <x v="56"/>
      <x v="1"/>
    </i>
    <i r="2">
      <x v="106"/>
      <x v="145"/>
      <x v="1"/>
    </i>
    <i r="2">
      <x v="194"/>
      <x v="261"/>
      <x v="1"/>
    </i>
    <i r="2">
      <x v="222"/>
      <x v="310"/>
      <x v="1"/>
    </i>
    <i r="2">
      <x v="246"/>
      <x v="309"/>
      <x v="1"/>
    </i>
    <i r="2">
      <x v="264"/>
      <x v="386"/>
      <x v="1"/>
    </i>
    <i r="2">
      <x v="275"/>
      <x v="4"/>
      <x v="1"/>
    </i>
    <i r="2">
      <x v="276"/>
      <x v="132"/>
      <x v="1"/>
    </i>
    <i r="2">
      <x v="300"/>
      <x v="54"/>
      <x v="1"/>
    </i>
    <i r="2">
      <x v="301"/>
      <x v="168"/>
      <x v="1"/>
    </i>
    <i r="2">
      <x v="302"/>
      <x v="348"/>
      <x v="1"/>
    </i>
    <i r="2">
      <x v="303"/>
      <x v="369"/>
      <x v="1"/>
    </i>
    <i r="2">
      <x v="304"/>
      <x v="413"/>
      <x v="1"/>
    </i>
    <i r="1">
      <x v="29"/>
      <x v="196"/>
      <x v="262"/>
      <x v="1"/>
    </i>
    <i r="2">
      <x v="247"/>
      <x v="313"/>
      <x v="1"/>
    </i>
    <i r="2">
      <x v="280"/>
      <x v="6"/>
      <x v="1"/>
    </i>
    <i r="2">
      <x v="281"/>
      <x v="134"/>
      <x v="1"/>
    </i>
    <i r="2">
      <x v="312"/>
      <x v="399"/>
      <x v="1"/>
    </i>
    <i r="2">
      <x v="324"/>
      <x v="370"/>
      <x v="1"/>
    </i>
    <i r="2">
      <x v="336"/>
      <x v="338"/>
      <x v="1"/>
    </i>
    <i r="2">
      <x v="350"/>
      <x v="128"/>
      <x v="1"/>
    </i>
    <i r="2">
      <x v="361"/>
      <x v="22"/>
      <x v="1"/>
    </i>
    <i>
      <x v="18"/>
      <x v="19"/>
      <x/>
      <x v="196"/>
      <x v="1"/>
    </i>
    <i r="2">
      <x v="150"/>
      <x v="166"/>
      <x v="1"/>
    </i>
    <i r="2">
      <x v="155"/>
      <x v="200"/>
      <x v="1"/>
    </i>
    <i r="2">
      <x v="388"/>
      <x v="512"/>
      <x v="1"/>
    </i>
    <i r="2">
      <x v="489"/>
      <x v="53"/>
      <x v="1"/>
    </i>
    <i r="2">
      <x v="495"/>
      <x v="453"/>
      <x v="1"/>
    </i>
    <i r="2">
      <x v="501"/>
      <x v="451"/>
      <x v="1"/>
    </i>
    <i r="2">
      <x v="507"/>
      <x v="457"/>
      <x v="1"/>
    </i>
    <i r="2">
      <x v="526"/>
      <x v="485"/>
      <x v="1"/>
    </i>
    <i r="1">
      <x v="20"/>
      <x v="5"/>
      <x v="11"/>
      <x v="1"/>
    </i>
    <i r="1">
      <x v="22"/>
      <x v="118"/>
      <x v="74"/>
      <x v="1"/>
    </i>
    <i r="2">
      <x v="381"/>
      <x v="357"/>
      <x v="1"/>
    </i>
    <i r="2">
      <x v="397"/>
      <x v="381"/>
      <x v="1"/>
    </i>
    <i r="1">
      <x v="24"/>
      <x v="277"/>
      <x v="24"/>
      <x v="1"/>
    </i>
    <i r="1">
      <x v="26"/>
      <x v="4"/>
      <x v="10"/>
      <x v="1"/>
    </i>
    <i r="2">
      <x v="45"/>
      <x v="432"/>
      <x v="1"/>
    </i>
    <i r="2">
      <x v="72"/>
      <x v="73"/>
      <x v="1"/>
    </i>
    <i r="2">
      <x v="291"/>
      <x v="332"/>
      <x v="1"/>
    </i>
    <i r="2">
      <x v="371"/>
      <x v="356"/>
      <x v="1"/>
    </i>
    <i r="2">
      <x v="496"/>
      <x v="377"/>
      <x v="1"/>
    </i>
    <i r="1">
      <x v="28"/>
      <x v="374"/>
      <x v="354"/>
      <x v="1"/>
    </i>
    <i r="1">
      <x v="34"/>
      <x v="62"/>
      <x v="184"/>
      <x v="1"/>
    </i>
    <i r="2">
      <x v="372"/>
      <x v="183"/>
      <x v="1"/>
    </i>
    <i r="2">
      <x v="373"/>
      <x v="355"/>
      <x v="1"/>
    </i>
    <i r="2">
      <x v="375"/>
      <x v="185"/>
      <x v="1"/>
    </i>
    <i r="2">
      <x v="383"/>
      <x v="193"/>
      <x v="1"/>
    </i>
    <i r="2">
      <x v="492"/>
      <x v="478"/>
      <x v="1"/>
    </i>
    <i r="2">
      <x v="511"/>
      <x v="195"/>
      <x v="1"/>
    </i>
    <i r="1">
      <x v="36"/>
      <x v="396"/>
      <x v="378"/>
      <x v="1"/>
    </i>
    <i r="1">
      <x v="37"/>
      <x v="236"/>
      <x v="321"/>
      <x v="1"/>
    </i>
    <i r="1">
      <x v="38"/>
      <x v="369"/>
      <x v="333"/>
      <x v="1"/>
    </i>
    <i r="1">
      <x v="43"/>
      <x v="548"/>
      <x v="251"/>
      <x v="1"/>
    </i>
    <i r="1">
      <x v="47"/>
      <x v="51"/>
      <x v="472"/>
      <x v="1"/>
    </i>
    <i r="2">
      <x v="53"/>
      <x v="81"/>
      <x v="1"/>
    </i>
    <i r="2">
      <x v="57"/>
      <x v="198"/>
      <x v="1"/>
    </i>
    <i r="2">
      <x v="58"/>
      <x v="476"/>
      <x v="1"/>
    </i>
    <i r="2">
      <x v="65"/>
      <x v="225"/>
      <x v="1"/>
    </i>
    <i r="2">
      <x v="67"/>
      <x v="240"/>
      <x v="1"/>
    </i>
    <i r="2">
      <x v="68"/>
      <x v="225"/>
      <x v="1"/>
    </i>
    <i r="2">
      <x v="69"/>
      <x v="264"/>
      <x v="1"/>
    </i>
    <i r="2">
      <x v="70"/>
      <x v="263"/>
      <x v="1"/>
    </i>
    <i r="2">
      <x v="71"/>
      <x v="76"/>
      <x v="1"/>
    </i>
    <i r="2">
      <x v="74"/>
      <x v="72"/>
      <x v="1"/>
    </i>
    <i r="2">
      <x v="98"/>
      <x v="428"/>
      <x v="1"/>
    </i>
    <i r="2">
      <x v="123"/>
      <x v="392"/>
      <x v="1"/>
    </i>
    <i r="2">
      <x v="124"/>
      <x v="467"/>
      <x v="1"/>
    </i>
    <i r="2">
      <x v="125"/>
      <x v="468"/>
      <x v="1"/>
    </i>
    <i r="2">
      <x v="126"/>
      <x v="394"/>
      <x v="1"/>
    </i>
    <i r="2">
      <x v="289"/>
      <x v="331"/>
      <x v="1"/>
    </i>
    <i r="2">
      <x v="292"/>
      <x v="539"/>
      <x v="1"/>
    </i>
    <i r="2">
      <x v="297"/>
      <x v="334"/>
      <x v="1"/>
    </i>
    <i r="2">
      <x v="298"/>
      <x v="347"/>
      <x v="1"/>
    </i>
    <i r="2">
      <x v="368"/>
      <x v="28"/>
      <x v="1"/>
    </i>
    <i r="2">
      <x v="379"/>
      <x v="178"/>
      <x v="1"/>
    </i>
    <i r="2">
      <x v="400"/>
      <x v="191"/>
      <x v="1"/>
    </i>
    <i r="2">
      <x v="403"/>
      <x v="383"/>
      <x v="1"/>
    </i>
    <i r="2">
      <x v="404"/>
      <x v="83"/>
      <x v="1"/>
    </i>
    <i r="2">
      <x v="481"/>
      <x v="389"/>
      <x v="1"/>
    </i>
    <i r="2">
      <x v="490"/>
      <x v="88"/>
      <x v="1"/>
    </i>
    <i r="2">
      <x v="494"/>
      <x v="441"/>
      <x v="1"/>
    </i>
    <i r="2">
      <x v="525"/>
      <x v="525"/>
      <x v="1"/>
    </i>
    <i r="2">
      <x v="531"/>
      <x v="532"/>
      <x v="1"/>
    </i>
    <i r="2">
      <x v="538"/>
      <x v="78"/>
      <x v="1"/>
    </i>
    <i>
      <x v="19"/>
      <x/>
      <x v="389"/>
      <x v="161"/>
      <x v="1"/>
    </i>
    <i r="2">
      <x v="390"/>
      <x v="158"/>
      <x v="1"/>
    </i>
    <i r="2">
      <x v="391"/>
      <x v="162"/>
      <x v="1"/>
    </i>
    <i r="2">
      <x v="392"/>
      <x v="159"/>
      <x v="1"/>
    </i>
    <i r="2">
      <x v="393"/>
      <x v="163"/>
      <x v="1"/>
    </i>
    <i r="2">
      <x v="394"/>
      <x v="160"/>
      <x v="1"/>
    </i>
    <i>
      <x v="20"/>
      <x v="51"/>
      <x v="99"/>
      <x v="32"/>
      <x v="1"/>
    </i>
    <i r="2">
      <x v="215"/>
      <x v="253"/>
      <x v="1"/>
    </i>
    <i r="2">
      <x v="218"/>
      <x v="296"/>
      <x v="1"/>
    </i>
    <i r="2">
      <x v="219"/>
      <x v="297"/>
      <x v="1"/>
    </i>
    <i r="2">
      <x v="262"/>
      <x v="33"/>
      <x v="1"/>
    </i>
    <i r="2">
      <x v="395"/>
      <x v="507"/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261F7-1FF9-406B-98BD-6C02E13258F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6" firstHeaderRow="1" firstDataRow="1" firstDataCol="1"/>
  <pivotFields count="29">
    <pivotField showAll="0"/>
    <pivotField dataField="1" showAll="0">
      <items count="607">
        <item x="214"/>
        <item x="202"/>
        <item x="216"/>
        <item x="206"/>
        <item x="210"/>
        <item x="212"/>
        <item x="207"/>
        <item x="198"/>
        <item x="200"/>
        <item x="204"/>
        <item x="152"/>
        <item x="153"/>
        <item x="295"/>
        <item x="524"/>
        <item x="461"/>
        <item x="525"/>
        <item x="463"/>
        <item x="387"/>
        <item x="261"/>
        <item x="291"/>
        <item x="526"/>
        <item x="467"/>
        <item x="353"/>
        <item x="194"/>
        <item x="209"/>
        <item x="195"/>
        <item x="536"/>
        <item x="40"/>
        <item x="269"/>
        <item x="462"/>
        <item x="476"/>
        <item x="404"/>
        <item x="407"/>
        <item x="270"/>
        <item x="466"/>
        <item x="273"/>
        <item x="471"/>
        <item x="472"/>
        <item x="271"/>
        <item x="468"/>
        <item x="469"/>
        <item x="516"/>
        <item x="272"/>
        <item x="470"/>
        <item x="274"/>
        <item x="473"/>
        <item x="527"/>
        <item x="554"/>
        <item x="555"/>
        <item x="53"/>
        <item x="556"/>
        <item x="354"/>
        <item x="237"/>
        <item x="292"/>
        <item x="459"/>
        <item x="460"/>
        <item x="13"/>
        <item x="394"/>
        <item x="552"/>
        <item x="329"/>
        <item x="396"/>
        <item x="85"/>
        <item x="391"/>
        <item x="119"/>
        <item x="4"/>
        <item x="115"/>
        <item x="14"/>
        <item x="116"/>
        <item x="117"/>
        <item x="118"/>
        <item x="137"/>
        <item x="8"/>
        <item x="595"/>
        <item x="537"/>
        <item x="596"/>
        <item x="9"/>
        <item x="7"/>
        <item x="597"/>
        <item x="598"/>
        <item x="594"/>
        <item x="590"/>
        <item x="256"/>
        <item x="417"/>
        <item x="599"/>
        <item x="155"/>
        <item x="158"/>
        <item x="369"/>
        <item x="428"/>
        <item x="303"/>
        <item x="372"/>
        <item x="297"/>
        <item x="300"/>
        <item x="301"/>
        <item x="368"/>
        <item x="331"/>
        <item x="371"/>
        <item x="538"/>
        <item x="145"/>
        <item x="89"/>
        <item x="90"/>
        <item x="55"/>
        <item x="304"/>
        <item x="539"/>
        <item x="377"/>
        <item x="305"/>
        <item x="99"/>
        <item x="108"/>
        <item x="397"/>
        <item x="378"/>
        <item x="100"/>
        <item x="21"/>
        <item x="102"/>
        <item x="306"/>
        <item x="101"/>
        <item x="104"/>
        <item x="106"/>
        <item x="105"/>
        <item x="103"/>
        <item x="107"/>
        <item x="425"/>
        <item x="558"/>
        <item x="559"/>
        <item x="335"/>
        <item x="560"/>
        <item x="561"/>
        <item x="109"/>
        <item x="543"/>
        <item x="546"/>
        <item x="69"/>
        <item x="414"/>
        <item x="429"/>
        <item x="430"/>
        <item x="70"/>
        <item x="126"/>
        <item x="592"/>
        <item x="431"/>
        <item x="140"/>
        <item x="125"/>
        <item x="420"/>
        <item x="591"/>
        <item x="296"/>
        <item x="528"/>
        <item x="529"/>
        <item x="530"/>
        <item x="215"/>
        <item x="201"/>
        <item x="217"/>
        <item x="205"/>
        <item x="211"/>
        <item x="213"/>
        <item x="208"/>
        <item x="197"/>
        <item x="199"/>
        <item x="203"/>
        <item x="275"/>
        <item x="276"/>
        <item x="279"/>
        <item x="277"/>
        <item x="278"/>
        <item x="280"/>
        <item x="281"/>
        <item x="562"/>
        <item x="123"/>
        <item x="336"/>
        <item x="337"/>
        <item x="157"/>
        <item x="318"/>
        <item x="147"/>
        <item x="35"/>
        <item x="148"/>
        <item x="563"/>
        <item x="585"/>
        <item x="122"/>
        <item x="64"/>
        <item x="315"/>
        <item x="79"/>
        <item x="81"/>
        <item x="83"/>
        <item x="437"/>
        <item x="78"/>
        <item x="80"/>
        <item x="82"/>
        <item x="438"/>
        <item x="379"/>
        <item x="380"/>
        <item x="312"/>
        <item x="314"/>
        <item x="316"/>
        <item x="236"/>
        <item x="522"/>
        <item x="317"/>
        <item x="393"/>
        <item x="73"/>
        <item x="422"/>
        <item x="451"/>
        <item x="129"/>
        <item x="75"/>
        <item x="136"/>
        <item x="34"/>
        <item x="46"/>
        <item x="94"/>
        <item x="15"/>
        <item x="42"/>
        <item x="19"/>
        <item x="45"/>
        <item x="440"/>
        <item x="113"/>
        <item x="457"/>
        <item x="458"/>
        <item x="49"/>
        <item x="47"/>
        <item x="91"/>
        <item x="62"/>
        <item x="10"/>
        <item x="50"/>
        <item x="17"/>
        <item x="25"/>
        <item x="24"/>
        <item x="71"/>
        <item x="72"/>
        <item x="432"/>
        <item x="28"/>
        <item x="30"/>
        <item x="128"/>
        <item x="127"/>
        <item x="27"/>
        <item x="433"/>
        <item x="188"/>
        <item x="187"/>
        <item x="68"/>
        <item x="67"/>
        <item x="426"/>
        <item x="376"/>
        <item x="66"/>
        <item x="36"/>
        <item x="23"/>
        <item x="186"/>
        <item x="427"/>
        <item x="551"/>
        <item x="185"/>
        <item x="549"/>
        <item x="547"/>
        <item x="6"/>
        <item x="400"/>
        <item x="550"/>
        <item x="434"/>
        <item x="477"/>
        <item x="375"/>
        <item x="496"/>
        <item x="483"/>
        <item x="497"/>
        <item x="487"/>
        <item x="259"/>
        <item x="488"/>
        <item x="489"/>
        <item x="159"/>
        <item x="490"/>
        <item x="492"/>
        <item x="494"/>
        <item x="503"/>
        <item x="495"/>
        <item x="260"/>
        <item x="403"/>
        <item x="399"/>
        <item x="478"/>
        <item x="582"/>
        <item x="540"/>
        <item x="498"/>
        <item x="267"/>
        <item x="474"/>
        <item x="506"/>
        <item x="589"/>
        <item x="268"/>
        <item x="439"/>
        <item x="507"/>
        <item x="499"/>
        <item x="435"/>
        <item x="479"/>
        <item x="413"/>
        <item x="307"/>
        <item x="583"/>
        <item x="410"/>
        <item x="409"/>
        <item x="405"/>
        <item x="406"/>
        <item x="436"/>
        <item x="310"/>
        <item x="504"/>
        <item x="505"/>
        <item x="500"/>
        <item x="484"/>
        <item x="485"/>
        <item x="501"/>
        <item x="534"/>
        <item x="351"/>
        <item x="350"/>
        <item x="493"/>
        <item x="491"/>
        <item x="402"/>
        <item x="401"/>
        <item x="502"/>
        <item x="486"/>
        <item x="481"/>
        <item x="248"/>
        <item x="482"/>
        <item x="0"/>
        <item x="1"/>
        <item x="252"/>
        <item x="464"/>
        <item x="255"/>
        <item x="465"/>
        <item x="508"/>
        <item x="2"/>
        <item x="253"/>
        <item x="290"/>
        <item x="249"/>
        <item x="156"/>
        <item x="3"/>
        <item x="541"/>
        <item x="160"/>
        <item x="251"/>
        <item x="247"/>
        <item x="250"/>
        <item x="226"/>
        <item x="475"/>
        <item x="535"/>
        <item x="235"/>
        <item x="564"/>
        <item x="254"/>
        <item x="565"/>
        <item x="338"/>
        <item x="581"/>
        <item x="566"/>
        <item x="173"/>
        <item x="181"/>
        <item x="170"/>
        <item x="161"/>
        <item x="320"/>
        <item x="321"/>
        <item x="175"/>
        <item x="168"/>
        <item x="179"/>
        <item x="177"/>
        <item x="178"/>
        <item x="218"/>
        <item x="323"/>
        <item x="184"/>
        <item x="163"/>
        <item x="167"/>
        <item x="174"/>
        <item x="183"/>
        <item x="37"/>
        <item x="182"/>
        <item x="162"/>
        <item x="324"/>
        <item x="176"/>
        <item x="219"/>
        <item x="322"/>
        <item x="171"/>
        <item x="180"/>
        <item x="172"/>
        <item x="165"/>
        <item x="164"/>
        <item x="166"/>
        <item x="169"/>
        <item x="567"/>
        <item x="568"/>
        <item x="339"/>
        <item x="569"/>
        <item x="570"/>
        <item x="38"/>
        <item x="220"/>
        <item x="41"/>
        <item x="327"/>
        <item x="223"/>
        <item x="225"/>
        <item x="228"/>
        <item x="224"/>
        <item x="227"/>
        <item x="231"/>
        <item x="230"/>
        <item x="232"/>
        <item x="233"/>
        <item x="328"/>
        <item x="229"/>
        <item x="221"/>
        <item x="311"/>
        <item x="76"/>
        <item x="77"/>
        <item x="384"/>
        <item x="191"/>
        <item x="44"/>
        <item x="43"/>
        <item x="238"/>
        <item x="239"/>
        <item x="149"/>
        <item x="150"/>
        <item x="151"/>
        <item x="448"/>
        <item x="449"/>
        <item x="411"/>
        <item x="453"/>
        <item x="518"/>
        <item x="513"/>
        <item x="424"/>
        <item x="450"/>
        <item x="514"/>
        <item x="515"/>
        <item x="264"/>
        <item x="265"/>
        <item x="234"/>
        <item x="266"/>
        <item x="520"/>
        <item x="521"/>
        <item x="258"/>
        <item x="257"/>
        <item x="282"/>
        <item x="571"/>
        <item x="418"/>
        <item x="419"/>
        <item x="509"/>
        <item x="510"/>
        <item x="423"/>
        <item x="454"/>
        <item x="572"/>
        <item x="340"/>
        <item x="519"/>
        <item x="517"/>
        <item x="511"/>
        <item x="512"/>
        <item x="573"/>
        <item x="412"/>
        <item x="456"/>
        <item x="263"/>
        <item x="262"/>
        <item x="374"/>
        <item x="544"/>
        <item x="548"/>
        <item x="408"/>
        <item x="246"/>
        <item x="121"/>
        <item x="59"/>
        <item x="58"/>
        <item x="5"/>
        <item x="242"/>
        <item x="240"/>
        <item x="120"/>
        <item x="241"/>
        <item x="131"/>
        <item x="580"/>
        <item x="553"/>
        <item x="84"/>
        <item x="65"/>
        <item x="124"/>
        <item x="243"/>
        <item x="370"/>
        <item x="196"/>
        <item x="352"/>
        <item x="146"/>
        <item x="52"/>
        <item x="600"/>
        <item x="51"/>
        <item x="604"/>
        <item x="244"/>
        <item x="531"/>
        <item x="532"/>
        <item x="533"/>
        <item x="283"/>
        <item x="284"/>
        <item x="287"/>
        <item x="285"/>
        <item x="286"/>
        <item x="288"/>
        <item x="289"/>
        <item x="574"/>
        <item x="342"/>
        <item x="575"/>
        <item x="388"/>
        <item x="222"/>
        <item x="523"/>
        <item x="392"/>
        <item x="341"/>
        <item x="111"/>
        <item x="95"/>
        <item x="443"/>
        <item x="110"/>
        <item x="447"/>
        <item x="313"/>
        <item x="11"/>
        <item x="92"/>
        <item x="12"/>
        <item x="87"/>
        <item x="22"/>
        <item x="593"/>
        <item x="381"/>
        <item x="154"/>
        <item x="133"/>
        <item x="86"/>
        <item x="112"/>
        <item x="54"/>
        <item x="298"/>
        <item x="302"/>
        <item x="319"/>
        <item x="333"/>
        <item x="57"/>
        <item x="330"/>
        <item x="33"/>
        <item x="29"/>
        <item x="141"/>
        <item x="32"/>
        <item x="452"/>
        <item x="584"/>
        <item x="294"/>
        <item x="299"/>
        <item x="347"/>
        <item x="357"/>
        <item x="348"/>
        <item x="356"/>
        <item x="455"/>
        <item x="60"/>
        <item x="586"/>
        <item x="358"/>
        <item x="542"/>
        <item x="480"/>
        <item x="390"/>
        <item x="132"/>
        <item x="88"/>
        <item x="545"/>
        <item x="415"/>
        <item x="416"/>
        <item x="421"/>
        <item x="97"/>
        <item x="602"/>
        <item x="39"/>
        <item x="601"/>
        <item x="603"/>
        <item x="332"/>
        <item x="444"/>
        <item x="93"/>
        <item x="16"/>
        <item x="130"/>
        <item x="442"/>
        <item x="18"/>
        <item x="446"/>
        <item x="56"/>
        <item x="309"/>
        <item x="343"/>
        <item x="576"/>
        <item x="344"/>
        <item x="349"/>
        <item x="114"/>
        <item x="364"/>
        <item x="366"/>
        <item x="361"/>
        <item x="365"/>
        <item x="362"/>
        <item x="360"/>
        <item x="363"/>
        <item x="359"/>
        <item x="293"/>
        <item x="383"/>
        <item x="382"/>
        <item x="385"/>
        <item x="386"/>
        <item x="334"/>
        <item x="557"/>
        <item x="308"/>
        <item x="134"/>
        <item x="135"/>
        <item x="367"/>
        <item x="193"/>
        <item x="192"/>
        <item x="577"/>
        <item x="578"/>
        <item x="579"/>
        <item x="389"/>
        <item x="48"/>
        <item x="346"/>
        <item x="98"/>
        <item x="441"/>
        <item x="445"/>
        <item x="139"/>
        <item x="96"/>
        <item x="143"/>
        <item x="144"/>
        <item x="138"/>
        <item x="345"/>
        <item x="61"/>
        <item x="63"/>
        <item x="355"/>
        <item x="190"/>
        <item x="74"/>
        <item x="142"/>
        <item x="189"/>
        <item x="31"/>
        <item x="605"/>
        <item x="395"/>
        <item x="26"/>
        <item x="587"/>
        <item x="588"/>
        <item x="245"/>
        <item x="398"/>
        <item x="373"/>
        <item x="325"/>
        <item x="326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12">
        <item x="10"/>
        <item x="11"/>
        <item x="12"/>
        <item x="298"/>
        <item x="152"/>
        <item x="153"/>
        <item x="13"/>
        <item x="299"/>
        <item x="300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392"/>
        <item x="295"/>
        <item x="294"/>
        <item x="92"/>
        <item x="93"/>
        <item x="139"/>
        <item x="301"/>
        <item x="94"/>
        <item x="416"/>
        <item x="479"/>
        <item x="115"/>
        <item x="14"/>
        <item x="417"/>
        <item x="4"/>
        <item x="5"/>
        <item x="418"/>
        <item x="64"/>
        <item x="419"/>
        <item x="420"/>
        <item x="421"/>
        <item x="422"/>
        <item x="7"/>
        <item x="423"/>
        <item x="424"/>
        <item x="425"/>
        <item x="426"/>
        <item x="599"/>
        <item x="600"/>
        <item x="601"/>
        <item x="427"/>
        <item x="116"/>
        <item x="117"/>
        <item x="118"/>
        <item x="137"/>
        <item x="428"/>
        <item x="302"/>
        <item x="303"/>
        <item x="154"/>
        <item x="480"/>
        <item x="429"/>
        <item x="304"/>
        <item x="595"/>
        <item x="95"/>
        <item x="15"/>
        <item x="16"/>
        <item x="96"/>
        <item x="305"/>
        <item x="297"/>
        <item x="306"/>
        <item x="8"/>
        <item x="17"/>
        <item x="18"/>
        <item x="97"/>
        <item x="541"/>
        <item x="542"/>
        <item x="602"/>
        <item x="603"/>
        <item x="19"/>
        <item x="98"/>
        <item x="9"/>
        <item x="20"/>
        <item x="307"/>
        <item x="404"/>
        <item x="405"/>
        <item x="406"/>
        <item x="407"/>
        <item x="308"/>
        <item x="155"/>
        <item x="543"/>
        <item x="258"/>
        <item x="604"/>
        <item x="481"/>
        <item x="309"/>
        <item x="544"/>
        <item x="382"/>
        <item x="310"/>
        <item x="99"/>
        <item x="383"/>
        <item x="100"/>
        <item x="21"/>
        <item x="311"/>
        <item x="101"/>
        <item x="156"/>
        <item x="408"/>
        <item x="545"/>
        <item x="546"/>
        <item x="482"/>
        <item x="483"/>
        <item x="380"/>
        <item x="249"/>
        <item x="484"/>
        <item x="312"/>
        <item x="313"/>
        <item x="314"/>
        <item x="22"/>
        <item x="409"/>
        <item x="315"/>
        <item x="485"/>
        <item x="547"/>
        <item x="387"/>
        <item x="388"/>
        <item x="250"/>
        <item x="157"/>
        <item x="102"/>
        <item x="103"/>
        <item x="104"/>
        <item x="105"/>
        <item x="106"/>
        <item x="107"/>
        <item x="108"/>
        <item x="65"/>
        <item x="122"/>
        <item x="123"/>
        <item x="124"/>
        <item x="158"/>
        <item x="0"/>
        <item x="1"/>
        <item x="2"/>
        <item x="3"/>
        <item x="605"/>
        <item x="606"/>
        <item x="607"/>
        <item x="608"/>
        <item x="609"/>
        <item x="430"/>
        <item x="66"/>
        <item x="67"/>
        <item x="431"/>
        <item x="381"/>
        <item x="23"/>
        <item x="68"/>
        <item x="432"/>
        <item x="433"/>
        <item x="109"/>
        <item x="434"/>
        <item x="316"/>
        <item x="596"/>
        <item x="597"/>
        <item x="435"/>
        <item x="125"/>
        <item x="69"/>
        <item x="70"/>
        <item x="436"/>
        <item x="126"/>
        <item x="140"/>
        <item x="251"/>
        <item x="317"/>
        <item x="318"/>
        <item x="319"/>
        <item x="384"/>
        <item x="320"/>
        <item x="321"/>
        <item x="322"/>
        <item x="24"/>
        <item x="25"/>
        <item x="26"/>
        <item x="71"/>
        <item x="72"/>
        <item x="437"/>
        <item x="27"/>
        <item x="127"/>
        <item x="128"/>
        <item x="28"/>
        <item x="29"/>
        <item x="30"/>
        <item x="438"/>
        <item x="400"/>
        <item x="31"/>
        <item x="32"/>
        <item x="33"/>
        <item x="73"/>
        <item x="74"/>
        <item x="34"/>
        <item x="75"/>
        <item x="129"/>
        <item x="323"/>
        <item x="141"/>
        <item x="324"/>
        <item x="35"/>
        <item x="142"/>
        <item x="548"/>
        <item x="549"/>
        <item x="550"/>
        <item x="401"/>
        <item x="551"/>
        <item x="552"/>
        <item x="553"/>
        <item x="554"/>
        <item x="486"/>
        <item x="487"/>
        <item x="410"/>
        <item x="411"/>
        <item x="439"/>
        <item x="488"/>
        <item x="489"/>
        <item x="490"/>
        <item x="491"/>
        <item x="555"/>
        <item x="402"/>
        <item x="36"/>
        <item x="492"/>
        <item x="261"/>
        <item x="493"/>
        <item x="494"/>
        <item x="159"/>
        <item x="495"/>
        <item x="496"/>
        <item x="497"/>
        <item x="498"/>
        <item x="499"/>
        <item x="500"/>
        <item x="262"/>
        <item x="252"/>
        <item x="160"/>
        <item x="253"/>
        <item x="501"/>
        <item x="502"/>
        <item x="503"/>
        <item x="504"/>
        <item x="505"/>
        <item x="506"/>
        <item x="269"/>
        <item x="507"/>
        <item x="270"/>
        <item x="508"/>
        <item x="440"/>
        <item x="441"/>
        <item x="509"/>
        <item x="510"/>
        <item x="442"/>
        <item x="443"/>
        <item x="511"/>
        <item x="444"/>
        <item x="385"/>
        <item x="556"/>
        <item x="161"/>
        <item x="6"/>
        <item x="325"/>
        <item x="326"/>
        <item x="162"/>
        <item x="327"/>
        <item x="512"/>
        <item x="328"/>
        <item x="37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329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513"/>
        <item x="412"/>
        <item x="403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514"/>
        <item x="515"/>
        <item x="210"/>
        <item x="211"/>
        <item x="516"/>
        <item x="517"/>
        <item x="212"/>
        <item x="213"/>
        <item x="518"/>
        <item x="214"/>
        <item x="215"/>
        <item x="519"/>
        <item x="520"/>
        <item x="216"/>
        <item x="217"/>
        <item x="521"/>
        <item x="522"/>
        <item x="523"/>
        <item x="524"/>
        <item x="525"/>
        <item x="526"/>
        <item x="218"/>
        <item x="219"/>
        <item x="38"/>
        <item x="445"/>
        <item x="220"/>
        <item x="330"/>
        <item x="446"/>
        <item x="39"/>
        <item x="447"/>
        <item x="331"/>
        <item x="332"/>
        <item x="333"/>
        <item x="448"/>
        <item x="296"/>
        <item x="527"/>
        <item x="221"/>
        <item x="264"/>
        <item x="528"/>
        <item x="529"/>
        <item x="271"/>
        <item x="530"/>
        <item x="263"/>
        <item x="254"/>
        <item x="272"/>
        <item x="531"/>
        <item x="222"/>
        <item x="273"/>
        <item x="274"/>
        <item x="275"/>
        <item x="276"/>
        <item x="532"/>
        <item x="533"/>
        <item x="277"/>
        <item x="534"/>
        <item x="255"/>
        <item x="278"/>
        <item x="535"/>
        <item x="265"/>
        <item x="279"/>
        <item x="280"/>
        <item x="281"/>
        <item x="282"/>
        <item x="28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66"/>
        <item x="267"/>
        <item x="235"/>
        <item x="76"/>
        <item x="77"/>
        <item x="389"/>
        <item x="236"/>
        <item x="268"/>
        <item x="237"/>
        <item x="259"/>
        <item x="284"/>
        <item x="260"/>
        <item x="536"/>
        <item x="285"/>
        <item x="286"/>
        <item x="537"/>
        <item x="256"/>
        <item x="287"/>
        <item x="538"/>
        <item x="238"/>
        <item x="288"/>
        <item x="289"/>
        <item x="290"/>
        <item x="291"/>
        <item x="292"/>
        <item x="293"/>
        <item x="40"/>
        <item x="41"/>
        <item x="257"/>
        <item x="239"/>
        <item x="42"/>
        <item x="43"/>
        <item x="44"/>
        <item x="45"/>
        <item x="449"/>
        <item x="450"/>
        <item x="451"/>
        <item x="46"/>
        <item x="452"/>
        <item x="240"/>
        <item x="149"/>
        <item x="47"/>
        <item x="453"/>
        <item x="150"/>
        <item x="151"/>
        <item x="454"/>
        <item x="334"/>
        <item x="557"/>
        <item x="48"/>
        <item x="78"/>
        <item x="79"/>
        <item x="80"/>
        <item x="81"/>
        <item x="82"/>
        <item x="83"/>
        <item x="413"/>
        <item x="241"/>
        <item x="242"/>
        <item x="455"/>
        <item x="110"/>
        <item x="49"/>
        <item x="143"/>
        <item x="335"/>
        <item x="84"/>
        <item x="558"/>
        <item x="336"/>
        <item x="390"/>
        <item x="456"/>
        <item x="598"/>
        <item x="85"/>
        <item x="50"/>
        <item x="144"/>
        <item x="86"/>
        <item x="111"/>
        <item x="51"/>
        <item x="52"/>
        <item x="112"/>
        <item x="145"/>
        <item x="87"/>
        <item x="337"/>
        <item x="130"/>
        <item x="146"/>
        <item x="338"/>
        <item x="457"/>
        <item x="131"/>
        <item x="132"/>
        <item x="88"/>
        <item x="89"/>
        <item x="90"/>
        <item x="559"/>
        <item x="560"/>
        <item x="53"/>
        <item x="561"/>
        <item x="339"/>
        <item x="562"/>
        <item x="563"/>
        <item x="564"/>
        <item x="340"/>
        <item x="565"/>
        <item x="566"/>
        <item x="567"/>
        <item x="341"/>
        <item x="342"/>
        <item x="568"/>
        <item x="569"/>
        <item x="570"/>
        <item x="343"/>
        <item x="571"/>
        <item x="572"/>
        <item x="573"/>
        <item x="344"/>
        <item x="574"/>
        <item x="575"/>
        <item x="576"/>
        <item x="577"/>
        <item x="345"/>
        <item x="578"/>
        <item x="579"/>
        <item x="346"/>
        <item x="347"/>
        <item x="580"/>
        <item x="393"/>
        <item x="348"/>
        <item x="581"/>
        <item x="349"/>
        <item x="582"/>
        <item x="583"/>
        <item x="584"/>
        <item x="394"/>
        <item x="350"/>
        <item x="585"/>
        <item x="351"/>
        <item x="352"/>
        <item x="353"/>
        <item x="354"/>
        <item x="355"/>
        <item x="356"/>
        <item x="586"/>
        <item x="539"/>
        <item x="587"/>
        <item x="588"/>
        <item x="589"/>
        <item x="133"/>
        <item x="113"/>
        <item x="357"/>
        <item x="386"/>
        <item x="243"/>
        <item x="358"/>
        <item x="119"/>
        <item x="54"/>
        <item x="590"/>
        <item x="458"/>
        <item x="359"/>
        <item x="55"/>
        <item x="138"/>
        <item x="56"/>
        <item x="360"/>
        <item x="57"/>
        <item x="361"/>
        <item x="244"/>
        <item x="540"/>
        <item x="459"/>
        <item x="58"/>
        <item x="59"/>
        <item x="362"/>
        <item x="460"/>
        <item x="591"/>
        <item x="395"/>
        <item x="363"/>
        <item x="120"/>
        <item x="60"/>
        <item x="61"/>
        <item x="461"/>
        <item x="91"/>
        <item x="62"/>
        <item x="391"/>
        <item x="364"/>
        <item x="365"/>
        <item x="366"/>
        <item x="367"/>
        <item x="368"/>
        <item x="369"/>
        <item x="370"/>
        <item x="371"/>
        <item x="134"/>
        <item x="135"/>
        <item x="372"/>
        <item x="121"/>
        <item x="63"/>
        <item x="114"/>
        <item x="373"/>
        <item x="462"/>
        <item x="374"/>
        <item x="396"/>
        <item x="610"/>
        <item x="147"/>
        <item x="148"/>
        <item x="375"/>
        <item x="136"/>
        <item x="592"/>
        <item x="593"/>
        <item x="376"/>
        <item x="463"/>
        <item x="377"/>
        <item x="245"/>
        <item x="246"/>
        <item x="247"/>
        <item x="248"/>
        <item x="378"/>
        <item x="397"/>
        <item x="398"/>
        <item x="379"/>
        <item x="399"/>
        <item x="594"/>
        <item x="414"/>
        <item x="415"/>
        <item t="default"/>
      </items>
    </pivotField>
    <pivotField showAll="0"/>
    <pivotField showAll="0"/>
    <pivotField showAll="0"/>
    <pivotField showAll="0"/>
    <pivotField showAll="0"/>
    <pivotField showAll="0"/>
    <pivotField axis="axisRow" multipleItemSelectionAllowed="1" showAll="0">
      <items count="3">
        <item x="1"/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Count of epicenter_cco_queue_desc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01387-E454-4D7F-BC78-B158F89C540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615" firstHeaderRow="1" firstDataRow="1" firstDataCol="1" rowPageCount="1" colPageCount="1"/>
  <pivotFields count="29">
    <pivotField axis="axisRow" showAll="0">
      <items count="612">
        <item x="10"/>
        <item x="11"/>
        <item x="12"/>
        <item x="298"/>
        <item x="152"/>
        <item x="153"/>
        <item x="13"/>
        <item x="299"/>
        <item x="300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392"/>
        <item x="295"/>
        <item x="294"/>
        <item x="92"/>
        <item x="93"/>
        <item x="139"/>
        <item x="301"/>
        <item x="94"/>
        <item x="416"/>
        <item x="479"/>
        <item x="115"/>
        <item x="14"/>
        <item x="417"/>
        <item x="4"/>
        <item x="5"/>
        <item x="418"/>
        <item x="64"/>
        <item x="419"/>
        <item x="420"/>
        <item x="421"/>
        <item x="422"/>
        <item x="7"/>
        <item x="423"/>
        <item x="424"/>
        <item x="425"/>
        <item x="426"/>
        <item x="599"/>
        <item x="600"/>
        <item x="601"/>
        <item x="427"/>
        <item x="116"/>
        <item x="117"/>
        <item x="118"/>
        <item x="137"/>
        <item x="428"/>
        <item x="302"/>
        <item x="303"/>
        <item x="154"/>
        <item x="480"/>
        <item x="429"/>
        <item x="304"/>
        <item x="595"/>
        <item x="95"/>
        <item x="15"/>
        <item x="16"/>
        <item x="96"/>
        <item x="305"/>
        <item x="297"/>
        <item x="306"/>
        <item x="8"/>
        <item x="17"/>
        <item x="18"/>
        <item x="97"/>
        <item x="541"/>
        <item x="542"/>
        <item x="602"/>
        <item x="603"/>
        <item x="19"/>
        <item x="98"/>
        <item x="9"/>
        <item x="20"/>
        <item x="307"/>
        <item x="404"/>
        <item x="405"/>
        <item x="406"/>
        <item x="407"/>
        <item x="308"/>
        <item x="155"/>
        <item x="543"/>
        <item x="258"/>
        <item x="604"/>
        <item x="481"/>
        <item x="309"/>
        <item x="544"/>
        <item x="382"/>
        <item x="310"/>
        <item x="99"/>
        <item x="383"/>
        <item x="100"/>
        <item x="21"/>
        <item x="311"/>
        <item x="101"/>
        <item x="156"/>
        <item x="408"/>
        <item x="545"/>
        <item x="546"/>
        <item x="482"/>
        <item x="483"/>
        <item x="380"/>
        <item x="249"/>
        <item x="484"/>
        <item x="312"/>
        <item x="313"/>
        <item x="314"/>
        <item x="22"/>
        <item x="409"/>
        <item x="315"/>
        <item x="485"/>
        <item x="547"/>
        <item x="387"/>
        <item x="388"/>
        <item x="250"/>
        <item x="157"/>
        <item x="102"/>
        <item x="103"/>
        <item x="104"/>
        <item x="105"/>
        <item x="106"/>
        <item x="107"/>
        <item x="108"/>
        <item x="65"/>
        <item x="122"/>
        <item x="123"/>
        <item x="124"/>
        <item x="158"/>
        <item x="0"/>
        <item x="1"/>
        <item x="2"/>
        <item x="3"/>
        <item x="605"/>
        <item x="606"/>
        <item x="607"/>
        <item x="608"/>
        <item x="609"/>
        <item x="430"/>
        <item x="66"/>
        <item x="67"/>
        <item x="431"/>
        <item x="381"/>
        <item x="23"/>
        <item x="68"/>
        <item x="432"/>
        <item x="433"/>
        <item x="109"/>
        <item x="434"/>
        <item x="316"/>
        <item x="596"/>
        <item x="597"/>
        <item x="435"/>
        <item x="125"/>
        <item x="69"/>
        <item x="70"/>
        <item x="436"/>
        <item x="126"/>
        <item x="140"/>
        <item x="251"/>
        <item x="317"/>
        <item x="318"/>
        <item x="319"/>
        <item x="384"/>
        <item x="320"/>
        <item x="321"/>
        <item x="322"/>
        <item x="24"/>
        <item x="25"/>
        <item x="26"/>
        <item x="71"/>
        <item x="72"/>
        <item x="437"/>
        <item x="27"/>
        <item x="127"/>
        <item x="128"/>
        <item x="28"/>
        <item x="29"/>
        <item x="30"/>
        <item x="438"/>
        <item x="400"/>
        <item x="31"/>
        <item x="32"/>
        <item x="33"/>
        <item x="73"/>
        <item x="74"/>
        <item x="34"/>
        <item x="75"/>
        <item x="129"/>
        <item x="323"/>
        <item x="141"/>
        <item x="324"/>
        <item x="35"/>
        <item x="142"/>
        <item x="548"/>
        <item x="549"/>
        <item x="550"/>
        <item x="401"/>
        <item x="551"/>
        <item x="552"/>
        <item x="553"/>
        <item x="554"/>
        <item x="486"/>
        <item x="487"/>
        <item x="410"/>
        <item x="411"/>
        <item x="439"/>
        <item x="488"/>
        <item x="489"/>
        <item x="490"/>
        <item x="491"/>
        <item x="555"/>
        <item x="402"/>
        <item x="36"/>
        <item x="492"/>
        <item x="261"/>
        <item x="493"/>
        <item x="494"/>
        <item x="159"/>
        <item x="495"/>
        <item x="496"/>
        <item x="497"/>
        <item x="498"/>
        <item x="499"/>
        <item x="500"/>
        <item x="262"/>
        <item x="252"/>
        <item x="160"/>
        <item x="253"/>
        <item x="501"/>
        <item x="502"/>
        <item x="503"/>
        <item x="504"/>
        <item x="505"/>
        <item x="506"/>
        <item x="269"/>
        <item x="507"/>
        <item x="270"/>
        <item x="508"/>
        <item x="440"/>
        <item x="441"/>
        <item x="509"/>
        <item x="510"/>
        <item x="442"/>
        <item x="443"/>
        <item x="511"/>
        <item x="444"/>
        <item x="385"/>
        <item x="556"/>
        <item x="161"/>
        <item x="6"/>
        <item x="325"/>
        <item x="326"/>
        <item x="162"/>
        <item x="327"/>
        <item x="512"/>
        <item x="328"/>
        <item x="37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329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513"/>
        <item x="412"/>
        <item x="403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514"/>
        <item x="515"/>
        <item x="210"/>
        <item x="211"/>
        <item x="516"/>
        <item x="517"/>
        <item x="212"/>
        <item x="213"/>
        <item x="518"/>
        <item x="214"/>
        <item x="215"/>
        <item x="519"/>
        <item x="520"/>
        <item x="216"/>
        <item x="217"/>
        <item x="521"/>
        <item x="522"/>
        <item x="523"/>
        <item x="524"/>
        <item x="525"/>
        <item x="526"/>
        <item x="218"/>
        <item x="219"/>
        <item x="38"/>
        <item x="445"/>
        <item x="220"/>
        <item x="330"/>
        <item x="446"/>
        <item x="39"/>
        <item x="447"/>
        <item x="331"/>
        <item x="332"/>
        <item x="333"/>
        <item x="448"/>
        <item x="296"/>
        <item x="527"/>
        <item x="221"/>
        <item x="264"/>
        <item x="528"/>
        <item x="529"/>
        <item x="271"/>
        <item x="530"/>
        <item x="263"/>
        <item x="254"/>
        <item x="272"/>
        <item x="531"/>
        <item x="222"/>
        <item x="273"/>
        <item x="274"/>
        <item x="275"/>
        <item x="276"/>
        <item x="532"/>
        <item x="533"/>
        <item x="277"/>
        <item x="534"/>
        <item x="255"/>
        <item x="278"/>
        <item x="535"/>
        <item x="265"/>
        <item x="279"/>
        <item x="280"/>
        <item x="281"/>
        <item x="282"/>
        <item x="28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66"/>
        <item x="267"/>
        <item x="235"/>
        <item x="76"/>
        <item x="77"/>
        <item x="389"/>
        <item x="236"/>
        <item x="268"/>
        <item x="237"/>
        <item x="259"/>
        <item x="284"/>
        <item x="260"/>
        <item x="536"/>
        <item x="285"/>
        <item x="286"/>
        <item x="537"/>
        <item x="256"/>
        <item x="287"/>
        <item x="538"/>
        <item x="238"/>
        <item x="288"/>
        <item x="289"/>
        <item x="290"/>
        <item x="291"/>
        <item x="292"/>
        <item x="293"/>
        <item x="40"/>
        <item x="41"/>
        <item x="257"/>
        <item x="239"/>
        <item x="42"/>
        <item x="43"/>
        <item x="44"/>
        <item x="45"/>
        <item x="449"/>
        <item x="450"/>
        <item x="451"/>
        <item x="46"/>
        <item x="452"/>
        <item x="240"/>
        <item x="149"/>
        <item x="47"/>
        <item x="453"/>
        <item x="150"/>
        <item x="151"/>
        <item x="454"/>
        <item x="334"/>
        <item x="557"/>
        <item x="48"/>
        <item x="78"/>
        <item x="79"/>
        <item x="80"/>
        <item x="81"/>
        <item x="82"/>
        <item x="83"/>
        <item x="413"/>
        <item x="241"/>
        <item x="242"/>
        <item x="455"/>
        <item x="110"/>
        <item x="49"/>
        <item x="143"/>
        <item x="335"/>
        <item x="84"/>
        <item x="558"/>
        <item x="336"/>
        <item x="390"/>
        <item x="456"/>
        <item x="598"/>
        <item x="85"/>
        <item x="50"/>
        <item x="144"/>
        <item x="86"/>
        <item x="111"/>
        <item x="51"/>
        <item x="52"/>
        <item x="112"/>
        <item x="145"/>
        <item x="87"/>
        <item x="337"/>
        <item x="130"/>
        <item x="146"/>
        <item x="338"/>
        <item x="457"/>
        <item x="131"/>
        <item x="132"/>
        <item x="88"/>
        <item x="89"/>
        <item x="90"/>
        <item x="559"/>
        <item x="560"/>
        <item x="53"/>
        <item x="561"/>
        <item x="339"/>
        <item x="562"/>
        <item x="563"/>
        <item x="564"/>
        <item x="340"/>
        <item x="565"/>
        <item x="566"/>
        <item x="567"/>
        <item x="341"/>
        <item x="342"/>
        <item x="568"/>
        <item x="569"/>
        <item x="570"/>
        <item x="343"/>
        <item x="571"/>
        <item x="572"/>
        <item x="573"/>
        <item x="344"/>
        <item x="574"/>
        <item x="575"/>
        <item x="576"/>
        <item x="577"/>
        <item x="345"/>
        <item x="578"/>
        <item x="579"/>
        <item x="346"/>
        <item x="347"/>
        <item x="580"/>
        <item x="393"/>
        <item x="348"/>
        <item x="581"/>
        <item x="349"/>
        <item x="582"/>
        <item x="583"/>
        <item x="584"/>
        <item x="394"/>
        <item x="350"/>
        <item x="585"/>
        <item x="351"/>
        <item x="352"/>
        <item x="353"/>
        <item x="354"/>
        <item x="355"/>
        <item x="356"/>
        <item x="586"/>
        <item x="539"/>
        <item x="587"/>
        <item x="588"/>
        <item x="589"/>
        <item x="133"/>
        <item x="113"/>
        <item x="357"/>
        <item x="386"/>
        <item x="243"/>
        <item x="358"/>
        <item x="119"/>
        <item x="54"/>
        <item x="590"/>
        <item x="458"/>
        <item x="359"/>
        <item x="55"/>
        <item x="138"/>
        <item x="56"/>
        <item x="360"/>
        <item x="57"/>
        <item x="361"/>
        <item x="244"/>
        <item x="540"/>
        <item x="459"/>
        <item x="58"/>
        <item x="59"/>
        <item x="362"/>
        <item x="460"/>
        <item x="591"/>
        <item x="395"/>
        <item x="363"/>
        <item x="120"/>
        <item x="60"/>
        <item x="61"/>
        <item x="461"/>
        <item x="91"/>
        <item x="62"/>
        <item x="391"/>
        <item x="364"/>
        <item x="365"/>
        <item x="366"/>
        <item x="367"/>
        <item x="368"/>
        <item x="369"/>
        <item x="370"/>
        <item x="371"/>
        <item x="134"/>
        <item x="135"/>
        <item x="372"/>
        <item x="121"/>
        <item x="63"/>
        <item x="114"/>
        <item x="373"/>
        <item x="462"/>
        <item x="374"/>
        <item x="396"/>
        <item x="610"/>
        <item x="147"/>
        <item x="148"/>
        <item x="375"/>
        <item x="136"/>
        <item x="592"/>
        <item x="593"/>
        <item x="376"/>
        <item x="463"/>
        <item x="377"/>
        <item x="245"/>
        <item x="246"/>
        <item x="247"/>
        <item x="248"/>
        <item x="378"/>
        <item x="397"/>
        <item x="398"/>
        <item x="379"/>
        <item x="399"/>
        <item x="594"/>
        <item x="414"/>
        <item x="415"/>
        <item t="default"/>
      </items>
    </pivotField>
    <pivotField showAll="0">
      <items count="607">
        <item x="214"/>
        <item x="202"/>
        <item x="216"/>
        <item x="206"/>
        <item x="210"/>
        <item x="212"/>
        <item x="207"/>
        <item x="198"/>
        <item x="200"/>
        <item x="204"/>
        <item x="152"/>
        <item x="153"/>
        <item x="295"/>
        <item x="524"/>
        <item x="461"/>
        <item x="525"/>
        <item x="463"/>
        <item x="387"/>
        <item x="261"/>
        <item x="291"/>
        <item x="526"/>
        <item x="467"/>
        <item x="353"/>
        <item x="194"/>
        <item x="209"/>
        <item x="195"/>
        <item x="536"/>
        <item x="40"/>
        <item x="269"/>
        <item x="462"/>
        <item x="476"/>
        <item x="404"/>
        <item x="407"/>
        <item x="270"/>
        <item x="466"/>
        <item x="273"/>
        <item x="471"/>
        <item x="472"/>
        <item x="271"/>
        <item x="468"/>
        <item x="469"/>
        <item x="516"/>
        <item x="272"/>
        <item x="470"/>
        <item x="274"/>
        <item x="473"/>
        <item x="527"/>
        <item x="554"/>
        <item x="555"/>
        <item x="53"/>
        <item x="556"/>
        <item x="354"/>
        <item x="237"/>
        <item x="292"/>
        <item x="459"/>
        <item x="460"/>
        <item x="13"/>
        <item x="394"/>
        <item x="552"/>
        <item x="329"/>
        <item x="396"/>
        <item x="85"/>
        <item x="391"/>
        <item x="119"/>
        <item x="4"/>
        <item x="115"/>
        <item x="14"/>
        <item x="116"/>
        <item x="117"/>
        <item x="118"/>
        <item x="137"/>
        <item x="8"/>
        <item x="595"/>
        <item x="537"/>
        <item x="596"/>
        <item x="9"/>
        <item x="7"/>
        <item x="597"/>
        <item x="598"/>
        <item x="594"/>
        <item x="590"/>
        <item x="256"/>
        <item x="417"/>
        <item x="599"/>
        <item x="155"/>
        <item x="158"/>
        <item x="369"/>
        <item x="428"/>
        <item x="303"/>
        <item x="372"/>
        <item x="297"/>
        <item x="300"/>
        <item x="301"/>
        <item x="368"/>
        <item x="331"/>
        <item x="371"/>
        <item x="538"/>
        <item x="145"/>
        <item x="89"/>
        <item x="90"/>
        <item x="55"/>
        <item x="304"/>
        <item x="539"/>
        <item x="377"/>
        <item x="305"/>
        <item x="99"/>
        <item x="108"/>
        <item x="397"/>
        <item x="378"/>
        <item x="100"/>
        <item x="21"/>
        <item x="102"/>
        <item x="306"/>
        <item x="101"/>
        <item x="104"/>
        <item x="106"/>
        <item x="105"/>
        <item x="103"/>
        <item x="107"/>
        <item x="425"/>
        <item x="558"/>
        <item x="559"/>
        <item x="335"/>
        <item x="560"/>
        <item x="561"/>
        <item x="109"/>
        <item x="543"/>
        <item x="546"/>
        <item x="69"/>
        <item x="414"/>
        <item x="429"/>
        <item x="430"/>
        <item x="70"/>
        <item x="126"/>
        <item x="592"/>
        <item x="431"/>
        <item x="140"/>
        <item x="125"/>
        <item x="420"/>
        <item x="591"/>
        <item x="296"/>
        <item x="528"/>
        <item x="529"/>
        <item x="530"/>
        <item x="215"/>
        <item x="201"/>
        <item x="217"/>
        <item x="205"/>
        <item x="211"/>
        <item x="213"/>
        <item x="208"/>
        <item x="197"/>
        <item x="199"/>
        <item x="203"/>
        <item x="275"/>
        <item x="276"/>
        <item x="279"/>
        <item x="277"/>
        <item x="278"/>
        <item x="280"/>
        <item x="281"/>
        <item x="562"/>
        <item x="123"/>
        <item x="336"/>
        <item x="337"/>
        <item x="157"/>
        <item x="318"/>
        <item x="147"/>
        <item x="35"/>
        <item x="148"/>
        <item x="563"/>
        <item x="585"/>
        <item x="122"/>
        <item x="64"/>
        <item x="315"/>
        <item x="79"/>
        <item x="81"/>
        <item x="83"/>
        <item x="437"/>
        <item x="78"/>
        <item x="80"/>
        <item x="82"/>
        <item x="438"/>
        <item x="379"/>
        <item x="380"/>
        <item x="312"/>
        <item x="314"/>
        <item x="316"/>
        <item x="236"/>
        <item x="522"/>
        <item x="317"/>
        <item x="393"/>
        <item x="73"/>
        <item x="422"/>
        <item x="451"/>
        <item x="129"/>
        <item x="75"/>
        <item x="136"/>
        <item x="34"/>
        <item x="46"/>
        <item x="94"/>
        <item x="15"/>
        <item x="42"/>
        <item x="19"/>
        <item x="45"/>
        <item x="440"/>
        <item x="113"/>
        <item x="457"/>
        <item x="458"/>
        <item x="49"/>
        <item x="47"/>
        <item x="91"/>
        <item x="62"/>
        <item x="10"/>
        <item x="50"/>
        <item x="17"/>
        <item x="25"/>
        <item x="24"/>
        <item x="71"/>
        <item x="72"/>
        <item x="432"/>
        <item x="28"/>
        <item x="30"/>
        <item x="128"/>
        <item x="127"/>
        <item x="27"/>
        <item x="433"/>
        <item x="188"/>
        <item x="187"/>
        <item x="68"/>
        <item x="67"/>
        <item x="426"/>
        <item x="376"/>
        <item x="66"/>
        <item x="36"/>
        <item x="23"/>
        <item x="186"/>
        <item x="427"/>
        <item x="551"/>
        <item x="185"/>
        <item x="549"/>
        <item x="547"/>
        <item x="6"/>
        <item x="400"/>
        <item x="550"/>
        <item x="434"/>
        <item x="477"/>
        <item x="375"/>
        <item x="496"/>
        <item x="483"/>
        <item x="497"/>
        <item x="487"/>
        <item x="259"/>
        <item x="488"/>
        <item x="489"/>
        <item x="159"/>
        <item x="490"/>
        <item x="492"/>
        <item x="494"/>
        <item x="503"/>
        <item x="495"/>
        <item x="260"/>
        <item x="403"/>
        <item x="399"/>
        <item x="478"/>
        <item x="582"/>
        <item x="540"/>
        <item x="498"/>
        <item x="267"/>
        <item x="474"/>
        <item x="506"/>
        <item x="589"/>
        <item x="268"/>
        <item x="439"/>
        <item x="507"/>
        <item x="499"/>
        <item x="435"/>
        <item x="479"/>
        <item x="413"/>
        <item x="307"/>
        <item x="583"/>
        <item x="410"/>
        <item x="409"/>
        <item x="405"/>
        <item x="406"/>
        <item x="436"/>
        <item x="310"/>
        <item x="504"/>
        <item x="505"/>
        <item x="500"/>
        <item x="484"/>
        <item x="485"/>
        <item x="501"/>
        <item x="534"/>
        <item x="351"/>
        <item x="350"/>
        <item x="493"/>
        <item x="491"/>
        <item x="402"/>
        <item x="401"/>
        <item x="502"/>
        <item x="486"/>
        <item x="481"/>
        <item x="248"/>
        <item x="482"/>
        <item x="0"/>
        <item x="1"/>
        <item x="252"/>
        <item x="464"/>
        <item x="255"/>
        <item x="465"/>
        <item x="508"/>
        <item x="2"/>
        <item x="253"/>
        <item x="290"/>
        <item x="249"/>
        <item x="156"/>
        <item x="3"/>
        <item x="541"/>
        <item x="160"/>
        <item x="251"/>
        <item x="247"/>
        <item x="250"/>
        <item x="226"/>
        <item x="475"/>
        <item x="535"/>
        <item x="235"/>
        <item x="564"/>
        <item x="254"/>
        <item x="565"/>
        <item x="338"/>
        <item x="581"/>
        <item x="566"/>
        <item x="173"/>
        <item x="181"/>
        <item x="170"/>
        <item x="161"/>
        <item x="320"/>
        <item x="321"/>
        <item x="175"/>
        <item x="168"/>
        <item x="179"/>
        <item x="177"/>
        <item x="178"/>
        <item x="218"/>
        <item x="323"/>
        <item x="184"/>
        <item x="163"/>
        <item x="167"/>
        <item x="174"/>
        <item x="183"/>
        <item x="37"/>
        <item x="182"/>
        <item x="162"/>
        <item x="324"/>
        <item x="176"/>
        <item x="219"/>
        <item x="322"/>
        <item x="171"/>
        <item x="180"/>
        <item x="172"/>
        <item x="165"/>
        <item x="164"/>
        <item x="166"/>
        <item x="169"/>
        <item x="567"/>
        <item x="568"/>
        <item x="339"/>
        <item x="569"/>
        <item x="570"/>
        <item x="38"/>
        <item x="220"/>
        <item x="41"/>
        <item x="327"/>
        <item x="223"/>
        <item x="225"/>
        <item x="228"/>
        <item x="224"/>
        <item x="227"/>
        <item x="231"/>
        <item x="230"/>
        <item x="232"/>
        <item x="233"/>
        <item x="328"/>
        <item x="229"/>
        <item x="221"/>
        <item x="311"/>
        <item x="76"/>
        <item x="77"/>
        <item x="384"/>
        <item x="191"/>
        <item x="44"/>
        <item x="43"/>
        <item x="238"/>
        <item x="239"/>
        <item x="149"/>
        <item x="150"/>
        <item x="151"/>
        <item x="448"/>
        <item x="449"/>
        <item x="411"/>
        <item x="453"/>
        <item x="518"/>
        <item x="513"/>
        <item x="424"/>
        <item x="450"/>
        <item x="514"/>
        <item x="515"/>
        <item x="264"/>
        <item x="265"/>
        <item x="234"/>
        <item x="266"/>
        <item x="520"/>
        <item x="521"/>
        <item x="258"/>
        <item x="257"/>
        <item x="282"/>
        <item x="571"/>
        <item x="418"/>
        <item x="419"/>
        <item x="509"/>
        <item x="510"/>
        <item x="423"/>
        <item x="454"/>
        <item x="572"/>
        <item x="340"/>
        <item x="519"/>
        <item x="517"/>
        <item x="511"/>
        <item x="512"/>
        <item x="573"/>
        <item x="412"/>
        <item x="456"/>
        <item x="263"/>
        <item x="262"/>
        <item x="374"/>
        <item x="544"/>
        <item x="548"/>
        <item x="408"/>
        <item x="246"/>
        <item x="121"/>
        <item x="59"/>
        <item x="58"/>
        <item x="5"/>
        <item x="242"/>
        <item x="240"/>
        <item x="120"/>
        <item x="241"/>
        <item x="131"/>
        <item x="580"/>
        <item x="553"/>
        <item x="84"/>
        <item x="65"/>
        <item x="124"/>
        <item x="243"/>
        <item x="370"/>
        <item x="196"/>
        <item x="352"/>
        <item x="146"/>
        <item x="52"/>
        <item x="600"/>
        <item x="51"/>
        <item x="604"/>
        <item x="244"/>
        <item x="531"/>
        <item x="532"/>
        <item x="533"/>
        <item x="283"/>
        <item x="284"/>
        <item x="287"/>
        <item x="285"/>
        <item x="286"/>
        <item x="288"/>
        <item x="289"/>
        <item x="574"/>
        <item x="342"/>
        <item x="575"/>
        <item x="388"/>
        <item x="222"/>
        <item x="523"/>
        <item x="392"/>
        <item x="341"/>
        <item x="111"/>
        <item x="95"/>
        <item x="443"/>
        <item x="110"/>
        <item x="447"/>
        <item x="313"/>
        <item x="11"/>
        <item x="92"/>
        <item x="12"/>
        <item x="87"/>
        <item x="22"/>
        <item x="593"/>
        <item x="381"/>
        <item x="154"/>
        <item x="133"/>
        <item x="86"/>
        <item x="112"/>
        <item x="54"/>
        <item x="298"/>
        <item x="302"/>
        <item x="319"/>
        <item x="333"/>
        <item x="57"/>
        <item x="330"/>
        <item x="33"/>
        <item x="29"/>
        <item x="141"/>
        <item x="32"/>
        <item x="452"/>
        <item x="584"/>
        <item x="294"/>
        <item x="299"/>
        <item x="347"/>
        <item x="357"/>
        <item x="348"/>
        <item x="356"/>
        <item x="455"/>
        <item x="60"/>
        <item x="586"/>
        <item x="358"/>
        <item x="542"/>
        <item x="480"/>
        <item x="390"/>
        <item x="132"/>
        <item x="88"/>
        <item x="545"/>
        <item x="415"/>
        <item x="416"/>
        <item x="421"/>
        <item x="97"/>
        <item x="602"/>
        <item x="39"/>
        <item x="601"/>
        <item x="603"/>
        <item x="332"/>
        <item x="444"/>
        <item x="93"/>
        <item x="16"/>
        <item x="130"/>
        <item x="442"/>
        <item x="18"/>
        <item x="446"/>
        <item x="56"/>
        <item x="309"/>
        <item x="343"/>
        <item x="576"/>
        <item x="344"/>
        <item x="349"/>
        <item x="114"/>
        <item x="364"/>
        <item x="366"/>
        <item x="361"/>
        <item x="365"/>
        <item x="362"/>
        <item x="360"/>
        <item x="363"/>
        <item x="359"/>
        <item x="293"/>
        <item x="383"/>
        <item x="382"/>
        <item x="385"/>
        <item x="386"/>
        <item x="334"/>
        <item x="557"/>
        <item x="308"/>
        <item x="134"/>
        <item x="135"/>
        <item x="367"/>
        <item x="193"/>
        <item x="192"/>
        <item x="577"/>
        <item x="578"/>
        <item x="579"/>
        <item x="389"/>
        <item x="48"/>
        <item x="346"/>
        <item x="98"/>
        <item x="441"/>
        <item x="445"/>
        <item x="139"/>
        <item x="96"/>
        <item x="143"/>
        <item x="144"/>
        <item x="138"/>
        <item x="345"/>
        <item x="61"/>
        <item x="63"/>
        <item x="355"/>
        <item x="190"/>
        <item x="74"/>
        <item x="142"/>
        <item x="189"/>
        <item x="31"/>
        <item x="605"/>
        <item x="395"/>
        <item x="26"/>
        <item x="587"/>
        <item x="588"/>
        <item x="245"/>
        <item x="398"/>
        <item x="373"/>
        <item x="325"/>
        <item x="326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12">
        <item x="10"/>
        <item x="11"/>
        <item x="12"/>
        <item x="298"/>
        <item x="152"/>
        <item x="153"/>
        <item x="13"/>
        <item x="299"/>
        <item x="300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392"/>
        <item x="295"/>
        <item x="294"/>
        <item x="92"/>
        <item x="93"/>
        <item x="139"/>
        <item x="301"/>
        <item x="94"/>
        <item x="416"/>
        <item x="479"/>
        <item x="115"/>
        <item x="14"/>
        <item x="417"/>
        <item x="4"/>
        <item x="5"/>
        <item x="418"/>
        <item x="64"/>
        <item x="419"/>
        <item x="420"/>
        <item x="421"/>
        <item x="422"/>
        <item x="7"/>
        <item x="423"/>
        <item x="424"/>
        <item x="425"/>
        <item x="426"/>
        <item x="599"/>
        <item x="600"/>
        <item x="601"/>
        <item x="427"/>
        <item x="116"/>
        <item x="117"/>
        <item x="118"/>
        <item x="137"/>
        <item x="428"/>
        <item x="302"/>
        <item x="303"/>
        <item x="154"/>
        <item x="480"/>
        <item x="429"/>
        <item x="304"/>
        <item x="595"/>
        <item x="95"/>
        <item x="15"/>
        <item x="16"/>
        <item x="96"/>
        <item x="305"/>
        <item x="297"/>
        <item x="306"/>
        <item x="8"/>
        <item x="17"/>
        <item x="18"/>
        <item x="97"/>
        <item x="541"/>
        <item x="542"/>
        <item x="602"/>
        <item x="603"/>
        <item x="19"/>
        <item x="98"/>
        <item x="9"/>
        <item x="20"/>
        <item x="307"/>
        <item x="404"/>
        <item x="405"/>
        <item x="406"/>
        <item x="407"/>
        <item x="308"/>
        <item x="155"/>
        <item x="543"/>
        <item x="258"/>
        <item x="604"/>
        <item x="481"/>
        <item x="309"/>
        <item x="544"/>
        <item x="382"/>
        <item x="310"/>
        <item x="99"/>
        <item x="383"/>
        <item x="100"/>
        <item x="21"/>
        <item x="311"/>
        <item x="101"/>
        <item x="156"/>
        <item x="408"/>
        <item x="545"/>
        <item x="546"/>
        <item x="482"/>
        <item x="483"/>
        <item x="380"/>
        <item x="249"/>
        <item x="484"/>
        <item x="312"/>
        <item x="313"/>
        <item x="314"/>
        <item x="22"/>
        <item x="409"/>
        <item x="315"/>
        <item x="485"/>
        <item x="547"/>
        <item x="387"/>
        <item x="388"/>
        <item x="250"/>
        <item x="157"/>
        <item x="102"/>
        <item x="103"/>
        <item x="104"/>
        <item x="105"/>
        <item x="106"/>
        <item x="107"/>
        <item x="108"/>
        <item x="65"/>
        <item x="122"/>
        <item x="123"/>
        <item x="124"/>
        <item x="158"/>
        <item x="0"/>
        <item x="1"/>
        <item x="2"/>
        <item x="3"/>
        <item x="605"/>
        <item x="606"/>
        <item x="607"/>
        <item x="608"/>
        <item x="609"/>
        <item x="430"/>
        <item x="66"/>
        <item x="67"/>
        <item x="431"/>
        <item x="381"/>
        <item x="23"/>
        <item x="68"/>
        <item x="432"/>
        <item x="433"/>
        <item x="109"/>
        <item x="434"/>
        <item x="316"/>
        <item x="596"/>
        <item x="597"/>
        <item x="435"/>
        <item x="125"/>
        <item x="69"/>
        <item x="70"/>
        <item x="436"/>
        <item x="126"/>
        <item x="140"/>
        <item x="251"/>
        <item x="317"/>
        <item x="318"/>
        <item x="319"/>
        <item x="384"/>
        <item x="320"/>
        <item x="321"/>
        <item x="322"/>
        <item x="24"/>
        <item x="25"/>
        <item x="26"/>
        <item x="71"/>
        <item x="72"/>
        <item x="437"/>
        <item x="27"/>
        <item x="127"/>
        <item x="128"/>
        <item x="28"/>
        <item x="29"/>
        <item x="30"/>
        <item x="438"/>
        <item x="400"/>
        <item x="31"/>
        <item x="32"/>
        <item x="33"/>
        <item x="73"/>
        <item x="74"/>
        <item x="34"/>
        <item x="75"/>
        <item x="129"/>
        <item x="323"/>
        <item x="141"/>
        <item x="324"/>
        <item x="35"/>
        <item x="142"/>
        <item x="548"/>
        <item x="549"/>
        <item x="550"/>
        <item x="401"/>
        <item x="551"/>
        <item x="552"/>
        <item x="553"/>
        <item x="554"/>
        <item x="486"/>
        <item x="487"/>
        <item x="410"/>
        <item x="411"/>
        <item x="439"/>
        <item x="488"/>
        <item x="489"/>
        <item x="490"/>
        <item x="491"/>
        <item x="555"/>
        <item x="402"/>
        <item x="36"/>
        <item x="492"/>
        <item x="261"/>
        <item x="493"/>
        <item x="494"/>
        <item x="159"/>
        <item x="495"/>
        <item x="496"/>
        <item x="497"/>
        <item x="498"/>
        <item x="499"/>
        <item x="500"/>
        <item x="262"/>
        <item x="252"/>
        <item x="160"/>
        <item x="253"/>
        <item x="501"/>
        <item x="502"/>
        <item x="503"/>
        <item x="504"/>
        <item x="505"/>
        <item x="506"/>
        <item x="269"/>
        <item x="507"/>
        <item x="270"/>
        <item x="508"/>
        <item x="440"/>
        <item x="441"/>
        <item x="509"/>
        <item x="510"/>
        <item x="442"/>
        <item x="443"/>
        <item x="511"/>
        <item x="444"/>
        <item x="385"/>
        <item x="556"/>
        <item x="161"/>
        <item x="6"/>
        <item x="325"/>
        <item x="326"/>
        <item x="162"/>
        <item x="327"/>
        <item x="512"/>
        <item x="328"/>
        <item x="37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329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513"/>
        <item x="412"/>
        <item x="403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514"/>
        <item x="515"/>
        <item x="210"/>
        <item x="211"/>
        <item x="516"/>
        <item x="517"/>
        <item x="212"/>
        <item x="213"/>
        <item x="518"/>
        <item x="214"/>
        <item x="215"/>
        <item x="519"/>
        <item x="520"/>
        <item x="216"/>
        <item x="217"/>
        <item x="521"/>
        <item x="522"/>
        <item x="523"/>
        <item x="524"/>
        <item x="525"/>
        <item x="526"/>
        <item x="218"/>
        <item x="219"/>
        <item x="38"/>
        <item x="445"/>
        <item x="220"/>
        <item x="330"/>
        <item x="446"/>
        <item x="39"/>
        <item x="447"/>
        <item x="331"/>
        <item x="332"/>
        <item x="333"/>
        <item x="448"/>
        <item x="296"/>
        <item x="527"/>
        <item x="221"/>
        <item x="264"/>
        <item x="528"/>
        <item x="529"/>
        <item x="271"/>
        <item x="530"/>
        <item x="263"/>
        <item x="254"/>
        <item x="272"/>
        <item x="531"/>
        <item x="222"/>
        <item x="273"/>
        <item x="274"/>
        <item x="275"/>
        <item x="276"/>
        <item x="532"/>
        <item x="533"/>
        <item x="277"/>
        <item x="534"/>
        <item x="255"/>
        <item x="278"/>
        <item x="535"/>
        <item x="265"/>
        <item x="279"/>
        <item x="280"/>
        <item x="281"/>
        <item x="282"/>
        <item x="28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66"/>
        <item x="267"/>
        <item x="235"/>
        <item x="76"/>
        <item x="77"/>
        <item x="389"/>
        <item x="236"/>
        <item x="268"/>
        <item x="237"/>
        <item x="259"/>
        <item x="284"/>
        <item x="260"/>
        <item x="536"/>
        <item x="285"/>
        <item x="286"/>
        <item x="537"/>
        <item x="256"/>
        <item x="287"/>
        <item x="538"/>
        <item x="238"/>
        <item x="288"/>
        <item x="289"/>
        <item x="290"/>
        <item x="291"/>
        <item x="292"/>
        <item x="293"/>
        <item x="40"/>
        <item x="41"/>
        <item x="257"/>
        <item x="239"/>
        <item x="42"/>
        <item x="43"/>
        <item x="44"/>
        <item x="45"/>
        <item x="449"/>
        <item x="450"/>
        <item x="451"/>
        <item x="46"/>
        <item x="452"/>
        <item x="240"/>
        <item x="149"/>
        <item x="47"/>
        <item x="453"/>
        <item x="150"/>
        <item x="151"/>
        <item x="454"/>
        <item x="334"/>
        <item x="557"/>
        <item x="48"/>
        <item x="78"/>
        <item x="79"/>
        <item x="80"/>
        <item x="81"/>
        <item x="82"/>
        <item x="83"/>
        <item x="413"/>
        <item x="241"/>
        <item x="242"/>
        <item x="455"/>
        <item x="110"/>
        <item x="49"/>
        <item x="143"/>
        <item x="335"/>
        <item x="84"/>
        <item x="558"/>
        <item x="336"/>
        <item x="390"/>
        <item x="456"/>
        <item x="598"/>
        <item x="85"/>
        <item x="50"/>
        <item x="144"/>
        <item x="86"/>
        <item x="111"/>
        <item x="51"/>
        <item x="52"/>
        <item x="112"/>
        <item x="145"/>
        <item x="87"/>
        <item x="337"/>
        <item x="130"/>
        <item x="146"/>
        <item x="338"/>
        <item x="457"/>
        <item x="131"/>
        <item x="132"/>
        <item x="88"/>
        <item x="89"/>
        <item x="90"/>
        <item x="559"/>
        <item x="560"/>
        <item x="53"/>
        <item x="561"/>
        <item x="339"/>
        <item x="562"/>
        <item x="563"/>
        <item x="564"/>
        <item x="340"/>
        <item x="565"/>
        <item x="566"/>
        <item x="567"/>
        <item x="341"/>
        <item x="342"/>
        <item x="568"/>
        <item x="569"/>
        <item x="570"/>
        <item x="343"/>
        <item x="571"/>
        <item x="572"/>
        <item x="573"/>
        <item x="344"/>
        <item x="574"/>
        <item x="575"/>
        <item x="576"/>
        <item x="577"/>
        <item x="345"/>
        <item x="578"/>
        <item x="579"/>
        <item x="346"/>
        <item x="347"/>
        <item x="580"/>
        <item x="393"/>
        <item x="348"/>
        <item x="581"/>
        <item x="349"/>
        <item x="582"/>
        <item x="583"/>
        <item x="584"/>
        <item x="394"/>
        <item x="350"/>
        <item x="585"/>
        <item x="351"/>
        <item x="352"/>
        <item x="353"/>
        <item x="354"/>
        <item x="355"/>
        <item x="356"/>
        <item x="586"/>
        <item x="539"/>
        <item x="587"/>
        <item x="588"/>
        <item x="589"/>
        <item x="133"/>
        <item x="113"/>
        <item x="357"/>
        <item x="386"/>
        <item x="243"/>
        <item x="358"/>
        <item x="119"/>
        <item x="54"/>
        <item x="590"/>
        <item x="458"/>
        <item x="359"/>
        <item x="55"/>
        <item x="138"/>
        <item x="56"/>
        <item x="360"/>
        <item x="57"/>
        <item x="361"/>
        <item x="244"/>
        <item x="540"/>
        <item x="459"/>
        <item x="58"/>
        <item x="59"/>
        <item x="362"/>
        <item x="460"/>
        <item x="591"/>
        <item x="395"/>
        <item x="363"/>
        <item x="120"/>
        <item x="60"/>
        <item x="61"/>
        <item x="461"/>
        <item x="91"/>
        <item x="62"/>
        <item x="391"/>
        <item x="364"/>
        <item x="365"/>
        <item x="366"/>
        <item x="367"/>
        <item x="368"/>
        <item x="369"/>
        <item x="370"/>
        <item x="371"/>
        <item x="134"/>
        <item x="135"/>
        <item x="372"/>
        <item x="121"/>
        <item x="63"/>
        <item x="114"/>
        <item x="373"/>
        <item x="462"/>
        <item x="374"/>
        <item x="396"/>
        <item x="610"/>
        <item x="147"/>
        <item x="148"/>
        <item x="375"/>
        <item x="136"/>
        <item x="592"/>
        <item x="593"/>
        <item x="376"/>
        <item x="463"/>
        <item x="377"/>
        <item x="245"/>
        <item x="246"/>
        <item x="247"/>
        <item x="248"/>
        <item x="378"/>
        <item x="397"/>
        <item x="398"/>
        <item x="379"/>
        <item x="399"/>
        <item x="594"/>
        <item x="414"/>
        <item x="415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 t="grand">
      <x/>
    </i>
  </rowItems>
  <colItems count="1">
    <i/>
  </colItems>
  <pageFields count="1">
    <pageField fld="2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49DE9-49B0-408D-A92F-F8D846AF27AF}" name="PivotTable6" cacheId="0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compact="0" compactData="0" gridDropZones="1" multipleFieldFilters="0">
  <location ref="A3:I93" firstHeaderRow="2" firstDataRow="2" firstDataCol="3" rowPageCount="1" colPageCount="1"/>
  <pivotFields count="8">
    <pivotField compact="0" outline="0" showAll="0"/>
    <pivotField compact="0" outline="0" showAll="0"/>
    <pivotField axis="axisRow" compact="0" outline="0" showAll="0" defaultSubtotal="0">
      <items count="8">
        <item x="7"/>
        <item x="2"/>
        <item x="4"/>
        <item x="3"/>
        <item x="6"/>
        <item x="5"/>
        <item x="1"/>
        <item h="1" x="0"/>
      </items>
    </pivotField>
    <pivotField compact="0" outline="0" showAll="0"/>
    <pivotField axis="axisRow" compact="0" outline="0" showAll="0" defaultSubtotal="0">
      <items count="33">
        <item x="13"/>
        <item x="2"/>
        <item x="15"/>
        <item x="3"/>
        <item x="4"/>
        <item x="25"/>
        <item x="12"/>
        <item x="16"/>
        <item x="17"/>
        <item x="18"/>
        <item x="32"/>
        <item x="14"/>
        <item x="6"/>
        <item x="1"/>
        <item x="26"/>
        <item x="10"/>
        <item x="7"/>
        <item x="19"/>
        <item x="23"/>
        <item x="20"/>
        <item x="21"/>
        <item x="24"/>
        <item x="22"/>
        <item x="31"/>
        <item x="28"/>
        <item x="30"/>
        <item x="8"/>
        <item x="9"/>
        <item x="11"/>
        <item x="5"/>
        <item x="29"/>
        <item x="27"/>
        <item x="0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8">
        <item x="1"/>
        <item x="4"/>
        <item x="3"/>
        <item x="6"/>
        <item x="2"/>
        <item x="5"/>
        <item x="0"/>
        <item t="default"/>
      </items>
    </pivotField>
  </pivotFields>
  <rowFields count="3">
    <field x="4"/>
    <field x="2"/>
    <field x="7"/>
  </rowFields>
  <rowItems count="89">
    <i>
      <x v="1"/>
      <x v="4"/>
      <x v="1"/>
    </i>
    <i r="2">
      <x v="2"/>
    </i>
    <i r="2">
      <x v="4"/>
    </i>
    <i r="2">
      <x v="5"/>
    </i>
    <i r="1">
      <x v="6"/>
      <x/>
    </i>
    <i r="2">
      <x v="3"/>
    </i>
    <i>
      <x v="2"/>
      <x v="4"/>
      <x v="2"/>
    </i>
    <i>
      <x v="3"/>
      <x v="5"/>
      <x v="1"/>
    </i>
    <i r="2">
      <x v="2"/>
    </i>
    <i r="2">
      <x v="5"/>
    </i>
    <i r="1">
      <x v="6"/>
      <x/>
    </i>
    <i r="2">
      <x v="3"/>
    </i>
    <i>
      <x v="4"/>
      <x v="4"/>
      <x v="1"/>
    </i>
    <i r="2">
      <x v="2"/>
    </i>
    <i r="2">
      <x v="4"/>
    </i>
    <i r="2">
      <x v="5"/>
    </i>
    <i r="1">
      <x v="6"/>
      <x/>
    </i>
    <i r="2">
      <x v="3"/>
    </i>
    <i>
      <x v="5"/>
      <x v="5"/>
      <x v="2"/>
    </i>
    <i>
      <x v="6"/>
      <x v="6"/>
      <x/>
    </i>
    <i>
      <x v="7"/>
      <x v="4"/>
      <x v="2"/>
    </i>
    <i>
      <x v="8"/>
      <x v="4"/>
      <x v="2"/>
    </i>
    <i>
      <x v="9"/>
      <x v="4"/>
      <x v="2"/>
    </i>
    <i r="1">
      <x v="6"/>
      <x v="3"/>
    </i>
    <i>
      <x v="11"/>
      <x v="1"/>
      <x v="1"/>
    </i>
    <i r="2">
      <x v="2"/>
    </i>
    <i r="2">
      <x v="4"/>
    </i>
    <i r="2">
      <x v="5"/>
    </i>
    <i r="1">
      <x v="6"/>
      <x/>
    </i>
    <i r="2">
      <x v="3"/>
    </i>
    <i>
      <x v="12"/>
      <x v="5"/>
      <x v="1"/>
    </i>
    <i r="2">
      <x v="2"/>
    </i>
    <i r="2">
      <x v="5"/>
    </i>
    <i r="1">
      <x v="6"/>
      <x/>
    </i>
    <i r="2">
      <x v="3"/>
    </i>
    <i>
      <x v="13"/>
      <x v="4"/>
      <x v="1"/>
    </i>
    <i r="2">
      <x v="2"/>
    </i>
    <i r="2">
      <x v="4"/>
    </i>
    <i r="2">
      <x v="5"/>
    </i>
    <i r="1">
      <x v="6"/>
      <x/>
    </i>
    <i r="2">
      <x v="3"/>
    </i>
    <i>
      <x v="14"/>
      <x v="5"/>
      <x v="2"/>
    </i>
    <i>
      <x v="15"/>
      <x v="5"/>
      <x v="1"/>
    </i>
    <i r="2">
      <x v="2"/>
    </i>
    <i r="2">
      <x v="4"/>
    </i>
    <i r="2">
      <x v="5"/>
    </i>
    <i r="1">
      <x v="6"/>
      <x/>
    </i>
    <i r="2">
      <x v="3"/>
    </i>
    <i>
      <x v="16"/>
      <x v="4"/>
      <x v="1"/>
    </i>
    <i r="2">
      <x v="2"/>
    </i>
    <i r="2">
      <x v="4"/>
    </i>
    <i r="2">
      <x v="5"/>
    </i>
    <i r="1">
      <x v="6"/>
      <x/>
    </i>
    <i r="2">
      <x v="3"/>
    </i>
    <i>
      <x v="17"/>
      <x v="4"/>
      <x v="1"/>
    </i>
    <i r="2">
      <x v="2"/>
    </i>
    <i r="2">
      <x v="5"/>
    </i>
    <i r="1">
      <x v="6"/>
      <x/>
    </i>
    <i r="2">
      <x v="3"/>
    </i>
    <i>
      <x v="18"/>
      <x v="1"/>
      <x v="2"/>
    </i>
    <i>
      <x v="19"/>
      <x v="4"/>
      <x v="2"/>
    </i>
    <i>
      <x v="20"/>
      <x v="4"/>
      <x v="2"/>
    </i>
    <i>
      <x v="21"/>
      <x v="1"/>
      <x v="2"/>
    </i>
    <i>
      <x v="22"/>
      <x v="4"/>
      <x v="2"/>
    </i>
    <i>
      <x v="26"/>
      <x v="5"/>
      <x v="1"/>
    </i>
    <i r="2">
      <x v="2"/>
    </i>
    <i r="2">
      <x v="4"/>
    </i>
    <i r="2">
      <x v="5"/>
    </i>
    <i r="1">
      <x v="6"/>
      <x/>
    </i>
    <i r="2">
      <x v="3"/>
    </i>
    <i>
      <x v="27"/>
      <x v="5"/>
      <x v="1"/>
    </i>
    <i r="2">
      <x v="2"/>
    </i>
    <i r="2">
      <x v="4"/>
    </i>
    <i r="2">
      <x v="5"/>
    </i>
    <i r="1">
      <x v="6"/>
      <x/>
    </i>
    <i r="2">
      <x v="3"/>
    </i>
    <i>
      <x v="28"/>
      <x v="5"/>
      <x v="1"/>
    </i>
    <i r="2">
      <x v="2"/>
    </i>
    <i r="2">
      <x v="5"/>
    </i>
    <i r="1">
      <x v="6"/>
      <x/>
    </i>
    <i r="2">
      <x v="3"/>
    </i>
    <i>
      <x v="29"/>
      <x v="6"/>
      <x/>
    </i>
    <i>
      <x v="30"/>
      <x v="4"/>
      <x v="2"/>
    </i>
    <i>
      <x v="31"/>
      <x v="5"/>
      <x v="1"/>
    </i>
    <i r="2">
      <x v="2"/>
    </i>
    <i r="2">
      <x v="5"/>
    </i>
    <i r="1">
      <x v="6"/>
      <x/>
    </i>
    <i r="2">
      <x v="3"/>
    </i>
    <i t="grand">
      <x/>
    </i>
  </rowItems>
  <colItems count="1">
    <i/>
  </colItems>
  <pageFields count="1">
    <pageField fld="5" item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48DD-2FE2-4A31-8EC2-C49713696EE1}">
  <sheetPr codeName="Sheet1" filterMode="1"/>
  <dimension ref="A3:F425"/>
  <sheetViews>
    <sheetView workbookViewId="0">
      <selection activeCell="F4" sqref="F4"/>
    </sheetView>
  </sheetViews>
  <sheetFormatPr defaultRowHeight="14.5" x14ac:dyDescent="0.35"/>
  <cols>
    <col min="1" max="1" width="14.453125" customWidth="1"/>
    <col min="2" max="2" width="21" bestFit="1" customWidth="1"/>
    <col min="3" max="3" width="26.7265625" bestFit="1" customWidth="1"/>
    <col min="4" max="4" width="35.1796875" bestFit="1" customWidth="1"/>
    <col min="5" max="6" width="6.54296875" bestFit="1" customWidth="1"/>
    <col min="7" max="7" width="10.7265625" bestFit="1" customWidth="1"/>
  </cols>
  <sheetData>
    <row r="3" spans="1:6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6" x14ac:dyDescent="0.35">
      <c r="A4" t="s">
        <v>5</v>
      </c>
      <c r="B4" t="s">
        <v>5</v>
      </c>
      <c r="C4" t="s">
        <v>6</v>
      </c>
      <c r="D4" t="s">
        <v>7</v>
      </c>
      <c r="E4" t="s">
        <v>8</v>
      </c>
      <c r="F4" t="e">
        <v>#N/A</v>
      </c>
    </row>
    <row r="5" spans="1:6" hidden="1" x14ac:dyDescent="0.35">
      <c r="C5" t="s">
        <v>9</v>
      </c>
      <c r="D5" t="s">
        <v>10</v>
      </c>
      <c r="E5" t="s">
        <v>8</v>
      </c>
      <c r="F5">
        <v>1</v>
      </c>
    </row>
    <row r="6" spans="1:6" x14ac:dyDescent="0.35">
      <c r="C6" t="s">
        <v>11</v>
      </c>
      <c r="D6" t="s">
        <v>12</v>
      </c>
      <c r="E6" t="s">
        <v>8</v>
      </c>
      <c r="F6" t="e">
        <v>#N/A</v>
      </c>
    </row>
    <row r="7" spans="1:6" hidden="1" x14ac:dyDescent="0.35">
      <c r="A7" t="s">
        <v>13</v>
      </c>
      <c r="B7" t="s">
        <v>13</v>
      </c>
      <c r="C7" t="s">
        <v>14</v>
      </c>
      <c r="D7" t="s">
        <v>15</v>
      </c>
      <c r="E7" t="s">
        <v>8</v>
      </c>
      <c r="F7">
        <v>4</v>
      </c>
    </row>
    <row r="8" spans="1:6" hidden="1" x14ac:dyDescent="0.35">
      <c r="C8" t="s">
        <v>16</v>
      </c>
      <c r="D8" t="s">
        <v>17</v>
      </c>
      <c r="E8" t="s">
        <v>8</v>
      </c>
      <c r="F8">
        <v>2</v>
      </c>
    </row>
    <row r="9" spans="1:6" hidden="1" x14ac:dyDescent="0.35">
      <c r="C9" t="s">
        <v>18</v>
      </c>
      <c r="D9" t="s">
        <v>19</v>
      </c>
      <c r="E9" t="s">
        <v>8</v>
      </c>
      <c r="F9">
        <v>8</v>
      </c>
    </row>
    <row r="10" spans="1:6" x14ac:dyDescent="0.35">
      <c r="C10" t="s">
        <v>20</v>
      </c>
      <c r="D10" t="s">
        <v>21</v>
      </c>
      <c r="E10" t="s">
        <v>8</v>
      </c>
      <c r="F10" t="e">
        <v>#N/A</v>
      </c>
    </row>
    <row r="11" spans="1:6" x14ac:dyDescent="0.35">
      <c r="C11" t="s">
        <v>22</v>
      </c>
      <c r="D11" t="s">
        <v>23</v>
      </c>
      <c r="E11" t="s">
        <v>8</v>
      </c>
      <c r="F11" t="e">
        <v>#N/A</v>
      </c>
    </row>
    <row r="12" spans="1:6" hidden="1" x14ac:dyDescent="0.35">
      <c r="C12" t="s">
        <v>24</v>
      </c>
      <c r="D12" t="s">
        <v>25</v>
      </c>
      <c r="E12" t="s">
        <v>8</v>
      </c>
      <c r="F12">
        <v>6</v>
      </c>
    </row>
    <row r="13" spans="1:6" hidden="1" x14ac:dyDescent="0.35">
      <c r="C13" t="s">
        <v>26</v>
      </c>
      <c r="D13" t="s">
        <v>27</v>
      </c>
      <c r="E13" t="s">
        <v>8</v>
      </c>
      <c r="F13">
        <v>2</v>
      </c>
    </row>
    <row r="14" spans="1:6" hidden="1" x14ac:dyDescent="0.35">
      <c r="C14" t="s">
        <v>28</v>
      </c>
      <c r="D14" t="s">
        <v>29</v>
      </c>
      <c r="E14" t="s">
        <v>8</v>
      </c>
      <c r="F14">
        <v>2</v>
      </c>
    </row>
    <row r="15" spans="1:6" hidden="1" x14ac:dyDescent="0.35">
      <c r="C15" t="s">
        <v>30</v>
      </c>
      <c r="D15" t="s">
        <v>31</v>
      </c>
      <c r="E15" t="s">
        <v>8</v>
      </c>
      <c r="F15">
        <v>12</v>
      </c>
    </row>
    <row r="16" spans="1:6" hidden="1" x14ac:dyDescent="0.35">
      <c r="C16" t="s">
        <v>32</v>
      </c>
      <c r="D16" t="s">
        <v>33</v>
      </c>
      <c r="E16" t="s">
        <v>8</v>
      </c>
      <c r="F16">
        <v>3</v>
      </c>
    </row>
    <row r="17" spans="1:6" hidden="1" x14ac:dyDescent="0.35">
      <c r="C17" t="s">
        <v>34</v>
      </c>
      <c r="D17" t="s">
        <v>35</v>
      </c>
      <c r="E17" t="s">
        <v>8</v>
      </c>
      <c r="F17">
        <v>9</v>
      </c>
    </row>
    <row r="18" spans="1:6" x14ac:dyDescent="0.35">
      <c r="C18" t="s">
        <v>36</v>
      </c>
      <c r="D18" t="s">
        <v>37</v>
      </c>
      <c r="E18" t="s">
        <v>8</v>
      </c>
      <c r="F18" t="e">
        <v>#N/A</v>
      </c>
    </row>
    <row r="19" spans="1:6" x14ac:dyDescent="0.35">
      <c r="C19" t="s">
        <v>38</v>
      </c>
      <c r="D19" t="s">
        <v>39</v>
      </c>
      <c r="E19" t="s">
        <v>8</v>
      </c>
      <c r="F19" t="e">
        <v>#N/A</v>
      </c>
    </row>
    <row r="20" spans="1:6" hidden="1" x14ac:dyDescent="0.35">
      <c r="C20" t="s">
        <v>40</v>
      </c>
      <c r="D20" t="s">
        <v>41</v>
      </c>
      <c r="E20" t="s">
        <v>8</v>
      </c>
      <c r="F20">
        <v>6</v>
      </c>
    </row>
    <row r="21" spans="1:6" hidden="1" x14ac:dyDescent="0.35">
      <c r="C21" t="s">
        <v>42</v>
      </c>
      <c r="D21" t="s">
        <v>43</v>
      </c>
      <c r="E21" t="s">
        <v>8</v>
      </c>
      <c r="F21">
        <v>3</v>
      </c>
    </row>
    <row r="22" spans="1:6" hidden="1" x14ac:dyDescent="0.35">
      <c r="A22" t="s">
        <v>44</v>
      </c>
      <c r="B22" t="s">
        <v>45</v>
      </c>
      <c r="C22" t="s">
        <v>46</v>
      </c>
      <c r="D22" t="s">
        <v>47</v>
      </c>
      <c r="E22" t="s">
        <v>8</v>
      </c>
      <c r="F22">
        <v>18</v>
      </c>
    </row>
    <row r="23" spans="1:6" hidden="1" x14ac:dyDescent="0.35">
      <c r="C23" t="s">
        <v>48</v>
      </c>
      <c r="D23" t="s">
        <v>49</v>
      </c>
      <c r="E23" t="s">
        <v>8</v>
      </c>
      <c r="F23">
        <v>60</v>
      </c>
    </row>
    <row r="24" spans="1:6" x14ac:dyDescent="0.35">
      <c r="C24" t="s">
        <v>50</v>
      </c>
      <c r="D24" t="s">
        <v>51</v>
      </c>
      <c r="E24" t="s">
        <v>8</v>
      </c>
      <c r="F24" t="e">
        <v>#N/A</v>
      </c>
    </row>
    <row r="25" spans="1:6" x14ac:dyDescent="0.35">
      <c r="C25" t="s">
        <v>52</v>
      </c>
      <c r="D25" t="s">
        <v>53</v>
      </c>
      <c r="E25" t="s">
        <v>8</v>
      </c>
      <c r="F25" t="e">
        <v>#N/A</v>
      </c>
    </row>
    <row r="26" spans="1:6" x14ac:dyDescent="0.35">
      <c r="C26" t="s">
        <v>54</v>
      </c>
      <c r="D26" t="s">
        <v>55</v>
      </c>
      <c r="E26" t="s">
        <v>8</v>
      </c>
      <c r="F26" t="e">
        <v>#N/A</v>
      </c>
    </row>
    <row r="27" spans="1:6" hidden="1" x14ac:dyDescent="0.35">
      <c r="C27" t="s">
        <v>56</v>
      </c>
      <c r="D27" t="s">
        <v>57</v>
      </c>
      <c r="E27" t="s">
        <v>8</v>
      </c>
      <c r="F27">
        <v>22</v>
      </c>
    </row>
    <row r="28" spans="1:6" hidden="1" x14ac:dyDescent="0.35">
      <c r="C28" t="s">
        <v>58</v>
      </c>
      <c r="D28" t="s">
        <v>59</v>
      </c>
      <c r="E28" t="s">
        <v>8</v>
      </c>
      <c r="F28">
        <v>29</v>
      </c>
    </row>
    <row r="29" spans="1:6" x14ac:dyDescent="0.35">
      <c r="C29" t="s">
        <v>60</v>
      </c>
      <c r="D29" t="s">
        <v>61</v>
      </c>
      <c r="E29" t="s">
        <v>8</v>
      </c>
      <c r="F29" t="e">
        <v>#N/A</v>
      </c>
    </row>
    <row r="30" spans="1:6" hidden="1" x14ac:dyDescent="0.35">
      <c r="C30" t="s">
        <v>62</v>
      </c>
      <c r="D30" t="s">
        <v>63</v>
      </c>
      <c r="E30" t="s">
        <v>8</v>
      </c>
      <c r="F30">
        <v>19</v>
      </c>
    </row>
    <row r="31" spans="1:6" hidden="1" x14ac:dyDescent="0.35">
      <c r="C31" t="s">
        <v>64</v>
      </c>
      <c r="D31" t="s">
        <v>65</v>
      </c>
      <c r="E31" t="s">
        <v>8</v>
      </c>
      <c r="F31">
        <v>77.8</v>
      </c>
    </row>
    <row r="32" spans="1:6" x14ac:dyDescent="0.35">
      <c r="B32" t="s">
        <v>66</v>
      </c>
      <c r="C32" t="s">
        <v>67</v>
      </c>
      <c r="D32" t="s">
        <v>68</v>
      </c>
      <c r="E32" t="s">
        <v>8</v>
      </c>
      <c r="F32" t="e">
        <v>#N/A</v>
      </c>
    </row>
    <row r="33" spans="2:6" x14ac:dyDescent="0.35">
      <c r="C33" t="s">
        <v>69</v>
      </c>
      <c r="D33" t="s">
        <v>70</v>
      </c>
      <c r="E33" t="s">
        <v>8</v>
      </c>
      <c r="F33" t="e">
        <v>#N/A</v>
      </c>
    </row>
    <row r="34" spans="2:6" hidden="1" x14ac:dyDescent="0.35">
      <c r="B34" t="s">
        <v>71</v>
      </c>
      <c r="C34" t="s">
        <v>72</v>
      </c>
      <c r="D34" t="s">
        <v>73</v>
      </c>
      <c r="E34" t="s">
        <v>8</v>
      </c>
      <c r="F34">
        <v>14</v>
      </c>
    </row>
    <row r="35" spans="2:6" hidden="1" x14ac:dyDescent="0.35">
      <c r="C35" t="s">
        <v>74</v>
      </c>
      <c r="D35" t="s">
        <v>75</v>
      </c>
      <c r="E35" t="s">
        <v>8</v>
      </c>
      <c r="F35">
        <v>44.8</v>
      </c>
    </row>
    <row r="36" spans="2:6" x14ac:dyDescent="0.35">
      <c r="C36" t="s">
        <v>76</v>
      </c>
      <c r="D36" t="s">
        <v>77</v>
      </c>
      <c r="E36" t="s">
        <v>8</v>
      </c>
      <c r="F36" t="e">
        <v>#N/A</v>
      </c>
    </row>
    <row r="37" spans="2:6" x14ac:dyDescent="0.35">
      <c r="C37" t="s">
        <v>78</v>
      </c>
      <c r="D37" t="s">
        <v>79</v>
      </c>
      <c r="E37" t="s">
        <v>8</v>
      </c>
      <c r="F37" t="e">
        <v>#N/A</v>
      </c>
    </row>
    <row r="38" spans="2:6" x14ac:dyDescent="0.35">
      <c r="C38" t="s">
        <v>80</v>
      </c>
      <c r="D38" t="s">
        <v>81</v>
      </c>
      <c r="E38" t="s">
        <v>8</v>
      </c>
      <c r="F38" t="e">
        <v>#N/A</v>
      </c>
    </row>
    <row r="39" spans="2:6" hidden="1" x14ac:dyDescent="0.35">
      <c r="C39" t="s">
        <v>82</v>
      </c>
      <c r="D39" t="s">
        <v>83</v>
      </c>
      <c r="E39" t="s">
        <v>8</v>
      </c>
      <c r="F39">
        <v>18</v>
      </c>
    </row>
    <row r="40" spans="2:6" hidden="1" x14ac:dyDescent="0.35">
      <c r="C40" t="s">
        <v>84</v>
      </c>
      <c r="D40" t="s">
        <v>85</v>
      </c>
      <c r="E40" t="s">
        <v>8</v>
      </c>
      <c r="F40">
        <v>37.576900000000002</v>
      </c>
    </row>
    <row r="41" spans="2:6" x14ac:dyDescent="0.35">
      <c r="C41" t="s">
        <v>86</v>
      </c>
      <c r="D41" t="s">
        <v>87</v>
      </c>
      <c r="E41" t="s">
        <v>8</v>
      </c>
      <c r="F41" t="e">
        <v>#N/A</v>
      </c>
    </row>
    <row r="42" spans="2:6" hidden="1" x14ac:dyDescent="0.35">
      <c r="C42" t="s">
        <v>88</v>
      </c>
      <c r="D42" t="s">
        <v>89</v>
      </c>
      <c r="E42" t="s">
        <v>8</v>
      </c>
      <c r="F42">
        <v>11</v>
      </c>
    </row>
    <row r="43" spans="2:6" hidden="1" x14ac:dyDescent="0.35">
      <c r="C43" t="s">
        <v>90</v>
      </c>
      <c r="D43" t="s">
        <v>91</v>
      </c>
      <c r="E43" t="s">
        <v>8</v>
      </c>
      <c r="F43">
        <v>62</v>
      </c>
    </row>
    <row r="44" spans="2:6" hidden="1" x14ac:dyDescent="0.35">
      <c r="B44" t="s">
        <v>92</v>
      </c>
      <c r="C44" t="s">
        <v>93</v>
      </c>
      <c r="D44" t="s">
        <v>94</v>
      </c>
      <c r="E44" t="s">
        <v>8</v>
      </c>
      <c r="F44">
        <v>13</v>
      </c>
    </row>
    <row r="45" spans="2:6" x14ac:dyDescent="0.35">
      <c r="C45" t="s">
        <v>95</v>
      </c>
      <c r="D45" t="s">
        <v>96</v>
      </c>
      <c r="E45" t="s">
        <v>8</v>
      </c>
      <c r="F45" t="e">
        <v>#N/A</v>
      </c>
    </row>
    <row r="46" spans="2:6" x14ac:dyDescent="0.35">
      <c r="C46" t="s">
        <v>97</v>
      </c>
      <c r="D46" t="s">
        <v>98</v>
      </c>
      <c r="E46" t="s">
        <v>8</v>
      </c>
      <c r="F46" t="e">
        <v>#N/A</v>
      </c>
    </row>
    <row r="47" spans="2:6" x14ac:dyDescent="0.35">
      <c r="B47" t="s">
        <v>99</v>
      </c>
      <c r="C47" t="s">
        <v>100</v>
      </c>
      <c r="D47" t="s">
        <v>101</v>
      </c>
      <c r="E47" t="s">
        <v>8</v>
      </c>
      <c r="F47" t="e">
        <v>#N/A</v>
      </c>
    </row>
    <row r="48" spans="2:6" x14ac:dyDescent="0.35">
      <c r="B48" t="s">
        <v>102</v>
      </c>
      <c r="C48" t="s">
        <v>103</v>
      </c>
      <c r="D48" t="s">
        <v>104</v>
      </c>
      <c r="E48" t="s">
        <v>8</v>
      </c>
      <c r="F48" t="e">
        <v>#N/A</v>
      </c>
    </row>
    <row r="49" spans="2:6" x14ac:dyDescent="0.35">
      <c r="C49" t="s">
        <v>105</v>
      </c>
      <c r="D49" t="s">
        <v>106</v>
      </c>
      <c r="E49" t="s">
        <v>8</v>
      </c>
      <c r="F49" t="e">
        <v>#N/A</v>
      </c>
    </row>
    <row r="50" spans="2:6" x14ac:dyDescent="0.35">
      <c r="C50" t="s">
        <v>107</v>
      </c>
      <c r="D50" t="s">
        <v>108</v>
      </c>
      <c r="E50" t="s">
        <v>8</v>
      </c>
      <c r="F50" t="e">
        <v>#N/A</v>
      </c>
    </row>
    <row r="51" spans="2:6" hidden="1" x14ac:dyDescent="0.35">
      <c r="B51" t="s">
        <v>109</v>
      </c>
      <c r="C51" t="s">
        <v>110</v>
      </c>
      <c r="D51" t="s">
        <v>111</v>
      </c>
      <c r="E51" t="s">
        <v>8</v>
      </c>
      <c r="F51">
        <v>15</v>
      </c>
    </row>
    <row r="52" spans="2:6" hidden="1" x14ac:dyDescent="0.35">
      <c r="C52" t="s">
        <v>112</v>
      </c>
      <c r="D52" t="s">
        <v>113</v>
      </c>
      <c r="E52" t="s">
        <v>8</v>
      </c>
      <c r="F52">
        <v>46</v>
      </c>
    </row>
    <row r="53" spans="2:6" x14ac:dyDescent="0.35">
      <c r="C53" t="s">
        <v>114</v>
      </c>
      <c r="D53" t="s">
        <v>115</v>
      </c>
      <c r="E53" t="s">
        <v>8</v>
      </c>
      <c r="F53" t="e">
        <v>#N/A</v>
      </c>
    </row>
    <row r="54" spans="2:6" x14ac:dyDescent="0.35">
      <c r="C54" t="s">
        <v>116</v>
      </c>
      <c r="D54" t="s">
        <v>117</v>
      </c>
      <c r="E54" t="s">
        <v>8</v>
      </c>
      <c r="F54" t="e">
        <v>#N/A</v>
      </c>
    </row>
    <row r="55" spans="2:6" x14ac:dyDescent="0.35">
      <c r="C55" t="s">
        <v>118</v>
      </c>
      <c r="D55" t="s">
        <v>119</v>
      </c>
      <c r="E55" t="s">
        <v>8</v>
      </c>
      <c r="F55" t="e">
        <v>#N/A</v>
      </c>
    </row>
    <row r="56" spans="2:6" hidden="1" x14ac:dyDescent="0.35">
      <c r="C56" t="s">
        <v>120</v>
      </c>
      <c r="D56" t="s">
        <v>121</v>
      </c>
      <c r="E56" t="s">
        <v>8</v>
      </c>
      <c r="F56">
        <v>18</v>
      </c>
    </row>
    <row r="57" spans="2:6" hidden="1" x14ac:dyDescent="0.35">
      <c r="C57" t="s">
        <v>122</v>
      </c>
      <c r="D57" t="s">
        <v>123</v>
      </c>
      <c r="E57" t="s">
        <v>8</v>
      </c>
      <c r="F57">
        <v>23</v>
      </c>
    </row>
    <row r="58" spans="2:6" x14ac:dyDescent="0.35">
      <c r="C58" t="s">
        <v>124</v>
      </c>
      <c r="D58" t="s">
        <v>125</v>
      </c>
      <c r="E58" t="s">
        <v>8</v>
      </c>
      <c r="F58" t="e">
        <v>#N/A</v>
      </c>
    </row>
    <row r="59" spans="2:6" hidden="1" x14ac:dyDescent="0.35">
      <c r="C59" t="s">
        <v>126</v>
      </c>
      <c r="D59" t="s">
        <v>127</v>
      </c>
      <c r="E59" t="s">
        <v>8</v>
      </c>
      <c r="F59">
        <v>15</v>
      </c>
    </row>
    <row r="60" spans="2:6" hidden="1" x14ac:dyDescent="0.35">
      <c r="C60" t="s">
        <v>128</v>
      </c>
      <c r="D60" t="s">
        <v>129</v>
      </c>
      <c r="E60" t="s">
        <v>8</v>
      </c>
      <c r="F60">
        <v>29</v>
      </c>
    </row>
    <row r="61" spans="2:6" hidden="1" x14ac:dyDescent="0.35">
      <c r="B61" t="s">
        <v>130</v>
      </c>
      <c r="C61" t="s">
        <v>131</v>
      </c>
      <c r="D61" t="s">
        <v>132</v>
      </c>
      <c r="E61" t="s">
        <v>8</v>
      </c>
      <c r="F61">
        <v>53</v>
      </c>
    </row>
    <row r="62" spans="2:6" x14ac:dyDescent="0.35">
      <c r="C62" t="s">
        <v>130</v>
      </c>
      <c r="D62" t="s">
        <v>133</v>
      </c>
      <c r="E62" t="s">
        <v>8</v>
      </c>
      <c r="F62" t="e">
        <v>#N/A</v>
      </c>
    </row>
    <row r="63" spans="2:6" hidden="1" x14ac:dyDescent="0.35">
      <c r="B63" t="s">
        <v>134</v>
      </c>
      <c r="C63" t="s">
        <v>135</v>
      </c>
      <c r="D63" t="s">
        <v>136</v>
      </c>
      <c r="E63" t="s">
        <v>8</v>
      </c>
      <c r="F63">
        <v>24</v>
      </c>
    </row>
    <row r="64" spans="2:6" hidden="1" x14ac:dyDescent="0.35">
      <c r="B64" t="s">
        <v>137</v>
      </c>
      <c r="C64" t="s">
        <v>138</v>
      </c>
      <c r="D64" t="s">
        <v>139</v>
      </c>
      <c r="E64" t="s">
        <v>8</v>
      </c>
      <c r="F64">
        <v>64</v>
      </c>
    </row>
    <row r="65" spans="1:6" x14ac:dyDescent="0.35">
      <c r="C65" t="s">
        <v>140</v>
      </c>
      <c r="D65" t="s">
        <v>141</v>
      </c>
      <c r="E65" t="s">
        <v>8</v>
      </c>
      <c r="F65" t="e">
        <v>#N/A</v>
      </c>
    </row>
    <row r="66" spans="1:6" hidden="1" x14ac:dyDescent="0.35">
      <c r="B66" t="s">
        <v>142</v>
      </c>
      <c r="C66" t="s">
        <v>143</v>
      </c>
      <c r="D66" t="s">
        <v>144</v>
      </c>
      <c r="E66" t="s">
        <v>8</v>
      </c>
      <c r="F66">
        <v>9</v>
      </c>
    </row>
    <row r="67" spans="1:6" x14ac:dyDescent="0.35">
      <c r="C67" t="s">
        <v>145</v>
      </c>
      <c r="D67" t="s">
        <v>146</v>
      </c>
      <c r="E67" t="s">
        <v>8</v>
      </c>
      <c r="F67" t="e">
        <v>#N/A</v>
      </c>
    </row>
    <row r="68" spans="1:6" x14ac:dyDescent="0.35">
      <c r="B68" t="s">
        <v>147</v>
      </c>
      <c r="C68" t="s">
        <v>148</v>
      </c>
      <c r="D68" t="s">
        <v>149</v>
      </c>
      <c r="E68" t="s">
        <v>8</v>
      </c>
      <c r="F68" t="e">
        <v>#N/A</v>
      </c>
    </row>
    <row r="69" spans="1:6" x14ac:dyDescent="0.35">
      <c r="C69" t="s">
        <v>150</v>
      </c>
      <c r="D69" t="s">
        <v>151</v>
      </c>
      <c r="E69" t="s">
        <v>8</v>
      </c>
      <c r="F69" t="e">
        <v>#N/A</v>
      </c>
    </row>
    <row r="70" spans="1:6" hidden="1" x14ac:dyDescent="0.35">
      <c r="A70" t="s">
        <v>152</v>
      </c>
      <c r="B70" t="s">
        <v>153</v>
      </c>
      <c r="C70" t="s">
        <v>154</v>
      </c>
      <c r="D70" t="s">
        <v>155</v>
      </c>
      <c r="E70" t="s">
        <v>8</v>
      </c>
      <c r="F70">
        <v>34</v>
      </c>
    </row>
    <row r="71" spans="1:6" x14ac:dyDescent="0.35">
      <c r="C71" t="s">
        <v>156</v>
      </c>
      <c r="D71" t="s">
        <v>157</v>
      </c>
      <c r="E71" t="s">
        <v>8</v>
      </c>
      <c r="F71" t="e">
        <v>#N/A</v>
      </c>
    </row>
    <row r="72" spans="1:6" hidden="1" x14ac:dyDescent="0.35">
      <c r="A72" t="s">
        <v>158</v>
      </c>
      <c r="B72" t="s">
        <v>159</v>
      </c>
      <c r="C72" t="s">
        <v>160</v>
      </c>
      <c r="D72" t="s">
        <v>161</v>
      </c>
      <c r="E72" t="s">
        <v>8</v>
      </c>
      <c r="F72">
        <v>22</v>
      </c>
    </row>
    <row r="73" spans="1:6" x14ac:dyDescent="0.35">
      <c r="B73" t="s">
        <v>162</v>
      </c>
      <c r="C73" t="s">
        <v>163</v>
      </c>
      <c r="D73" t="s">
        <v>164</v>
      </c>
      <c r="E73" t="s">
        <v>8</v>
      </c>
      <c r="F73" t="e">
        <v>#N/A</v>
      </c>
    </row>
    <row r="74" spans="1:6" hidden="1" x14ac:dyDescent="0.35">
      <c r="C74" t="s">
        <v>165</v>
      </c>
      <c r="D74" t="s">
        <v>166</v>
      </c>
      <c r="E74" t="s">
        <v>8</v>
      </c>
      <c r="F74">
        <v>33</v>
      </c>
    </row>
    <row r="75" spans="1:6" hidden="1" x14ac:dyDescent="0.35">
      <c r="C75" t="s">
        <v>167</v>
      </c>
      <c r="D75" t="s">
        <v>168</v>
      </c>
      <c r="E75" t="s">
        <v>8</v>
      </c>
      <c r="F75">
        <v>22</v>
      </c>
    </row>
    <row r="76" spans="1:6" hidden="1" x14ac:dyDescent="0.35">
      <c r="C76" t="s">
        <v>169</v>
      </c>
      <c r="D76" t="s">
        <v>170</v>
      </c>
      <c r="E76" t="s">
        <v>8</v>
      </c>
      <c r="F76">
        <v>18</v>
      </c>
    </row>
    <row r="77" spans="1:6" hidden="1" x14ac:dyDescent="0.35">
      <c r="C77" t="s">
        <v>171</v>
      </c>
      <c r="D77" t="s">
        <v>172</v>
      </c>
      <c r="E77" t="s">
        <v>8</v>
      </c>
      <c r="F77">
        <v>68</v>
      </c>
    </row>
    <row r="78" spans="1:6" hidden="1" x14ac:dyDescent="0.35">
      <c r="B78" t="s">
        <v>173</v>
      </c>
      <c r="C78" t="s">
        <v>174</v>
      </c>
      <c r="D78" t="s">
        <v>175</v>
      </c>
      <c r="E78" t="s">
        <v>8</v>
      </c>
      <c r="F78">
        <v>39</v>
      </c>
    </row>
    <row r="79" spans="1:6" hidden="1" x14ac:dyDescent="0.35">
      <c r="C79" t="s">
        <v>176</v>
      </c>
      <c r="D79" t="s">
        <v>177</v>
      </c>
      <c r="E79" t="s">
        <v>8</v>
      </c>
      <c r="F79">
        <v>20</v>
      </c>
    </row>
    <row r="80" spans="1:6" hidden="1" x14ac:dyDescent="0.35">
      <c r="C80" t="s">
        <v>178</v>
      </c>
      <c r="D80" t="s">
        <v>179</v>
      </c>
      <c r="E80" t="s">
        <v>8</v>
      </c>
      <c r="F80">
        <v>20</v>
      </c>
    </row>
    <row r="81" spans="3:6" hidden="1" x14ac:dyDescent="0.35">
      <c r="C81" t="s">
        <v>180</v>
      </c>
      <c r="D81" t="s">
        <v>181</v>
      </c>
      <c r="E81" t="s">
        <v>8</v>
      </c>
      <c r="F81">
        <v>9</v>
      </c>
    </row>
    <row r="82" spans="3:6" hidden="1" x14ac:dyDescent="0.35">
      <c r="C82" t="s">
        <v>182</v>
      </c>
      <c r="D82" t="s">
        <v>183</v>
      </c>
      <c r="E82" t="s">
        <v>8</v>
      </c>
      <c r="F82">
        <v>68</v>
      </c>
    </row>
    <row r="83" spans="3:6" hidden="1" x14ac:dyDescent="0.35">
      <c r="C83" t="s">
        <v>184</v>
      </c>
      <c r="D83" t="s">
        <v>185</v>
      </c>
      <c r="E83" t="s">
        <v>8</v>
      </c>
      <c r="F83">
        <v>82</v>
      </c>
    </row>
    <row r="84" spans="3:6" x14ac:dyDescent="0.35">
      <c r="C84" t="s">
        <v>186</v>
      </c>
      <c r="D84" t="s">
        <v>187</v>
      </c>
      <c r="E84" t="s">
        <v>8</v>
      </c>
      <c r="F84" t="e">
        <v>#N/A</v>
      </c>
    </row>
    <row r="85" spans="3:6" x14ac:dyDescent="0.35">
      <c r="C85" t="s">
        <v>188</v>
      </c>
      <c r="D85" t="s">
        <v>189</v>
      </c>
      <c r="E85" t="s">
        <v>8</v>
      </c>
      <c r="F85" t="e">
        <v>#N/A</v>
      </c>
    </row>
    <row r="86" spans="3:6" x14ac:dyDescent="0.35">
      <c r="C86" t="s">
        <v>190</v>
      </c>
      <c r="D86" t="s">
        <v>191</v>
      </c>
      <c r="E86" t="s">
        <v>8</v>
      </c>
      <c r="F86" t="e">
        <v>#N/A</v>
      </c>
    </row>
    <row r="87" spans="3:6" x14ac:dyDescent="0.35">
      <c r="C87" t="s">
        <v>192</v>
      </c>
      <c r="D87" t="s">
        <v>193</v>
      </c>
      <c r="E87" t="s">
        <v>8</v>
      </c>
      <c r="F87" t="e">
        <v>#N/A</v>
      </c>
    </row>
    <row r="88" spans="3:6" x14ac:dyDescent="0.35">
      <c r="C88" t="s">
        <v>194</v>
      </c>
      <c r="D88" t="s">
        <v>195</v>
      </c>
      <c r="E88" t="s">
        <v>8</v>
      </c>
      <c r="F88" t="e">
        <v>#N/A</v>
      </c>
    </row>
    <row r="89" spans="3:6" x14ac:dyDescent="0.35">
      <c r="C89" t="s">
        <v>196</v>
      </c>
      <c r="D89" t="s">
        <v>197</v>
      </c>
      <c r="E89" t="s">
        <v>8</v>
      </c>
      <c r="F89" t="e">
        <v>#N/A</v>
      </c>
    </row>
    <row r="90" spans="3:6" hidden="1" x14ac:dyDescent="0.35">
      <c r="C90" t="s">
        <v>198</v>
      </c>
      <c r="D90" t="s">
        <v>199</v>
      </c>
      <c r="E90" t="s">
        <v>8</v>
      </c>
      <c r="F90">
        <v>4</v>
      </c>
    </row>
    <row r="91" spans="3:6" hidden="1" x14ac:dyDescent="0.35">
      <c r="C91" t="s">
        <v>200</v>
      </c>
      <c r="D91" t="s">
        <v>201</v>
      </c>
      <c r="E91" t="s">
        <v>8</v>
      </c>
      <c r="F91">
        <v>33</v>
      </c>
    </row>
    <row r="92" spans="3:6" hidden="1" x14ac:dyDescent="0.35">
      <c r="C92" t="s">
        <v>202</v>
      </c>
      <c r="D92" t="s">
        <v>203</v>
      </c>
      <c r="E92" t="s">
        <v>8</v>
      </c>
      <c r="F92">
        <v>94.8</v>
      </c>
    </row>
    <row r="93" spans="3:6" x14ac:dyDescent="0.35">
      <c r="C93" t="s">
        <v>204</v>
      </c>
      <c r="D93" t="s">
        <v>205</v>
      </c>
      <c r="E93" t="s">
        <v>8</v>
      </c>
      <c r="F93" t="e">
        <v>#N/A</v>
      </c>
    </row>
    <row r="94" spans="3:6" x14ac:dyDescent="0.35">
      <c r="C94" t="s">
        <v>206</v>
      </c>
      <c r="D94" t="s">
        <v>207</v>
      </c>
      <c r="E94" t="s">
        <v>8</v>
      </c>
      <c r="F94" t="e">
        <v>#N/A</v>
      </c>
    </row>
    <row r="95" spans="3:6" hidden="1" x14ac:dyDescent="0.35">
      <c r="C95" t="s">
        <v>208</v>
      </c>
      <c r="D95" t="s">
        <v>209</v>
      </c>
      <c r="E95" t="s">
        <v>8</v>
      </c>
      <c r="F95">
        <v>113</v>
      </c>
    </row>
    <row r="96" spans="3:6" hidden="1" x14ac:dyDescent="0.35">
      <c r="C96" t="s">
        <v>210</v>
      </c>
      <c r="D96" t="s">
        <v>211</v>
      </c>
      <c r="E96" t="s">
        <v>8</v>
      </c>
      <c r="F96">
        <v>19</v>
      </c>
    </row>
    <row r="97" spans="1:6" hidden="1" x14ac:dyDescent="0.35">
      <c r="C97" t="s">
        <v>212</v>
      </c>
      <c r="D97" t="s">
        <v>213</v>
      </c>
      <c r="E97" t="s">
        <v>8</v>
      </c>
      <c r="F97">
        <v>18</v>
      </c>
    </row>
    <row r="98" spans="1:6" x14ac:dyDescent="0.35">
      <c r="C98" t="s">
        <v>214</v>
      </c>
      <c r="D98" t="s">
        <v>215</v>
      </c>
      <c r="E98" t="s">
        <v>8</v>
      </c>
      <c r="F98" t="e">
        <v>#N/A</v>
      </c>
    </row>
    <row r="99" spans="1:6" x14ac:dyDescent="0.35">
      <c r="C99" t="s">
        <v>216</v>
      </c>
      <c r="D99" t="s">
        <v>217</v>
      </c>
      <c r="E99" t="s">
        <v>8</v>
      </c>
      <c r="F99" t="e">
        <v>#N/A</v>
      </c>
    </row>
    <row r="100" spans="1:6" x14ac:dyDescent="0.35">
      <c r="B100" t="s">
        <v>218</v>
      </c>
      <c r="C100" t="s">
        <v>219</v>
      </c>
      <c r="D100" t="s">
        <v>220</v>
      </c>
      <c r="E100" t="s">
        <v>8</v>
      </c>
      <c r="F100" t="e">
        <v>#N/A</v>
      </c>
    </row>
    <row r="101" spans="1:6" hidden="1" x14ac:dyDescent="0.35">
      <c r="B101" t="s">
        <v>221</v>
      </c>
      <c r="C101" t="s">
        <v>222</v>
      </c>
      <c r="D101" t="s">
        <v>223</v>
      </c>
      <c r="E101" t="s">
        <v>8</v>
      </c>
      <c r="F101">
        <v>48</v>
      </c>
    </row>
    <row r="102" spans="1:6" hidden="1" x14ac:dyDescent="0.35">
      <c r="B102" t="s">
        <v>224</v>
      </c>
      <c r="C102" t="s">
        <v>225</v>
      </c>
      <c r="D102" t="s">
        <v>226</v>
      </c>
      <c r="E102" t="s">
        <v>8</v>
      </c>
      <c r="F102">
        <v>19</v>
      </c>
    </row>
    <row r="103" spans="1:6" x14ac:dyDescent="0.35">
      <c r="C103" t="s">
        <v>227</v>
      </c>
      <c r="D103" t="s">
        <v>228</v>
      </c>
      <c r="E103" t="s">
        <v>8</v>
      </c>
      <c r="F103" t="e">
        <v>#N/A</v>
      </c>
    </row>
    <row r="104" spans="1:6" hidden="1" x14ac:dyDescent="0.35">
      <c r="A104" t="s">
        <v>229</v>
      </c>
      <c r="B104" t="s">
        <v>229</v>
      </c>
      <c r="C104" t="s">
        <v>230</v>
      </c>
      <c r="D104" t="s">
        <v>231</v>
      </c>
      <c r="E104" t="s">
        <v>8</v>
      </c>
      <c r="F104">
        <v>37</v>
      </c>
    </row>
    <row r="105" spans="1:6" hidden="1" x14ac:dyDescent="0.35">
      <c r="C105" t="s">
        <v>232</v>
      </c>
      <c r="D105" t="s">
        <v>233</v>
      </c>
      <c r="E105" t="s">
        <v>8</v>
      </c>
      <c r="F105">
        <v>18</v>
      </c>
    </row>
    <row r="106" spans="1:6" hidden="1" x14ac:dyDescent="0.35">
      <c r="C106" t="s">
        <v>234</v>
      </c>
      <c r="D106" t="s">
        <v>235</v>
      </c>
      <c r="E106" t="s">
        <v>8</v>
      </c>
      <c r="F106">
        <v>119.8</v>
      </c>
    </row>
    <row r="107" spans="1:6" hidden="1" x14ac:dyDescent="0.35">
      <c r="C107" t="s">
        <v>236</v>
      </c>
      <c r="D107" t="s">
        <v>237</v>
      </c>
      <c r="E107" t="s">
        <v>8</v>
      </c>
      <c r="F107">
        <v>74</v>
      </c>
    </row>
    <row r="108" spans="1:6" x14ac:dyDescent="0.35">
      <c r="C108" t="s">
        <v>238</v>
      </c>
      <c r="D108" t="s">
        <v>239</v>
      </c>
      <c r="E108" t="s">
        <v>8</v>
      </c>
      <c r="F108" t="e">
        <v>#N/A</v>
      </c>
    </row>
    <row r="109" spans="1:6" x14ac:dyDescent="0.35">
      <c r="C109" t="s">
        <v>240</v>
      </c>
      <c r="D109" t="s">
        <v>241</v>
      </c>
      <c r="E109" t="s">
        <v>8</v>
      </c>
      <c r="F109" t="e">
        <v>#N/A</v>
      </c>
    </row>
    <row r="110" spans="1:6" x14ac:dyDescent="0.35">
      <c r="C110" t="s">
        <v>242</v>
      </c>
      <c r="D110" t="s">
        <v>243</v>
      </c>
      <c r="E110" t="s">
        <v>8</v>
      </c>
      <c r="F110" t="e">
        <v>#N/A</v>
      </c>
    </row>
    <row r="111" spans="1:6" x14ac:dyDescent="0.35">
      <c r="C111" t="s">
        <v>244</v>
      </c>
      <c r="D111" t="s">
        <v>245</v>
      </c>
      <c r="E111" t="s">
        <v>8</v>
      </c>
      <c r="F111" t="e">
        <v>#N/A</v>
      </c>
    </row>
    <row r="112" spans="1:6" x14ac:dyDescent="0.35">
      <c r="C112" t="s">
        <v>246</v>
      </c>
      <c r="D112" t="s">
        <v>247</v>
      </c>
      <c r="E112" t="s">
        <v>8</v>
      </c>
      <c r="F112" t="e">
        <v>#N/A</v>
      </c>
    </row>
    <row r="113" spans="1:6" x14ac:dyDescent="0.35">
      <c r="C113" t="s">
        <v>248</v>
      </c>
      <c r="D113" t="s">
        <v>249</v>
      </c>
      <c r="E113" t="s">
        <v>8</v>
      </c>
      <c r="F113" t="e">
        <v>#N/A</v>
      </c>
    </row>
    <row r="114" spans="1:6" x14ac:dyDescent="0.35">
      <c r="C114" t="s">
        <v>250</v>
      </c>
      <c r="D114" t="s">
        <v>251</v>
      </c>
      <c r="E114" t="s">
        <v>8</v>
      </c>
      <c r="F114" t="e">
        <v>#N/A</v>
      </c>
    </row>
    <row r="115" spans="1:6" hidden="1" x14ac:dyDescent="0.35">
      <c r="C115" t="s">
        <v>252</v>
      </c>
      <c r="D115" t="s">
        <v>253</v>
      </c>
      <c r="E115" t="s">
        <v>8</v>
      </c>
      <c r="F115">
        <v>24</v>
      </c>
    </row>
    <row r="116" spans="1:6" hidden="1" x14ac:dyDescent="0.35">
      <c r="C116" t="s">
        <v>254</v>
      </c>
      <c r="D116" t="s">
        <v>255</v>
      </c>
      <c r="E116" t="s">
        <v>8</v>
      </c>
      <c r="F116">
        <v>54</v>
      </c>
    </row>
    <row r="117" spans="1:6" x14ac:dyDescent="0.35">
      <c r="C117" t="s">
        <v>256</v>
      </c>
      <c r="D117" t="s">
        <v>257</v>
      </c>
      <c r="E117" t="s">
        <v>8</v>
      </c>
      <c r="F117" t="e">
        <v>#N/A</v>
      </c>
    </row>
    <row r="118" spans="1:6" hidden="1" x14ac:dyDescent="0.35">
      <c r="C118" t="s">
        <v>258</v>
      </c>
      <c r="D118" t="s">
        <v>259</v>
      </c>
      <c r="E118" t="s">
        <v>8</v>
      </c>
      <c r="F118">
        <v>18</v>
      </c>
    </row>
    <row r="119" spans="1:6" hidden="1" x14ac:dyDescent="0.35">
      <c r="C119" t="s">
        <v>260</v>
      </c>
      <c r="D119" t="s">
        <v>261</v>
      </c>
      <c r="E119" t="s">
        <v>8</v>
      </c>
      <c r="F119">
        <v>62</v>
      </c>
    </row>
    <row r="120" spans="1:6" x14ac:dyDescent="0.35">
      <c r="C120" t="s">
        <v>262</v>
      </c>
      <c r="D120" t="s">
        <v>263</v>
      </c>
      <c r="E120" t="s">
        <v>8</v>
      </c>
      <c r="F120" t="e">
        <v>#N/A</v>
      </c>
    </row>
    <row r="121" spans="1:6" x14ac:dyDescent="0.35">
      <c r="C121" t="s">
        <v>264</v>
      </c>
      <c r="D121" t="s">
        <v>265</v>
      </c>
      <c r="E121" t="s">
        <v>8</v>
      </c>
      <c r="F121" t="e">
        <v>#N/A</v>
      </c>
    </row>
    <row r="122" spans="1:6" x14ac:dyDescent="0.35">
      <c r="A122" t="s">
        <v>266</v>
      </c>
      <c r="B122" t="s">
        <v>266</v>
      </c>
      <c r="C122" t="s">
        <v>267</v>
      </c>
      <c r="D122" t="s">
        <v>268</v>
      </c>
      <c r="E122" t="s">
        <v>8</v>
      </c>
      <c r="F122" t="e">
        <v>#N/A</v>
      </c>
    </row>
    <row r="123" spans="1:6" x14ac:dyDescent="0.35">
      <c r="C123" t="s">
        <v>269</v>
      </c>
      <c r="D123" t="s">
        <v>270</v>
      </c>
      <c r="E123" t="s">
        <v>8</v>
      </c>
      <c r="F123" t="e">
        <v>#N/A</v>
      </c>
    </row>
    <row r="124" spans="1:6" hidden="1" x14ac:dyDescent="0.35">
      <c r="C124" t="s">
        <v>271</v>
      </c>
      <c r="D124" t="s">
        <v>272</v>
      </c>
      <c r="E124" t="s">
        <v>8</v>
      </c>
      <c r="F124">
        <v>4</v>
      </c>
    </row>
    <row r="125" spans="1:6" hidden="1" x14ac:dyDescent="0.35">
      <c r="C125" t="s">
        <v>273</v>
      </c>
      <c r="D125" t="s">
        <v>274</v>
      </c>
      <c r="E125" t="s">
        <v>8</v>
      </c>
      <c r="F125">
        <v>9</v>
      </c>
    </row>
    <row r="126" spans="1:6" hidden="1" x14ac:dyDescent="0.35">
      <c r="C126" t="s">
        <v>275</v>
      </c>
      <c r="D126" t="s">
        <v>276</v>
      </c>
      <c r="E126" t="s">
        <v>8</v>
      </c>
      <c r="F126">
        <v>6</v>
      </c>
    </row>
    <row r="127" spans="1:6" hidden="1" x14ac:dyDescent="0.35">
      <c r="C127" t="s">
        <v>277</v>
      </c>
      <c r="D127" t="s">
        <v>278</v>
      </c>
      <c r="E127" t="s">
        <v>8</v>
      </c>
      <c r="F127">
        <v>80</v>
      </c>
    </row>
    <row r="128" spans="1:6" hidden="1" x14ac:dyDescent="0.35">
      <c r="C128" t="s">
        <v>279</v>
      </c>
      <c r="D128" t="s">
        <v>280</v>
      </c>
      <c r="E128" t="s">
        <v>8</v>
      </c>
      <c r="F128">
        <v>8</v>
      </c>
    </row>
    <row r="129" spans="1:6" hidden="1" x14ac:dyDescent="0.35">
      <c r="C129" t="s">
        <v>281</v>
      </c>
      <c r="D129" t="s">
        <v>282</v>
      </c>
      <c r="E129" t="s">
        <v>8</v>
      </c>
      <c r="F129">
        <v>7</v>
      </c>
    </row>
    <row r="130" spans="1:6" hidden="1" x14ac:dyDescent="0.35">
      <c r="C130" t="s">
        <v>283</v>
      </c>
      <c r="D130" t="s">
        <v>284</v>
      </c>
      <c r="E130" t="s">
        <v>8</v>
      </c>
      <c r="F130">
        <v>14</v>
      </c>
    </row>
    <row r="131" spans="1:6" hidden="1" x14ac:dyDescent="0.35">
      <c r="C131" t="s">
        <v>285</v>
      </c>
      <c r="D131" t="s">
        <v>286</v>
      </c>
      <c r="E131" t="s">
        <v>8</v>
      </c>
      <c r="F131">
        <v>12</v>
      </c>
    </row>
    <row r="132" spans="1:6" hidden="1" x14ac:dyDescent="0.35">
      <c r="C132" t="s">
        <v>287</v>
      </c>
      <c r="D132" t="s">
        <v>288</v>
      </c>
      <c r="E132" t="s">
        <v>8</v>
      </c>
      <c r="F132">
        <v>9</v>
      </c>
    </row>
    <row r="133" spans="1:6" hidden="1" x14ac:dyDescent="0.35">
      <c r="C133" t="s">
        <v>289</v>
      </c>
      <c r="D133" t="s">
        <v>290</v>
      </c>
      <c r="E133" t="s">
        <v>8</v>
      </c>
      <c r="F133">
        <v>2</v>
      </c>
    </row>
    <row r="134" spans="1:6" hidden="1" x14ac:dyDescent="0.35">
      <c r="C134" t="s">
        <v>291</v>
      </c>
      <c r="D134" t="s">
        <v>292</v>
      </c>
      <c r="E134" t="s">
        <v>8</v>
      </c>
      <c r="F134">
        <v>5</v>
      </c>
    </row>
    <row r="135" spans="1:6" hidden="1" x14ac:dyDescent="0.35">
      <c r="C135" t="s">
        <v>293</v>
      </c>
      <c r="D135" t="s">
        <v>294</v>
      </c>
      <c r="E135" t="s">
        <v>8</v>
      </c>
      <c r="F135">
        <v>8</v>
      </c>
    </row>
    <row r="136" spans="1:6" hidden="1" x14ac:dyDescent="0.35">
      <c r="C136" t="s">
        <v>295</v>
      </c>
      <c r="D136" t="s">
        <v>296</v>
      </c>
      <c r="E136" t="s">
        <v>8</v>
      </c>
      <c r="F136">
        <v>26</v>
      </c>
    </row>
    <row r="137" spans="1:6" hidden="1" x14ac:dyDescent="0.35">
      <c r="C137" t="s">
        <v>297</v>
      </c>
      <c r="D137" t="s">
        <v>298</v>
      </c>
      <c r="E137" t="s">
        <v>8</v>
      </c>
      <c r="F137">
        <v>8</v>
      </c>
    </row>
    <row r="138" spans="1:6" hidden="1" x14ac:dyDescent="0.35">
      <c r="C138" t="s">
        <v>299</v>
      </c>
      <c r="D138" t="s">
        <v>300</v>
      </c>
      <c r="E138" t="s">
        <v>8</v>
      </c>
      <c r="F138">
        <v>5</v>
      </c>
    </row>
    <row r="139" spans="1:6" hidden="1" x14ac:dyDescent="0.35">
      <c r="A139" t="s">
        <v>301</v>
      </c>
      <c r="B139" t="s">
        <v>302</v>
      </c>
      <c r="C139" t="s">
        <v>303</v>
      </c>
      <c r="D139" t="s">
        <v>304</v>
      </c>
      <c r="E139" t="s">
        <v>8</v>
      </c>
      <c r="F139">
        <v>2</v>
      </c>
    </row>
    <row r="140" spans="1:6" hidden="1" x14ac:dyDescent="0.35">
      <c r="B140" t="s">
        <v>305</v>
      </c>
      <c r="C140" t="s">
        <v>306</v>
      </c>
      <c r="D140" t="s">
        <v>307</v>
      </c>
      <c r="E140" t="s">
        <v>8</v>
      </c>
      <c r="F140">
        <v>9</v>
      </c>
    </row>
    <row r="141" spans="1:6" hidden="1" x14ac:dyDescent="0.35">
      <c r="C141" t="s">
        <v>308</v>
      </c>
      <c r="D141" t="s">
        <v>309</v>
      </c>
      <c r="E141" t="s">
        <v>8</v>
      </c>
      <c r="F141">
        <v>24</v>
      </c>
    </row>
    <row r="142" spans="1:6" x14ac:dyDescent="0.35">
      <c r="C142" t="s">
        <v>310</v>
      </c>
      <c r="D142" t="s">
        <v>311</v>
      </c>
      <c r="E142" t="s">
        <v>8</v>
      </c>
      <c r="F142" t="e">
        <v>#N/A</v>
      </c>
    </row>
    <row r="143" spans="1:6" x14ac:dyDescent="0.35">
      <c r="C143" t="s">
        <v>312</v>
      </c>
      <c r="D143" t="s">
        <v>313</v>
      </c>
      <c r="E143" t="s">
        <v>8</v>
      </c>
      <c r="F143" t="e">
        <v>#N/A</v>
      </c>
    </row>
    <row r="144" spans="1:6" x14ac:dyDescent="0.35">
      <c r="C144" t="s">
        <v>314</v>
      </c>
      <c r="D144" t="s">
        <v>315</v>
      </c>
      <c r="E144" t="s">
        <v>8</v>
      </c>
      <c r="F144" t="e">
        <v>#N/A</v>
      </c>
    </row>
    <row r="145" spans="2:6" hidden="1" x14ac:dyDescent="0.35">
      <c r="C145" t="s">
        <v>316</v>
      </c>
      <c r="D145" t="s">
        <v>317</v>
      </c>
      <c r="E145" t="s">
        <v>8</v>
      </c>
      <c r="F145">
        <v>15</v>
      </c>
    </row>
    <row r="146" spans="2:6" hidden="1" x14ac:dyDescent="0.35">
      <c r="C146" t="s">
        <v>318</v>
      </c>
      <c r="D146" t="s">
        <v>319</v>
      </c>
      <c r="E146" t="s">
        <v>8</v>
      </c>
      <c r="F146">
        <v>10</v>
      </c>
    </row>
    <row r="147" spans="2:6" x14ac:dyDescent="0.35">
      <c r="C147" t="s">
        <v>320</v>
      </c>
      <c r="D147" t="s">
        <v>321</v>
      </c>
      <c r="E147" t="s">
        <v>8</v>
      </c>
      <c r="F147" t="e">
        <v>#N/A</v>
      </c>
    </row>
    <row r="148" spans="2:6" hidden="1" x14ac:dyDescent="0.35">
      <c r="C148" t="s">
        <v>322</v>
      </c>
      <c r="D148" t="s">
        <v>323</v>
      </c>
      <c r="E148" t="s">
        <v>8</v>
      </c>
      <c r="F148">
        <v>24</v>
      </c>
    </row>
    <row r="149" spans="2:6" x14ac:dyDescent="0.35">
      <c r="C149" t="s">
        <v>324</v>
      </c>
      <c r="D149" t="s">
        <v>323</v>
      </c>
      <c r="E149" t="s">
        <v>8</v>
      </c>
      <c r="F149" t="e">
        <v>#N/A</v>
      </c>
    </row>
    <row r="150" spans="2:6" hidden="1" x14ac:dyDescent="0.35">
      <c r="B150" t="s">
        <v>325</v>
      </c>
      <c r="C150" t="s">
        <v>326</v>
      </c>
      <c r="D150" t="s">
        <v>327</v>
      </c>
      <c r="E150" t="s">
        <v>8</v>
      </c>
      <c r="F150">
        <v>21</v>
      </c>
    </row>
    <row r="151" spans="2:6" x14ac:dyDescent="0.35">
      <c r="C151" t="s">
        <v>328</v>
      </c>
      <c r="D151" t="s">
        <v>329</v>
      </c>
      <c r="E151" t="s">
        <v>8</v>
      </c>
      <c r="F151" t="e">
        <v>#N/A</v>
      </c>
    </row>
    <row r="152" spans="2:6" x14ac:dyDescent="0.35">
      <c r="B152" t="s">
        <v>99</v>
      </c>
      <c r="C152" t="s">
        <v>330</v>
      </c>
      <c r="D152" t="s">
        <v>331</v>
      </c>
      <c r="E152" t="s">
        <v>8</v>
      </c>
      <c r="F152" t="e">
        <v>#N/A</v>
      </c>
    </row>
    <row r="153" spans="2:6" x14ac:dyDescent="0.35">
      <c r="B153" t="s">
        <v>102</v>
      </c>
      <c r="C153" t="s">
        <v>332</v>
      </c>
      <c r="D153" t="s">
        <v>333</v>
      </c>
      <c r="E153" t="s">
        <v>8</v>
      </c>
      <c r="F153" t="e">
        <v>#N/A</v>
      </c>
    </row>
    <row r="154" spans="2:6" hidden="1" x14ac:dyDescent="0.35">
      <c r="B154" t="s">
        <v>334</v>
      </c>
      <c r="C154" t="s">
        <v>335</v>
      </c>
      <c r="D154" t="s">
        <v>336</v>
      </c>
      <c r="E154" t="s">
        <v>8</v>
      </c>
      <c r="F154">
        <v>5</v>
      </c>
    </row>
    <row r="155" spans="2:6" hidden="1" x14ac:dyDescent="0.35">
      <c r="C155" t="s">
        <v>337</v>
      </c>
      <c r="D155" t="s">
        <v>338</v>
      </c>
      <c r="E155" t="s">
        <v>8</v>
      </c>
      <c r="F155">
        <v>1</v>
      </c>
    </row>
    <row r="156" spans="2:6" x14ac:dyDescent="0.35">
      <c r="C156" t="s">
        <v>339</v>
      </c>
      <c r="D156" t="s">
        <v>340</v>
      </c>
      <c r="E156" t="s">
        <v>8</v>
      </c>
      <c r="F156" t="e">
        <v>#N/A</v>
      </c>
    </row>
    <row r="157" spans="2:6" x14ac:dyDescent="0.35">
      <c r="C157" t="s">
        <v>341</v>
      </c>
      <c r="D157" t="s">
        <v>342</v>
      </c>
      <c r="E157" t="s">
        <v>8</v>
      </c>
      <c r="F157" t="e">
        <v>#N/A</v>
      </c>
    </row>
    <row r="158" spans="2:6" x14ac:dyDescent="0.35">
      <c r="C158" t="s">
        <v>343</v>
      </c>
      <c r="D158" t="s">
        <v>342</v>
      </c>
      <c r="E158" t="s">
        <v>8</v>
      </c>
      <c r="F158" t="e">
        <v>#N/A</v>
      </c>
    </row>
    <row r="159" spans="2:6" hidden="1" x14ac:dyDescent="0.35">
      <c r="C159" t="s">
        <v>344</v>
      </c>
      <c r="D159" t="s">
        <v>345</v>
      </c>
      <c r="E159" t="s">
        <v>8</v>
      </c>
      <c r="F159">
        <v>17</v>
      </c>
    </row>
    <row r="160" spans="2:6" hidden="1" x14ac:dyDescent="0.35">
      <c r="C160" t="s">
        <v>346</v>
      </c>
      <c r="D160" t="s">
        <v>347</v>
      </c>
      <c r="E160" t="s">
        <v>8</v>
      </c>
      <c r="F160">
        <v>14</v>
      </c>
    </row>
    <row r="161" spans="2:6" x14ac:dyDescent="0.35">
      <c r="C161" t="s">
        <v>348</v>
      </c>
      <c r="D161" t="s">
        <v>349</v>
      </c>
      <c r="E161" t="s">
        <v>8</v>
      </c>
      <c r="F161" t="e">
        <v>#N/A</v>
      </c>
    </row>
    <row r="162" spans="2:6" hidden="1" x14ac:dyDescent="0.35">
      <c r="C162" t="s">
        <v>350</v>
      </c>
      <c r="D162" t="s">
        <v>351</v>
      </c>
      <c r="E162" t="s">
        <v>8</v>
      </c>
      <c r="F162">
        <v>26</v>
      </c>
    </row>
    <row r="163" spans="2:6" hidden="1" x14ac:dyDescent="0.35">
      <c r="B163" t="s">
        <v>352</v>
      </c>
      <c r="C163" t="s">
        <v>353</v>
      </c>
      <c r="D163" t="s">
        <v>354</v>
      </c>
      <c r="E163" t="s">
        <v>8</v>
      </c>
      <c r="F163">
        <v>17</v>
      </c>
    </row>
    <row r="164" spans="2:6" x14ac:dyDescent="0.35">
      <c r="C164" t="s">
        <v>355</v>
      </c>
      <c r="D164" t="s">
        <v>356</v>
      </c>
      <c r="E164" t="s">
        <v>8</v>
      </c>
      <c r="F164" t="e">
        <v>#N/A</v>
      </c>
    </row>
    <row r="165" spans="2:6" hidden="1" x14ac:dyDescent="0.35">
      <c r="B165" t="s">
        <v>357</v>
      </c>
      <c r="C165" t="s">
        <v>358</v>
      </c>
      <c r="D165" t="s">
        <v>359</v>
      </c>
      <c r="E165" t="s">
        <v>8</v>
      </c>
      <c r="F165">
        <v>14</v>
      </c>
    </row>
    <row r="166" spans="2:6" hidden="1" x14ac:dyDescent="0.35">
      <c r="C166" t="s">
        <v>360</v>
      </c>
      <c r="D166" t="s">
        <v>361</v>
      </c>
      <c r="E166" t="s">
        <v>8</v>
      </c>
      <c r="F166">
        <v>9</v>
      </c>
    </row>
    <row r="167" spans="2:6" hidden="1" x14ac:dyDescent="0.35">
      <c r="C167" t="s">
        <v>362</v>
      </c>
      <c r="D167" t="s">
        <v>363</v>
      </c>
      <c r="E167" t="s">
        <v>8</v>
      </c>
      <c r="F167">
        <v>85.5</v>
      </c>
    </row>
    <row r="168" spans="2:6" x14ac:dyDescent="0.35">
      <c r="C168" t="s">
        <v>364</v>
      </c>
      <c r="D168" t="s">
        <v>365</v>
      </c>
      <c r="E168" t="s">
        <v>8</v>
      </c>
      <c r="F168" t="e">
        <v>#N/A</v>
      </c>
    </row>
    <row r="169" spans="2:6" x14ac:dyDescent="0.35">
      <c r="C169" t="s">
        <v>366</v>
      </c>
      <c r="D169" t="s">
        <v>367</v>
      </c>
      <c r="E169" t="s">
        <v>8</v>
      </c>
      <c r="F169" t="e">
        <v>#N/A</v>
      </c>
    </row>
    <row r="170" spans="2:6" x14ac:dyDescent="0.35">
      <c r="C170" t="s">
        <v>368</v>
      </c>
      <c r="D170" t="s">
        <v>369</v>
      </c>
      <c r="E170" t="s">
        <v>8</v>
      </c>
      <c r="F170" t="e">
        <v>#N/A</v>
      </c>
    </row>
    <row r="171" spans="2:6" x14ac:dyDescent="0.35">
      <c r="C171" t="s">
        <v>370</v>
      </c>
      <c r="D171" t="s">
        <v>371</v>
      </c>
      <c r="E171" t="s">
        <v>8</v>
      </c>
      <c r="F171" t="e">
        <v>#N/A</v>
      </c>
    </row>
    <row r="172" spans="2:6" x14ac:dyDescent="0.35">
      <c r="C172" t="s">
        <v>372</v>
      </c>
      <c r="D172" t="s">
        <v>373</v>
      </c>
      <c r="E172" t="s">
        <v>8</v>
      </c>
      <c r="F172" t="e">
        <v>#N/A</v>
      </c>
    </row>
    <row r="173" spans="2:6" hidden="1" x14ac:dyDescent="0.35">
      <c r="C173" t="s">
        <v>374</v>
      </c>
      <c r="D173" t="s">
        <v>375</v>
      </c>
      <c r="E173" t="s">
        <v>8</v>
      </c>
      <c r="F173">
        <v>2</v>
      </c>
    </row>
    <row r="174" spans="2:6" hidden="1" x14ac:dyDescent="0.35">
      <c r="C174" t="s">
        <v>376</v>
      </c>
      <c r="D174" t="s">
        <v>377</v>
      </c>
      <c r="E174" t="s">
        <v>8</v>
      </c>
      <c r="F174">
        <v>15</v>
      </c>
    </row>
    <row r="175" spans="2:6" hidden="1" x14ac:dyDescent="0.35">
      <c r="C175" t="s">
        <v>378</v>
      </c>
      <c r="D175" t="s">
        <v>379</v>
      </c>
      <c r="E175" t="s">
        <v>8</v>
      </c>
      <c r="F175">
        <v>51.594899999999996</v>
      </c>
    </row>
    <row r="176" spans="2:6" x14ac:dyDescent="0.35">
      <c r="C176" t="s">
        <v>380</v>
      </c>
      <c r="D176" t="s">
        <v>381</v>
      </c>
      <c r="E176" t="s">
        <v>8</v>
      </c>
      <c r="F176" t="e">
        <v>#N/A</v>
      </c>
    </row>
    <row r="177" spans="2:6" hidden="1" x14ac:dyDescent="0.35">
      <c r="C177" t="s">
        <v>382</v>
      </c>
      <c r="D177" t="s">
        <v>383</v>
      </c>
      <c r="E177" t="s">
        <v>8</v>
      </c>
      <c r="F177">
        <v>22</v>
      </c>
    </row>
    <row r="178" spans="2:6" hidden="1" x14ac:dyDescent="0.35">
      <c r="C178" t="s">
        <v>384</v>
      </c>
      <c r="D178" t="s">
        <v>385</v>
      </c>
      <c r="E178" t="s">
        <v>8</v>
      </c>
      <c r="F178">
        <v>47</v>
      </c>
    </row>
    <row r="179" spans="2:6" hidden="1" x14ac:dyDescent="0.35">
      <c r="B179" t="s">
        <v>386</v>
      </c>
      <c r="C179" t="s">
        <v>387</v>
      </c>
      <c r="D179" t="s">
        <v>388</v>
      </c>
      <c r="E179" t="s">
        <v>8</v>
      </c>
      <c r="F179">
        <v>3</v>
      </c>
    </row>
    <row r="180" spans="2:6" hidden="1" x14ac:dyDescent="0.35">
      <c r="C180" t="s">
        <v>389</v>
      </c>
      <c r="D180" t="s">
        <v>390</v>
      </c>
      <c r="E180" t="s">
        <v>8</v>
      </c>
      <c r="F180">
        <v>4</v>
      </c>
    </row>
    <row r="181" spans="2:6" x14ac:dyDescent="0.35">
      <c r="C181" t="s">
        <v>391</v>
      </c>
      <c r="D181" t="s">
        <v>392</v>
      </c>
      <c r="E181" t="s">
        <v>8</v>
      </c>
      <c r="F181" t="e">
        <v>#N/A</v>
      </c>
    </row>
    <row r="182" spans="2:6" hidden="1" x14ac:dyDescent="0.35">
      <c r="C182" t="s">
        <v>393</v>
      </c>
      <c r="D182" t="s">
        <v>394</v>
      </c>
      <c r="E182" t="s">
        <v>8</v>
      </c>
      <c r="F182">
        <v>17</v>
      </c>
    </row>
    <row r="183" spans="2:6" hidden="1" x14ac:dyDescent="0.35">
      <c r="C183" t="s">
        <v>395</v>
      </c>
      <c r="D183" t="s">
        <v>396</v>
      </c>
      <c r="E183" t="s">
        <v>8</v>
      </c>
      <c r="F183">
        <v>3</v>
      </c>
    </row>
    <row r="184" spans="2:6" x14ac:dyDescent="0.35">
      <c r="C184" t="s">
        <v>397</v>
      </c>
      <c r="D184" t="s">
        <v>398</v>
      </c>
      <c r="E184" t="s">
        <v>8</v>
      </c>
      <c r="F184" t="e">
        <v>#N/A</v>
      </c>
    </row>
    <row r="185" spans="2:6" x14ac:dyDescent="0.35">
      <c r="C185" t="s">
        <v>399</v>
      </c>
      <c r="D185" t="s">
        <v>400</v>
      </c>
      <c r="E185" t="s">
        <v>8</v>
      </c>
      <c r="F185" t="e">
        <v>#N/A</v>
      </c>
    </row>
    <row r="186" spans="2:6" hidden="1" x14ac:dyDescent="0.35">
      <c r="C186" t="s">
        <v>401</v>
      </c>
      <c r="D186" t="s">
        <v>402</v>
      </c>
      <c r="E186" t="s">
        <v>8</v>
      </c>
      <c r="F186">
        <v>12</v>
      </c>
    </row>
    <row r="187" spans="2:6" hidden="1" x14ac:dyDescent="0.35">
      <c r="B187" t="s">
        <v>403</v>
      </c>
      <c r="C187" t="s">
        <v>404</v>
      </c>
      <c r="D187" t="s">
        <v>405</v>
      </c>
      <c r="E187" t="s">
        <v>8</v>
      </c>
      <c r="F187">
        <v>8</v>
      </c>
    </row>
    <row r="188" spans="2:6" hidden="1" x14ac:dyDescent="0.35">
      <c r="C188" t="s">
        <v>406</v>
      </c>
      <c r="D188" t="s">
        <v>407</v>
      </c>
      <c r="E188" t="s">
        <v>8</v>
      </c>
      <c r="F188">
        <v>15</v>
      </c>
    </row>
    <row r="189" spans="2:6" x14ac:dyDescent="0.35">
      <c r="C189" t="s">
        <v>408</v>
      </c>
      <c r="D189" t="s">
        <v>409</v>
      </c>
      <c r="E189" t="s">
        <v>8</v>
      </c>
      <c r="F189" t="e">
        <v>#N/A</v>
      </c>
    </row>
    <row r="190" spans="2:6" hidden="1" x14ac:dyDescent="0.35">
      <c r="C190" t="s">
        <v>410</v>
      </c>
      <c r="D190" t="s">
        <v>411</v>
      </c>
      <c r="E190" t="s">
        <v>8</v>
      </c>
      <c r="F190">
        <v>14</v>
      </c>
    </row>
    <row r="191" spans="2:6" hidden="1" x14ac:dyDescent="0.35">
      <c r="C191" t="s">
        <v>412</v>
      </c>
      <c r="D191" t="s">
        <v>413</v>
      </c>
      <c r="E191" t="s">
        <v>8</v>
      </c>
      <c r="F191">
        <v>7</v>
      </c>
    </row>
    <row r="192" spans="2:6" x14ac:dyDescent="0.35">
      <c r="C192" t="s">
        <v>414</v>
      </c>
      <c r="D192" t="s">
        <v>415</v>
      </c>
      <c r="E192" t="s">
        <v>8</v>
      </c>
      <c r="F192" t="e">
        <v>#N/A</v>
      </c>
    </row>
    <row r="193" spans="1:6" hidden="1" x14ac:dyDescent="0.35">
      <c r="C193" t="s">
        <v>416</v>
      </c>
      <c r="D193" t="s">
        <v>417</v>
      </c>
      <c r="E193" t="s">
        <v>8</v>
      </c>
      <c r="F193">
        <v>15</v>
      </c>
    </row>
    <row r="194" spans="1:6" x14ac:dyDescent="0.35">
      <c r="C194" t="s">
        <v>418</v>
      </c>
      <c r="D194" t="s">
        <v>417</v>
      </c>
      <c r="E194" t="s">
        <v>8</v>
      </c>
      <c r="F194" t="e">
        <v>#N/A</v>
      </c>
    </row>
    <row r="195" spans="1:6" hidden="1" x14ac:dyDescent="0.35">
      <c r="B195" t="s">
        <v>419</v>
      </c>
      <c r="C195" t="s">
        <v>420</v>
      </c>
      <c r="D195" t="s">
        <v>421</v>
      </c>
      <c r="E195" t="s">
        <v>8</v>
      </c>
      <c r="F195">
        <v>23</v>
      </c>
    </row>
    <row r="196" spans="1:6" x14ac:dyDescent="0.35">
      <c r="C196" t="s">
        <v>422</v>
      </c>
      <c r="D196" t="s">
        <v>423</v>
      </c>
      <c r="E196" t="s">
        <v>8</v>
      </c>
      <c r="F196" t="e">
        <v>#N/A</v>
      </c>
    </row>
    <row r="197" spans="1:6" x14ac:dyDescent="0.35">
      <c r="C197" t="s">
        <v>424</v>
      </c>
      <c r="D197" t="s">
        <v>425</v>
      </c>
      <c r="E197" t="s">
        <v>8</v>
      </c>
      <c r="F197" t="e">
        <v>#N/A</v>
      </c>
    </row>
    <row r="198" spans="1:6" x14ac:dyDescent="0.35">
      <c r="C198" t="s">
        <v>426</v>
      </c>
      <c r="D198" t="s">
        <v>427</v>
      </c>
      <c r="E198" t="s">
        <v>8</v>
      </c>
      <c r="F198" t="e">
        <v>#N/A</v>
      </c>
    </row>
    <row r="199" spans="1:6" hidden="1" x14ac:dyDescent="0.35">
      <c r="C199" t="s">
        <v>428</v>
      </c>
      <c r="D199" t="s">
        <v>429</v>
      </c>
      <c r="E199" t="s">
        <v>8</v>
      </c>
      <c r="F199">
        <v>6</v>
      </c>
    </row>
    <row r="200" spans="1:6" hidden="1" x14ac:dyDescent="0.35">
      <c r="C200" t="s">
        <v>430</v>
      </c>
      <c r="D200" t="s">
        <v>431</v>
      </c>
      <c r="E200" t="s">
        <v>8</v>
      </c>
      <c r="F200">
        <v>6</v>
      </c>
    </row>
    <row r="201" spans="1:6" x14ac:dyDescent="0.35">
      <c r="C201" t="s">
        <v>432</v>
      </c>
      <c r="D201" t="s">
        <v>433</v>
      </c>
      <c r="E201" t="s">
        <v>8</v>
      </c>
      <c r="F201" t="e">
        <v>#N/A</v>
      </c>
    </row>
    <row r="202" spans="1:6" x14ac:dyDescent="0.35">
      <c r="C202" t="s">
        <v>434</v>
      </c>
      <c r="D202" t="s">
        <v>435</v>
      </c>
      <c r="E202" t="s">
        <v>8</v>
      </c>
      <c r="F202" t="e">
        <v>#N/A</v>
      </c>
    </row>
    <row r="203" spans="1:6" hidden="1" x14ac:dyDescent="0.35">
      <c r="A203" t="s">
        <v>436</v>
      </c>
      <c r="B203" t="s">
        <v>436</v>
      </c>
      <c r="C203" t="s">
        <v>437</v>
      </c>
      <c r="D203" t="s">
        <v>438</v>
      </c>
      <c r="E203" t="s">
        <v>8</v>
      </c>
      <c r="F203">
        <v>201</v>
      </c>
    </row>
    <row r="204" spans="1:6" x14ac:dyDescent="0.35">
      <c r="A204" t="s">
        <v>439</v>
      </c>
      <c r="B204" t="s">
        <v>440</v>
      </c>
      <c r="C204" t="s">
        <v>441</v>
      </c>
      <c r="D204" t="s">
        <v>442</v>
      </c>
      <c r="E204" t="s">
        <v>8</v>
      </c>
      <c r="F204" t="e">
        <v>#N/A</v>
      </c>
    </row>
    <row r="205" spans="1:6" hidden="1" x14ac:dyDescent="0.35">
      <c r="B205" t="s">
        <v>439</v>
      </c>
      <c r="C205" t="s">
        <v>443</v>
      </c>
      <c r="D205" t="s">
        <v>444</v>
      </c>
      <c r="E205" t="s">
        <v>8</v>
      </c>
      <c r="F205">
        <v>14</v>
      </c>
    </row>
    <row r="206" spans="1:6" hidden="1" x14ac:dyDescent="0.35">
      <c r="C206" t="s">
        <v>445</v>
      </c>
      <c r="D206" t="s">
        <v>446</v>
      </c>
      <c r="E206" t="s">
        <v>8</v>
      </c>
      <c r="F206">
        <v>18</v>
      </c>
    </row>
    <row r="207" spans="1:6" hidden="1" x14ac:dyDescent="0.35">
      <c r="C207" t="s">
        <v>447</v>
      </c>
      <c r="D207" t="s">
        <v>448</v>
      </c>
      <c r="E207" t="s">
        <v>8</v>
      </c>
      <c r="F207">
        <v>8</v>
      </c>
    </row>
    <row r="208" spans="1:6" hidden="1" x14ac:dyDescent="0.35">
      <c r="C208" t="s">
        <v>449</v>
      </c>
      <c r="D208" t="s">
        <v>450</v>
      </c>
      <c r="E208" t="s">
        <v>8</v>
      </c>
      <c r="F208">
        <v>7</v>
      </c>
    </row>
    <row r="209" spans="3:6" x14ac:dyDescent="0.35">
      <c r="C209" t="s">
        <v>451</v>
      </c>
      <c r="D209" t="s">
        <v>452</v>
      </c>
      <c r="E209" t="s">
        <v>8</v>
      </c>
      <c r="F209" t="e">
        <v>#N/A</v>
      </c>
    </row>
    <row r="210" spans="3:6" hidden="1" x14ac:dyDescent="0.35">
      <c r="C210" t="s">
        <v>453</v>
      </c>
      <c r="D210" t="s">
        <v>454</v>
      </c>
      <c r="E210" t="s">
        <v>8</v>
      </c>
      <c r="F210">
        <v>16</v>
      </c>
    </row>
    <row r="211" spans="3:6" hidden="1" x14ac:dyDescent="0.35">
      <c r="C211" t="s">
        <v>455</v>
      </c>
      <c r="D211" t="s">
        <v>456</v>
      </c>
      <c r="E211" t="s">
        <v>8</v>
      </c>
      <c r="F211">
        <v>13</v>
      </c>
    </row>
    <row r="212" spans="3:6" hidden="1" x14ac:dyDescent="0.35">
      <c r="C212" t="s">
        <v>457</v>
      </c>
      <c r="D212" t="s">
        <v>458</v>
      </c>
      <c r="E212" t="s">
        <v>8</v>
      </c>
      <c r="F212">
        <v>17</v>
      </c>
    </row>
    <row r="213" spans="3:6" x14ac:dyDescent="0.35">
      <c r="C213" t="s">
        <v>459</v>
      </c>
      <c r="D213" t="s">
        <v>460</v>
      </c>
      <c r="E213" t="s">
        <v>8</v>
      </c>
      <c r="F213" t="e">
        <v>#N/A</v>
      </c>
    </row>
    <row r="214" spans="3:6" x14ac:dyDescent="0.35">
      <c r="C214" t="s">
        <v>461</v>
      </c>
      <c r="D214" t="s">
        <v>462</v>
      </c>
      <c r="E214" t="s">
        <v>8</v>
      </c>
      <c r="F214" t="e">
        <v>#N/A</v>
      </c>
    </row>
    <row r="215" spans="3:6" hidden="1" x14ac:dyDescent="0.35">
      <c r="C215" t="s">
        <v>463</v>
      </c>
      <c r="D215" t="s">
        <v>464</v>
      </c>
      <c r="E215" t="s">
        <v>8</v>
      </c>
      <c r="F215">
        <v>13</v>
      </c>
    </row>
    <row r="216" spans="3:6" hidden="1" x14ac:dyDescent="0.35">
      <c r="C216" t="s">
        <v>465</v>
      </c>
      <c r="D216" t="s">
        <v>466</v>
      </c>
      <c r="E216" t="s">
        <v>8</v>
      </c>
      <c r="F216">
        <v>57</v>
      </c>
    </row>
    <row r="217" spans="3:6" x14ac:dyDescent="0.35">
      <c r="C217" t="s">
        <v>467</v>
      </c>
      <c r="D217" t="s">
        <v>468</v>
      </c>
      <c r="E217" t="s">
        <v>8</v>
      </c>
      <c r="F217" t="e">
        <v>#N/A</v>
      </c>
    </row>
    <row r="218" spans="3:6" hidden="1" x14ac:dyDescent="0.35">
      <c r="C218" t="s">
        <v>469</v>
      </c>
      <c r="D218" t="s">
        <v>470</v>
      </c>
      <c r="E218" t="s">
        <v>8</v>
      </c>
      <c r="F218">
        <v>17</v>
      </c>
    </row>
    <row r="219" spans="3:6" hidden="1" x14ac:dyDescent="0.35">
      <c r="C219" t="s">
        <v>471</v>
      </c>
      <c r="D219" t="s">
        <v>472</v>
      </c>
      <c r="E219" t="s">
        <v>8</v>
      </c>
      <c r="F219">
        <v>104</v>
      </c>
    </row>
    <row r="220" spans="3:6" hidden="1" x14ac:dyDescent="0.35">
      <c r="C220" t="s">
        <v>473</v>
      </c>
      <c r="D220" t="s">
        <v>474</v>
      </c>
      <c r="E220" t="s">
        <v>8</v>
      </c>
      <c r="F220">
        <v>59</v>
      </c>
    </row>
    <row r="221" spans="3:6" hidden="1" x14ac:dyDescent="0.35">
      <c r="C221" t="s">
        <v>475</v>
      </c>
      <c r="D221" t="s">
        <v>476</v>
      </c>
      <c r="E221" t="s">
        <v>8</v>
      </c>
      <c r="F221">
        <v>10</v>
      </c>
    </row>
    <row r="222" spans="3:6" hidden="1" x14ac:dyDescent="0.35">
      <c r="C222" t="s">
        <v>477</v>
      </c>
      <c r="D222" t="s">
        <v>478</v>
      </c>
      <c r="E222" t="s">
        <v>8</v>
      </c>
      <c r="F222">
        <v>15</v>
      </c>
    </row>
    <row r="223" spans="3:6" hidden="1" x14ac:dyDescent="0.35">
      <c r="C223" t="s">
        <v>479</v>
      </c>
      <c r="D223" t="s">
        <v>480</v>
      </c>
      <c r="E223" t="s">
        <v>8</v>
      </c>
      <c r="F223">
        <v>9</v>
      </c>
    </row>
    <row r="224" spans="3:6" hidden="1" x14ac:dyDescent="0.35">
      <c r="C224" t="s">
        <v>481</v>
      </c>
      <c r="D224" t="s">
        <v>482</v>
      </c>
      <c r="E224" t="s">
        <v>8</v>
      </c>
      <c r="F224">
        <v>2</v>
      </c>
    </row>
    <row r="225" spans="3:6" x14ac:dyDescent="0.35">
      <c r="C225" t="s">
        <v>483</v>
      </c>
      <c r="D225" t="s">
        <v>484</v>
      </c>
      <c r="E225" t="s">
        <v>8</v>
      </c>
      <c r="F225" t="e">
        <v>#N/A</v>
      </c>
    </row>
    <row r="226" spans="3:6" hidden="1" x14ac:dyDescent="0.35">
      <c r="C226" t="s">
        <v>485</v>
      </c>
      <c r="D226" t="s">
        <v>486</v>
      </c>
      <c r="E226" t="s">
        <v>8</v>
      </c>
      <c r="F226">
        <v>23.5</v>
      </c>
    </row>
    <row r="227" spans="3:6" hidden="1" x14ac:dyDescent="0.35">
      <c r="C227" t="s">
        <v>487</v>
      </c>
      <c r="D227" t="s">
        <v>488</v>
      </c>
      <c r="E227" t="s">
        <v>8</v>
      </c>
      <c r="F227">
        <v>15</v>
      </c>
    </row>
    <row r="228" spans="3:6" hidden="1" x14ac:dyDescent="0.35">
      <c r="C228" t="s">
        <v>489</v>
      </c>
      <c r="D228" t="s">
        <v>490</v>
      </c>
      <c r="E228" t="s">
        <v>8</v>
      </c>
      <c r="F228">
        <v>4</v>
      </c>
    </row>
    <row r="229" spans="3:6" x14ac:dyDescent="0.35">
      <c r="C229" t="s">
        <v>491</v>
      </c>
      <c r="D229" t="s">
        <v>492</v>
      </c>
      <c r="E229" t="s">
        <v>8</v>
      </c>
      <c r="F229" t="e">
        <v>#N/A</v>
      </c>
    </row>
    <row r="230" spans="3:6" x14ac:dyDescent="0.35">
      <c r="C230" t="s">
        <v>493</v>
      </c>
      <c r="D230" t="s">
        <v>494</v>
      </c>
      <c r="E230" t="s">
        <v>8</v>
      </c>
      <c r="F230" t="e">
        <v>#N/A</v>
      </c>
    </row>
    <row r="231" spans="3:6" hidden="1" x14ac:dyDescent="0.35">
      <c r="C231" t="s">
        <v>495</v>
      </c>
      <c r="D231" t="s">
        <v>496</v>
      </c>
      <c r="E231" t="s">
        <v>8</v>
      </c>
      <c r="F231">
        <v>11</v>
      </c>
    </row>
    <row r="232" spans="3:6" x14ac:dyDescent="0.35">
      <c r="C232" t="s">
        <v>497</v>
      </c>
      <c r="D232" t="s">
        <v>498</v>
      </c>
      <c r="E232" t="s">
        <v>8</v>
      </c>
      <c r="F232" t="e">
        <v>#N/A</v>
      </c>
    </row>
    <row r="233" spans="3:6" hidden="1" x14ac:dyDescent="0.35">
      <c r="C233" t="s">
        <v>499</v>
      </c>
      <c r="D233" t="s">
        <v>500</v>
      </c>
      <c r="E233" t="s">
        <v>8</v>
      </c>
      <c r="F233">
        <v>7</v>
      </c>
    </row>
    <row r="234" spans="3:6" hidden="1" x14ac:dyDescent="0.35">
      <c r="C234" t="s">
        <v>501</v>
      </c>
      <c r="D234" t="s">
        <v>502</v>
      </c>
      <c r="E234" t="s">
        <v>8</v>
      </c>
      <c r="F234">
        <v>19</v>
      </c>
    </row>
    <row r="235" spans="3:6" hidden="1" x14ac:dyDescent="0.35">
      <c r="C235" t="s">
        <v>503</v>
      </c>
      <c r="D235" t="s">
        <v>504</v>
      </c>
      <c r="E235" t="s">
        <v>8</v>
      </c>
      <c r="F235">
        <v>7</v>
      </c>
    </row>
    <row r="236" spans="3:6" x14ac:dyDescent="0.35">
      <c r="C236" t="s">
        <v>505</v>
      </c>
      <c r="D236" t="s">
        <v>506</v>
      </c>
      <c r="E236" t="s">
        <v>8</v>
      </c>
      <c r="F236" t="e">
        <v>#N/A</v>
      </c>
    </row>
    <row r="237" spans="3:6" x14ac:dyDescent="0.35">
      <c r="C237" t="s">
        <v>507</v>
      </c>
      <c r="D237" t="s">
        <v>508</v>
      </c>
      <c r="E237" t="s">
        <v>8</v>
      </c>
      <c r="F237" t="e">
        <v>#N/A</v>
      </c>
    </row>
    <row r="238" spans="3:6" hidden="1" x14ac:dyDescent="0.35">
      <c r="C238" t="s">
        <v>509</v>
      </c>
      <c r="D238" t="s">
        <v>510</v>
      </c>
      <c r="E238" t="s">
        <v>8</v>
      </c>
      <c r="F238">
        <v>6</v>
      </c>
    </row>
    <row r="239" spans="3:6" hidden="1" x14ac:dyDescent="0.35">
      <c r="C239" t="s">
        <v>511</v>
      </c>
      <c r="D239" t="s">
        <v>512</v>
      </c>
      <c r="E239" t="s">
        <v>8</v>
      </c>
      <c r="F239">
        <v>10</v>
      </c>
    </row>
    <row r="240" spans="3:6" x14ac:dyDescent="0.35">
      <c r="C240" t="s">
        <v>513</v>
      </c>
      <c r="D240" t="s">
        <v>514</v>
      </c>
      <c r="E240" t="s">
        <v>8</v>
      </c>
      <c r="F240" t="e">
        <v>#N/A</v>
      </c>
    </row>
    <row r="241" spans="3:6" x14ac:dyDescent="0.35">
      <c r="C241" t="s">
        <v>515</v>
      </c>
      <c r="D241" t="s">
        <v>516</v>
      </c>
      <c r="E241" t="s">
        <v>8</v>
      </c>
      <c r="F241" t="e">
        <v>#N/A</v>
      </c>
    </row>
    <row r="242" spans="3:6" x14ac:dyDescent="0.35">
      <c r="C242" t="s">
        <v>517</v>
      </c>
      <c r="D242" t="s">
        <v>518</v>
      </c>
      <c r="E242" t="s">
        <v>8</v>
      </c>
      <c r="F242" t="e">
        <v>#N/A</v>
      </c>
    </row>
    <row r="243" spans="3:6" x14ac:dyDescent="0.35">
      <c r="C243" t="s">
        <v>519</v>
      </c>
      <c r="D243" t="s">
        <v>520</v>
      </c>
      <c r="E243" t="s">
        <v>8</v>
      </c>
      <c r="F243" t="e">
        <v>#N/A</v>
      </c>
    </row>
    <row r="244" spans="3:6" x14ac:dyDescent="0.35">
      <c r="C244" t="s">
        <v>521</v>
      </c>
      <c r="D244" t="s">
        <v>522</v>
      </c>
      <c r="E244" t="s">
        <v>8</v>
      </c>
      <c r="F244" t="e">
        <v>#N/A</v>
      </c>
    </row>
    <row r="245" spans="3:6" hidden="1" x14ac:dyDescent="0.35">
      <c r="C245" t="s">
        <v>523</v>
      </c>
      <c r="D245" t="s">
        <v>524</v>
      </c>
      <c r="E245" t="s">
        <v>8</v>
      </c>
      <c r="F245">
        <v>16</v>
      </c>
    </row>
    <row r="246" spans="3:6" x14ac:dyDescent="0.35">
      <c r="C246" t="s">
        <v>525</v>
      </c>
      <c r="D246" t="s">
        <v>526</v>
      </c>
      <c r="E246" t="s">
        <v>8</v>
      </c>
      <c r="F246" t="e">
        <v>#N/A</v>
      </c>
    </row>
    <row r="247" spans="3:6" hidden="1" x14ac:dyDescent="0.35">
      <c r="C247" t="s">
        <v>527</v>
      </c>
      <c r="D247" t="s">
        <v>528</v>
      </c>
      <c r="E247" t="s">
        <v>8</v>
      </c>
      <c r="F247">
        <v>44</v>
      </c>
    </row>
    <row r="248" spans="3:6" x14ac:dyDescent="0.35">
      <c r="C248" t="s">
        <v>529</v>
      </c>
      <c r="D248" t="s">
        <v>530</v>
      </c>
      <c r="E248" t="s">
        <v>8</v>
      </c>
      <c r="F248" t="e">
        <v>#N/A</v>
      </c>
    </row>
    <row r="249" spans="3:6" hidden="1" x14ac:dyDescent="0.35">
      <c r="C249" t="s">
        <v>531</v>
      </c>
      <c r="D249" t="s">
        <v>532</v>
      </c>
      <c r="E249" t="s">
        <v>8</v>
      </c>
      <c r="F249">
        <v>3</v>
      </c>
    </row>
    <row r="250" spans="3:6" hidden="1" x14ac:dyDescent="0.35">
      <c r="C250" t="s">
        <v>533</v>
      </c>
      <c r="D250" t="s">
        <v>534</v>
      </c>
      <c r="E250" t="s">
        <v>8</v>
      </c>
      <c r="F250">
        <v>5</v>
      </c>
    </row>
    <row r="251" spans="3:6" x14ac:dyDescent="0.35">
      <c r="C251" t="s">
        <v>535</v>
      </c>
      <c r="D251" t="s">
        <v>536</v>
      </c>
      <c r="E251" t="s">
        <v>8</v>
      </c>
      <c r="F251" t="e">
        <v>#N/A</v>
      </c>
    </row>
    <row r="252" spans="3:6" hidden="1" x14ac:dyDescent="0.35">
      <c r="C252" t="s">
        <v>537</v>
      </c>
      <c r="D252" t="s">
        <v>538</v>
      </c>
      <c r="E252" t="s">
        <v>8</v>
      </c>
      <c r="F252">
        <v>71</v>
      </c>
    </row>
    <row r="253" spans="3:6" hidden="1" x14ac:dyDescent="0.35">
      <c r="C253" t="s">
        <v>539</v>
      </c>
      <c r="D253" t="s">
        <v>540</v>
      </c>
      <c r="E253" t="s">
        <v>8</v>
      </c>
      <c r="F253">
        <v>4</v>
      </c>
    </row>
    <row r="254" spans="3:6" hidden="1" x14ac:dyDescent="0.35">
      <c r="C254" t="s">
        <v>541</v>
      </c>
      <c r="D254" t="s">
        <v>542</v>
      </c>
      <c r="E254" t="s">
        <v>8</v>
      </c>
      <c r="F254">
        <v>12.8</v>
      </c>
    </row>
    <row r="255" spans="3:6" hidden="1" x14ac:dyDescent="0.35">
      <c r="C255" t="s">
        <v>543</v>
      </c>
      <c r="D255" t="s">
        <v>544</v>
      </c>
      <c r="E255" t="s">
        <v>8</v>
      </c>
      <c r="F255">
        <v>63</v>
      </c>
    </row>
    <row r="256" spans="3:6" hidden="1" x14ac:dyDescent="0.35">
      <c r="C256" t="s">
        <v>545</v>
      </c>
      <c r="D256" t="s">
        <v>546</v>
      </c>
      <c r="E256" t="s">
        <v>8</v>
      </c>
      <c r="F256">
        <v>37</v>
      </c>
    </row>
    <row r="257" spans="3:6" hidden="1" x14ac:dyDescent="0.35">
      <c r="C257" t="s">
        <v>547</v>
      </c>
      <c r="D257" t="s">
        <v>548</v>
      </c>
      <c r="E257" t="s">
        <v>8</v>
      </c>
      <c r="F257">
        <v>4</v>
      </c>
    </row>
    <row r="258" spans="3:6" hidden="1" x14ac:dyDescent="0.35">
      <c r="C258" t="s">
        <v>549</v>
      </c>
      <c r="D258" t="s">
        <v>550</v>
      </c>
      <c r="E258" t="s">
        <v>8</v>
      </c>
      <c r="F258">
        <v>15</v>
      </c>
    </row>
    <row r="259" spans="3:6" hidden="1" x14ac:dyDescent="0.35">
      <c r="C259" t="s">
        <v>551</v>
      </c>
      <c r="D259" t="s">
        <v>552</v>
      </c>
      <c r="E259" t="s">
        <v>8</v>
      </c>
      <c r="F259">
        <v>27</v>
      </c>
    </row>
    <row r="260" spans="3:6" hidden="1" x14ac:dyDescent="0.35">
      <c r="C260" t="s">
        <v>553</v>
      </c>
      <c r="D260" t="s">
        <v>554</v>
      </c>
      <c r="E260" t="s">
        <v>8</v>
      </c>
      <c r="F260">
        <v>14</v>
      </c>
    </row>
    <row r="261" spans="3:6" x14ac:dyDescent="0.35">
      <c r="C261" t="s">
        <v>555</v>
      </c>
      <c r="D261" t="s">
        <v>556</v>
      </c>
      <c r="E261" t="s">
        <v>8</v>
      </c>
      <c r="F261" t="e">
        <v>#N/A</v>
      </c>
    </row>
    <row r="262" spans="3:6" hidden="1" x14ac:dyDescent="0.35">
      <c r="C262" t="s">
        <v>557</v>
      </c>
      <c r="D262" t="s">
        <v>558</v>
      </c>
      <c r="E262" t="s">
        <v>8</v>
      </c>
      <c r="F262">
        <v>37</v>
      </c>
    </row>
    <row r="263" spans="3:6" x14ac:dyDescent="0.35">
      <c r="C263" t="s">
        <v>559</v>
      </c>
      <c r="D263" t="s">
        <v>560</v>
      </c>
      <c r="E263" t="s">
        <v>8</v>
      </c>
      <c r="F263" t="e">
        <v>#N/A</v>
      </c>
    </row>
    <row r="264" spans="3:6" hidden="1" x14ac:dyDescent="0.35">
      <c r="C264" t="s">
        <v>561</v>
      </c>
      <c r="D264" t="s">
        <v>562</v>
      </c>
      <c r="E264" t="s">
        <v>8</v>
      </c>
      <c r="F264">
        <v>12</v>
      </c>
    </row>
    <row r="265" spans="3:6" x14ac:dyDescent="0.35">
      <c r="C265" t="s">
        <v>563</v>
      </c>
      <c r="D265" t="s">
        <v>564</v>
      </c>
      <c r="E265" t="s">
        <v>8</v>
      </c>
      <c r="F265" t="e">
        <v>#N/A</v>
      </c>
    </row>
    <row r="266" spans="3:6" x14ac:dyDescent="0.35">
      <c r="C266" t="s">
        <v>565</v>
      </c>
      <c r="D266" t="s">
        <v>566</v>
      </c>
      <c r="E266" t="s">
        <v>8</v>
      </c>
      <c r="F266" t="e">
        <v>#N/A</v>
      </c>
    </row>
    <row r="267" spans="3:6" x14ac:dyDescent="0.35">
      <c r="C267" t="s">
        <v>567</v>
      </c>
      <c r="D267" t="s">
        <v>568</v>
      </c>
      <c r="E267" t="s">
        <v>8</v>
      </c>
      <c r="F267" t="e">
        <v>#N/A</v>
      </c>
    </row>
    <row r="268" spans="3:6" x14ac:dyDescent="0.35">
      <c r="C268" t="s">
        <v>569</v>
      </c>
      <c r="D268" t="s">
        <v>570</v>
      </c>
      <c r="E268" t="s">
        <v>8</v>
      </c>
      <c r="F268" t="e">
        <v>#N/A</v>
      </c>
    </row>
    <row r="269" spans="3:6" hidden="1" x14ac:dyDescent="0.35">
      <c r="C269" t="s">
        <v>571</v>
      </c>
      <c r="D269" t="s">
        <v>572</v>
      </c>
      <c r="E269" t="s">
        <v>8</v>
      </c>
      <c r="F269">
        <v>28</v>
      </c>
    </row>
    <row r="270" spans="3:6" x14ac:dyDescent="0.35">
      <c r="C270" t="s">
        <v>573</v>
      </c>
      <c r="D270" t="s">
        <v>574</v>
      </c>
      <c r="E270" t="s">
        <v>8</v>
      </c>
      <c r="F270" t="e">
        <v>#N/A</v>
      </c>
    </row>
    <row r="271" spans="3:6" x14ac:dyDescent="0.35">
      <c r="C271" t="s">
        <v>575</v>
      </c>
      <c r="D271" t="s">
        <v>576</v>
      </c>
      <c r="E271" t="s">
        <v>8</v>
      </c>
      <c r="F271" t="e">
        <v>#N/A</v>
      </c>
    </row>
    <row r="272" spans="3:6" hidden="1" x14ac:dyDescent="0.35">
      <c r="C272" t="s">
        <v>577</v>
      </c>
      <c r="D272" t="s">
        <v>578</v>
      </c>
      <c r="E272" t="s">
        <v>8</v>
      </c>
      <c r="F272">
        <v>45</v>
      </c>
    </row>
    <row r="273" spans="3:6" hidden="1" x14ac:dyDescent="0.35">
      <c r="C273" t="s">
        <v>579</v>
      </c>
      <c r="D273" t="s">
        <v>580</v>
      </c>
      <c r="E273" t="s">
        <v>8</v>
      </c>
      <c r="F273">
        <v>62</v>
      </c>
    </row>
    <row r="274" spans="3:6" hidden="1" x14ac:dyDescent="0.35">
      <c r="C274" t="s">
        <v>581</v>
      </c>
      <c r="D274" t="s">
        <v>582</v>
      </c>
      <c r="E274" t="s">
        <v>8</v>
      </c>
      <c r="F274">
        <v>9</v>
      </c>
    </row>
    <row r="275" spans="3:6" x14ac:dyDescent="0.35">
      <c r="C275" t="s">
        <v>583</v>
      </c>
      <c r="D275" t="s">
        <v>584</v>
      </c>
      <c r="E275" t="s">
        <v>8</v>
      </c>
      <c r="F275" t="e">
        <v>#N/A</v>
      </c>
    </row>
    <row r="276" spans="3:6" hidden="1" x14ac:dyDescent="0.35">
      <c r="C276" t="s">
        <v>585</v>
      </c>
      <c r="D276" t="s">
        <v>586</v>
      </c>
      <c r="E276" t="s">
        <v>8</v>
      </c>
      <c r="F276">
        <v>5</v>
      </c>
    </row>
    <row r="277" spans="3:6" hidden="1" x14ac:dyDescent="0.35">
      <c r="C277" t="s">
        <v>587</v>
      </c>
      <c r="D277" t="s">
        <v>588</v>
      </c>
      <c r="E277" t="s">
        <v>8</v>
      </c>
      <c r="F277">
        <v>6</v>
      </c>
    </row>
    <row r="278" spans="3:6" x14ac:dyDescent="0.35">
      <c r="C278" t="s">
        <v>589</v>
      </c>
      <c r="D278" t="s">
        <v>590</v>
      </c>
      <c r="E278" t="s">
        <v>8</v>
      </c>
      <c r="F278" t="e">
        <v>#N/A</v>
      </c>
    </row>
    <row r="279" spans="3:6" x14ac:dyDescent="0.35">
      <c r="C279" t="s">
        <v>591</v>
      </c>
      <c r="D279" t="s">
        <v>592</v>
      </c>
      <c r="E279" t="s">
        <v>8</v>
      </c>
      <c r="F279" t="e">
        <v>#N/A</v>
      </c>
    </row>
    <row r="280" spans="3:6" hidden="1" x14ac:dyDescent="0.35">
      <c r="C280" t="s">
        <v>593</v>
      </c>
      <c r="D280" t="s">
        <v>594</v>
      </c>
      <c r="E280" t="s">
        <v>8</v>
      </c>
      <c r="F280">
        <v>4</v>
      </c>
    </row>
    <row r="281" spans="3:6" hidden="1" x14ac:dyDescent="0.35">
      <c r="C281" t="s">
        <v>595</v>
      </c>
      <c r="D281" t="s">
        <v>596</v>
      </c>
      <c r="E281" t="s">
        <v>8</v>
      </c>
      <c r="F281">
        <v>23</v>
      </c>
    </row>
    <row r="282" spans="3:6" x14ac:dyDescent="0.35">
      <c r="C282" t="s">
        <v>597</v>
      </c>
      <c r="D282" t="s">
        <v>598</v>
      </c>
      <c r="E282" t="s">
        <v>8</v>
      </c>
      <c r="F282" t="e">
        <v>#N/A</v>
      </c>
    </row>
    <row r="283" spans="3:6" x14ac:dyDescent="0.35">
      <c r="C283" t="s">
        <v>599</v>
      </c>
      <c r="D283" t="s">
        <v>600</v>
      </c>
      <c r="E283" t="s">
        <v>8</v>
      </c>
      <c r="F283" t="e">
        <v>#N/A</v>
      </c>
    </row>
    <row r="284" spans="3:6" hidden="1" x14ac:dyDescent="0.35">
      <c r="C284" t="s">
        <v>601</v>
      </c>
      <c r="D284" t="s">
        <v>602</v>
      </c>
      <c r="E284" t="s">
        <v>8</v>
      </c>
      <c r="F284">
        <v>20</v>
      </c>
    </row>
    <row r="285" spans="3:6" hidden="1" x14ac:dyDescent="0.35">
      <c r="C285" t="s">
        <v>603</v>
      </c>
      <c r="D285" t="s">
        <v>604</v>
      </c>
      <c r="E285" t="s">
        <v>8</v>
      </c>
      <c r="F285">
        <v>12</v>
      </c>
    </row>
    <row r="286" spans="3:6" x14ac:dyDescent="0.35">
      <c r="C286" t="s">
        <v>605</v>
      </c>
      <c r="D286" t="s">
        <v>606</v>
      </c>
      <c r="E286" t="s">
        <v>8</v>
      </c>
      <c r="F286" t="e">
        <v>#N/A</v>
      </c>
    </row>
    <row r="287" spans="3:6" hidden="1" x14ac:dyDescent="0.35">
      <c r="C287" t="s">
        <v>607</v>
      </c>
      <c r="D287" t="s">
        <v>608</v>
      </c>
      <c r="E287" t="s">
        <v>8</v>
      </c>
      <c r="F287">
        <v>13</v>
      </c>
    </row>
    <row r="288" spans="3:6" hidden="1" x14ac:dyDescent="0.35">
      <c r="C288" t="s">
        <v>1799</v>
      </c>
      <c r="D288" t="s">
        <v>1800</v>
      </c>
      <c r="E288" t="s">
        <v>8</v>
      </c>
      <c r="F288">
        <v>30.8</v>
      </c>
    </row>
    <row r="289" spans="1:6" hidden="1" x14ac:dyDescent="0.35">
      <c r="C289" t="s">
        <v>1801</v>
      </c>
      <c r="D289" t="s">
        <v>1802</v>
      </c>
      <c r="E289" t="s">
        <v>8</v>
      </c>
      <c r="F289">
        <v>9</v>
      </c>
    </row>
    <row r="290" spans="1:6" hidden="1" x14ac:dyDescent="0.35">
      <c r="C290" t="s">
        <v>1803</v>
      </c>
      <c r="D290" t="s">
        <v>1804</v>
      </c>
      <c r="E290" t="s">
        <v>8</v>
      </c>
      <c r="F290">
        <v>12.8</v>
      </c>
    </row>
    <row r="291" spans="1:6" hidden="1" x14ac:dyDescent="0.35">
      <c r="C291" t="s">
        <v>1805</v>
      </c>
      <c r="D291" t="s">
        <v>1806</v>
      </c>
      <c r="E291" t="s">
        <v>8</v>
      </c>
      <c r="F291">
        <v>31.700000000000003</v>
      </c>
    </row>
    <row r="292" spans="1:6" hidden="1" x14ac:dyDescent="0.35">
      <c r="C292" t="s">
        <v>1807</v>
      </c>
      <c r="D292" t="s">
        <v>1808</v>
      </c>
      <c r="E292" t="s">
        <v>8</v>
      </c>
      <c r="F292">
        <v>48</v>
      </c>
    </row>
    <row r="293" spans="1:6" hidden="1" x14ac:dyDescent="0.35">
      <c r="C293" t="s">
        <v>1795</v>
      </c>
      <c r="D293" t="s">
        <v>1796</v>
      </c>
      <c r="E293" t="s">
        <v>8</v>
      </c>
      <c r="F293">
        <v>42</v>
      </c>
    </row>
    <row r="294" spans="1:6" hidden="1" x14ac:dyDescent="0.35">
      <c r="C294" t="s">
        <v>1797</v>
      </c>
      <c r="D294" t="s">
        <v>1798</v>
      </c>
      <c r="E294" t="s">
        <v>8</v>
      </c>
      <c r="F294">
        <v>25</v>
      </c>
    </row>
    <row r="295" spans="1:6" hidden="1" x14ac:dyDescent="0.35">
      <c r="A295" t="s">
        <v>609</v>
      </c>
      <c r="B295" t="s">
        <v>609</v>
      </c>
      <c r="C295" t="s">
        <v>610</v>
      </c>
      <c r="D295" t="s">
        <v>611</v>
      </c>
      <c r="E295" t="s">
        <v>8</v>
      </c>
      <c r="F295">
        <v>6</v>
      </c>
    </row>
    <row r="296" spans="1:6" hidden="1" x14ac:dyDescent="0.35">
      <c r="C296" t="s">
        <v>612</v>
      </c>
      <c r="D296" t="s">
        <v>613</v>
      </c>
      <c r="E296" t="s">
        <v>8</v>
      </c>
      <c r="F296">
        <v>7</v>
      </c>
    </row>
    <row r="297" spans="1:6" hidden="1" x14ac:dyDescent="0.35">
      <c r="C297" t="s">
        <v>614</v>
      </c>
      <c r="D297" t="s">
        <v>615</v>
      </c>
      <c r="E297" t="s">
        <v>8</v>
      </c>
      <c r="F297">
        <v>7</v>
      </c>
    </row>
    <row r="298" spans="1:6" hidden="1" x14ac:dyDescent="0.35">
      <c r="C298" t="s">
        <v>616</v>
      </c>
      <c r="D298" t="s">
        <v>617</v>
      </c>
      <c r="E298" t="s">
        <v>8</v>
      </c>
      <c r="F298">
        <v>7</v>
      </c>
    </row>
    <row r="299" spans="1:6" hidden="1" x14ac:dyDescent="0.35">
      <c r="C299" t="s">
        <v>618</v>
      </c>
      <c r="D299" t="s">
        <v>619</v>
      </c>
      <c r="E299" t="s">
        <v>8</v>
      </c>
      <c r="F299">
        <v>22</v>
      </c>
    </row>
    <row r="300" spans="1:6" hidden="1" x14ac:dyDescent="0.35">
      <c r="C300" t="s">
        <v>620</v>
      </c>
      <c r="D300" t="s">
        <v>621</v>
      </c>
      <c r="E300" t="s">
        <v>8</v>
      </c>
      <c r="F300">
        <v>9</v>
      </c>
    </row>
    <row r="301" spans="1:6" hidden="1" x14ac:dyDescent="0.35">
      <c r="C301" t="s">
        <v>622</v>
      </c>
      <c r="D301" t="s">
        <v>623</v>
      </c>
      <c r="E301" t="s">
        <v>8</v>
      </c>
      <c r="F301">
        <v>18</v>
      </c>
    </row>
    <row r="302" spans="1:6" x14ac:dyDescent="0.35">
      <c r="C302" t="s">
        <v>624</v>
      </c>
      <c r="D302" t="s">
        <v>625</v>
      </c>
      <c r="E302" t="s">
        <v>8</v>
      </c>
      <c r="F302" t="e">
        <v>#N/A</v>
      </c>
    </row>
    <row r="303" spans="1:6" x14ac:dyDescent="0.35">
      <c r="C303" t="s">
        <v>626</v>
      </c>
      <c r="D303" t="s">
        <v>627</v>
      </c>
      <c r="E303" t="s">
        <v>8</v>
      </c>
      <c r="F303" t="e">
        <v>#N/A</v>
      </c>
    </row>
    <row r="304" spans="1:6" x14ac:dyDescent="0.35">
      <c r="C304" t="s">
        <v>628</v>
      </c>
      <c r="D304" t="s">
        <v>629</v>
      </c>
      <c r="E304" t="s">
        <v>8</v>
      </c>
      <c r="F304" t="e">
        <v>#N/A</v>
      </c>
    </row>
    <row r="305" spans="3:6" x14ac:dyDescent="0.35">
      <c r="C305" t="s">
        <v>630</v>
      </c>
      <c r="D305" t="s">
        <v>631</v>
      </c>
      <c r="E305" t="s">
        <v>8</v>
      </c>
      <c r="F305" t="e">
        <v>#N/A</v>
      </c>
    </row>
    <row r="306" spans="3:6" hidden="1" x14ac:dyDescent="0.35">
      <c r="C306" t="s">
        <v>632</v>
      </c>
      <c r="D306" t="s">
        <v>633</v>
      </c>
      <c r="E306" t="s">
        <v>8</v>
      </c>
      <c r="F306">
        <v>15</v>
      </c>
    </row>
    <row r="307" spans="3:6" x14ac:dyDescent="0.35">
      <c r="C307" t="s">
        <v>634</v>
      </c>
      <c r="D307" t="s">
        <v>635</v>
      </c>
      <c r="E307" t="s">
        <v>8</v>
      </c>
      <c r="F307" t="e">
        <v>#N/A</v>
      </c>
    </row>
    <row r="308" spans="3:6" x14ac:dyDescent="0.35">
      <c r="C308" t="s">
        <v>636</v>
      </c>
      <c r="D308" t="s">
        <v>637</v>
      </c>
      <c r="E308" t="s">
        <v>8</v>
      </c>
      <c r="F308" t="e">
        <v>#N/A</v>
      </c>
    </row>
    <row r="309" spans="3:6" hidden="1" x14ac:dyDescent="0.35">
      <c r="C309" t="s">
        <v>638</v>
      </c>
      <c r="D309" t="s">
        <v>639</v>
      </c>
      <c r="E309" t="s">
        <v>8</v>
      </c>
      <c r="F309">
        <v>24</v>
      </c>
    </row>
    <row r="310" spans="3:6" x14ac:dyDescent="0.35">
      <c r="C310" t="s">
        <v>640</v>
      </c>
      <c r="D310" t="s">
        <v>641</v>
      </c>
      <c r="E310" t="s">
        <v>8</v>
      </c>
      <c r="F310" t="e">
        <v>#N/A</v>
      </c>
    </row>
    <row r="311" spans="3:6" x14ac:dyDescent="0.35">
      <c r="C311" t="s">
        <v>642</v>
      </c>
      <c r="D311" t="s">
        <v>643</v>
      </c>
      <c r="E311" t="s">
        <v>8</v>
      </c>
      <c r="F311" t="e">
        <v>#N/A</v>
      </c>
    </row>
    <row r="312" spans="3:6" x14ac:dyDescent="0.35">
      <c r="C312" t="s">
        <v>644</v>
      </c>
      <c r="D312" t="s">
        <v>645</v>
      </c>
      <c r="E312" t="s">
        <v>8</v>
      </c>
      <c r="F312" t="e">
        <v>#N/A</v>
      </c>
    </row>
    <row r="313" spans="3:6" x14ac:dyDescent="0.35">
      <c r="C313" t="s">
        <v>646</v>
      </c>
      <c r="D313" t="s">
        <v>646</v>
      </c>
      <c r="E313" t="s">
        <v>8</v>
      </c>
      <c r="F313" t="e">
        <v>#N/A</v>
      </c>
    </row>
    <row r="314" spans="3:6" hidden="1" x14ac:dyDescent="0.35">
      <c r="C314" t="s">
        <v>647</v>
      </c>
      <c r="D314" t="s">
        <v>646</v>
      </c>
      <c r="E314" t="s">
        <v>8</v>
      </c>
      <c r="F314">
        <v>111</v>
      </c>
    </row>
    <row r="315" spans="3:6" hidden="1" x14ac:dyDescent="0.35">
      <c r="C315" t="s">
        <v>648</v>
      </c>
      <c r="D315" t="s">
        <v>649</v>
      </c>
      <c r="E315" t="s">
        <v>8</v>
      </c>
      <c r="F315">
        <v>32</v>
      </c>
    </row>
    <row r="316" spans="3:6" hidden="1" x14ac:dyDescent="0.35">
      <c r="C316" t="s">
        <v>650</v>
      </c>
      <c r="D316" t="s">
        <v>651</v>
      </c>
      <c r="E316" t="s">
        <v>8</v>
      </c>
      <c r="F316">
        <v>17</v>
      </c>
    </row>
    <row r="317" spans="3:6" hidden="1" x14ac:dyDescent="0.35">
      <c r="C317" t="s">
        <v>652</v>
      </c>
      <c r="D317" t="s">
        <v>653</v>
      </c>
      <c r="E317" t="s">
        <v>8</v>
      </c>
      <c r="F317">
        <v>11</v>
      </c>
    </row>
    <row r="318" spans="3:6" hidden="1" x14ac:dyDescent="0.35">
      <c r="C318" t="s">
        <v>654</v>
      </c>
      <c r="D318" t="s">
        <v>655</v>
      </c>
      <c r="E318" t="s">
        <v>8</v>
      </c>
      <c r="F318">
        <v>13</v>
      </c>
    </row>
    <row r="319" spans="3:6" hidden="1" x14ac:dyDescent="0.35">
      <c r="C319" t="s">
        <v>656</v>
      </c>
      <c r="D319" t="s">
        <v>657</v>
      </c>
      <c r="E319" t="s">
        <v>8</v>
      </c>
      <c r="F319">
        <v>32</v>
      </c>
    </row>
    <row r="320" spans="3:6" hidden="1" x14ac:dyDescent="0.35">
      <c r="C320" t="s">
        <v>658</v>
      </c>
      <c r="D320" t="s">
        <v>659</v>
      </c>
      <c r="E320" t="s">
        <v>8</v>
      </c>
      <c r="F320">
        <v>48</v>
      </c>
    </row>
    <row r="321" spans="1:6" hidden="1" x14ac:dyDescent="0.35">
      <c r="C321" t="s">
        <v>660</v>
      </c>
      <c r="D321" t="s">
        <v>661</v>
      </c>
      <c r="E321" t="s">
        <v>8</v>
      </c>
      <c r="F321">
        <v>10</v>
      </c>
    </row>
    <row r="322" spans="1:6" x14ac:dyDescent="0.35">
      <c r="C322" t="s">
        <v>662</v>
      </c>
      <c r="D322" t="s">
        <v>663</v>
      </c>
      <c r="E322" t="s">
        <v>8</v>
      </c>
      <c r="F322" t="e">
        <v>#N/A</v>
      </c>
    </row>
    <row r="323" spans="1:6" hidden="1" x14ac:dyDescent="0.35">
      <c r="C323" t="s">
        <v>664</v>
      </c>
      <c r="D323" t="s">
        <v>665</v>
      </c>
      <c r="E323" t="s">
        <v>8</v>
      </c>
      <c r="F323">
        <v>6</v>
      </c>
    </row>
    <row r="324" spans="1:6" hidden="1" x14ac:dyDescent="0.35">
      <c r="C324" t="s">
        <v>666</v>
      </c>
      <c r="D324" t="s">
        <v>667</v>
      </c>
      <c r="E324" t="s">
        <v>8</v>
      </c>
      <c r="F324">
        <v>6</v>
      </c>
    </row>
    <row r="325" spans="1:6" hidden="1" x14ac:dyDescent="0.35">
      <c r="C325" t="s">
        <v>668</v>
      </c>
      <c r="D325" t="s">
        <v>669</v>
      </c>
      <c r="E325" t="s">
        <v>8</v>
      </c>
      <c r="F325">
        <v>19</v>
      </c>
    </row>
    <row r="326" spans="1:6" hidden="1" x14ac:dyDescent="0.35">
      <c r="C326" t="s">
        <v>670</v>
      </c>
      <c r="D326" t="s">
        <v>671</v>
      </c>
      <c r="E326" t="s">
        <v>8</v>
      </c>
      <c r="F326">
        <v>27</v>
      </c>
    </row>
    <row r="327" spans="1:6" hidden="1" x14ac:dyDescent="0.35">
      <c r="A327" t="s">
        <v>672</v>
      </c>
      <c r="B327" t="s">
        <v>673</v>
      </c>
      <c r="C327" t="s">
        <v>674</v>
      </c>
      <c r="D327" t="s">
        <v>675</v>
      </c>
      <c r="E327" t="s">
        <v>8</v>
      </c>
      <c r="F327">
        <v>26</v>
      </c>
    </row>
    <row r="328" spans="1:6" hidden="1" x14ac:dyDescent="0.35">
      <c r="C328" t="s">
        <v>676</v>
      </c>
      <c r="D328" t="s">
        <v>677</v>
      </c>
      <c r="E328" t="s">
        <v>8</v>
      </c>
      <c r="F328">
        <v>16</v>
      </c>
    </row>
    <row r="329" spans="1:6" x14ac:dyDescent="0.35">
      <c r="C329" t="s">
        <v>678</v>
      </c>
      <c r="D329" t="s">
        <v>679</v>
      </c>
      <c r="E329" t="s">
        <v>8</v>
      </c>
      <c r="F329" t="e">
        <v>#N/A</v>
      </c>
    </row>
    <row r="330" spans="1:6" hidden="1" x14ac:dyDescent="0.35">
      <c r="C330" t="s">
        <v>680</v>
      </c>
      <c r="D330" t="s">
        <v>681</v>
      </c>
      <c r="E330" t="s">
        <v>8</v>
      </c>
      <c r="F330">
        <v>100</v>
      </c>
    </row>
    <row r="331" spans="1:6" x14ac:dyDescent="0.35">
      <c r="C331" t="s">
        <v>682</v>
      </c>
      <c r="D331" t="s">
        <v>683</v>
      </c>
      <c r="E331" t="s">
        <v>8</v>
      </c>
      <c r="F331" t="e">
        <v>#N/A</v>
      </c>
    </row>
    <row r="332" spans="1:6" x14ac:dyDescent="0.35">
      <c r="C332" t="s">
        <v>684</v>
      </c>
      <c r="D332" t="s">
        <v>685</v>
      </c>
      <c r="E332" t="s">
        <v>8</v>
      </c>
      <c r="F332" t="e">
        <v>#N/A</v>
      </c>
    </row>
    <row r="333" spans="1:6" x14ac:dyDescent="0.35">
      <c r="C333" t="s">
        <v>686</v>
      </c>
      <c r="D333" t="s">
        <v>687</v>
      </c>
      <c r="E333" t="s">
        <v>8</v>
      </c>
      <c r="F333" t="e">
        <v>#N/A</v>
      </c>
    </row>
    <row r="334" spans="1:6" x14ac:dyDescent="0.35">
      <c r="C334" t="s">
        <v>688</v>
      </c>
      <c r="D334" t="s">
        <v>689</v>
      </c>
      <c r="E334" t="s">
        <v>8</v>
      </c>
      <c r="F334" t="e">
        <v>#N/A</v>
      </c>
    </row>
    <row r="335" spans="1:6" x14ac:dyDescent="0.35">
      <c r="C335" t="s">
        <v>690</v>
      </c>
      <c r="D335" t="s">
        <v>691</v>
      </c>
      <c r="E335" t="s">
        <v>8</v>
      </c>
      <c r="F335" t="e">
        <v>#N/A</v>
      </c>
    </row>
    <row r="336" spans="1:6" hidden="1" x14ac:dyDescent="0.35">
      <c r="C336" t="s">
        <v>692</v>
      </c>
      <c r="D336" t="s">
        <v>693</v>
      </c>
      <c r="E336" t="s">
        <v>8</v>
      </c>
      <c r="F336">
        <v>49</v>
      </c>
    </row>
    <row r="337" spans="1:6" hidden="1" x14ac:dyDescent="0.35">
      <c r="C337" t="s">
        <v>694</v>
      </c>
      <c r="D337" t="s">
        <v>695</v>
      </c>
      <c r="E337" t="s">
        <v>8</v>
      </c>
      <c r="F337">
        <v>51.875</v>
      </c>
    </row>
    <row r="338" spans="1:6" x14ac:dyDescent="0.35">
      <c r="C338" t="s">
        <v>696</v>
      </c>
      <c r="D338" t="s">
        <v>697</v>
      </c>
      <c r="E338" t="s">
        <v>8</v>
      </c>
      <c r="F338" t="e">
        <v>#N/A</v>
      </c>
    </row>
    <row r="339" spans="1:6" hidden="1" x14ac:dyDescent="0.35">
      <c r="C339" t="s">
        <v>698</v>
      </c>
      <c r="D339" t="s">
        <v>699</v>
      </c>
      <c r="E339" t="s">
        <v>8</v>
      </c>
      <c r="F339">
        <v>12</v>
      </c>
    </row>
    <row r="340" spans="1:6" hidden="1" x14ac:dyDescent="0.35">
      <c r="C340" t="s">
        <v>700</v>
      </c>
      <c r="D340" t="s">
        <v>701</v>
      </c>
      <c r="E340" t="s">
        <v>8</v>
      </c>
      <c r="F340">
        <v>87</v>
      </c>
    </row>
    <row r="341" spans="1:6" hidden="1" x14ac:dyDescent="0.35">
      <c r="B341" t="s">
        <v>702</v>
      </c>
      <c r="C341" t="s">
        <v>703</v>
      </c>
      <c r="D341" t="s">
        <v>704</v>
      </c>
      <c r="E341" t="s">
        <v>8</v>
      </c>
      <c r="F341">
        <v>104</v>
      </c>
    </row>
    <row r="342" spans="1:6" x14ac:dyDescent="0.35">
      <c r="C342" t="s">
        <v>705</v>
      </c>
      <c r="D342" t="s">
        <v>706</v>
      </c>
      <c r="E342" t="s">
        <v>8</v>
      </c>
      <c r="F342" t="e">
        <v>#N/A</v>
      </c>
    </row>
    <row r="343" spans="1:6" x14ac:dyDescent="0.35">
      <c r="C343" t="s">
        <v>707</v>
      </c>
      <c r="D343" t="s">
        <v>708</v>
      </c>
      <c r="E343" t="s">
        <v>8</v>
      </c>
      <c r="F343" t="e">
        <v>#N/A</v>
      </c>
    </row>
    <row r="344" spans="1:6" x14ac:dyDescent="0.35">
      <c r="C344" t="s">
        <v>709</v>
      </c>
      <c r="D344" t="s">
        <v>710</v>
      </c>
      <c r="E344" t="s">
        <v>8</v>
      </c>
      <c r="F344" t="e">
        <v>#N/A</v>
      </c>
    </row>
    <row r="345" spans="1:6" x14ac:dyDescent="0.35">
      <c r="C345" t="s">
        <v>711</v>
      </c>
      <c r="D345" t="s">
        <v>712</v>
      </c>
      <c r="E345" t="s">
        <v>8</v>
      </c>
      <c r="F345" t="e">
        <v>#N/A</v>
      </c>
    </row>
    <row r="346" spans="1:6" hidden="1" x14ac:dyDescent="0.35">
      <c r="C346" t="s">
        <v>713</v>
      </c>
      <c r="D346" t="s">
        <v>714</v>
      </c>
      <c r="E346" t="s">
        <v>8</v>
      </c>
      <c r="F346">
        <v>5</v>
      </c>
    </row>
    <row r="347" spans="1:6" x14ac:dyDescent="0.35">
      <c r="C347" t="s">
        <v>715</v>
      </c>
      <c r="D347" t="s">
        <v>716</v>
      </c>
      <c r="E347" t="s">
        <v>8</v>
      </c>
      <c r="F347" t="e">
        <v>#N/A</v>
      </c>
    </row>
    <row r="348" spans="1:6" x14ac:dyDescent="0.35">
      <c r="C348" t="s">
        <v>717</v>
      </c>
      <c r="D348" t="s">
        <v>718</v>
      </c>
      <c r="E348" t="s">
        <v>8</v>
      </c>
      <c r="F348" t="e">
        <v>#N/A</v>
      </c>
    </row>
    <row r="349" spans="1:6" x14ac:dyDescent="0.35">
      <c r="C349" t="s">
        <v>719</v>
      </c>
      <c r="D349" t="s">
        <v>720</v>
      </c>
      <c r="E349" t="s">
        <v>8</v>
      </c>
      <c r="F349" t="e">
        <v>#N/A</v>
      </c>
    </row>
    <row r="350" spans="1:6" x14ac:dyDescent="0.35">
      <c r="A350" t="s">
        <v>721</v>
      </c>
      <c r="B350" t="s">
        <v>440</v>
      </c>
      <c r="C350" t="s">
        <v>722</v>
      </c>
      <c r="D350" t="s">
        <v>723</v>
      </c>
      <c r="E350" t="s">
        <v>8</v>
      </c>
      <c r="F350" t="e">
        <v>#N/A</v>
      </c>
    </row>
    <row r="351" spans="1:6" x14ac:dyDescent="0.35">
      <c r="C351" t="s">
        <v>724</v>
      </c>
      <c r="D351" t="s">
        <v>725</v>
      </c>
      <c r="E351" t="s">
        <v>8</v>
      </c>
      <c r="F351" t="e">
        <v>#N/A</v>
      </c>
    </row>
    <row r="352" spans="1:6" x14ac:dyDescent="0.35">
      <c r="C352" t="s">
        <v>726</v>
      </c>
      <c r="D352" t="s">
        <v>727</v>
      </c>
      <c r="E352" t="s">
        <v>8</v>
      </c>
      <c r="F352" t="e">
        <v>#N/A</v>
      </c>
    </row>
    <row r="353" spans="2:6" x14ac:dyDescent="0.35">
      <c r="C353" t="s">
        <v>728</v>
      </c>
      <c r="D353" t="s">
        <v>729</v>
      </c>
      <c r="E353" t="s">
        <v>8</v>
      </c>
      <c r="F353" t="e">
        <v>#N/A</v>
      </c>
    </row>
    <row r="354" spans="2:6" x14ac:dyDescent="0.35">
      <c r="C354" t="s">
        <v>730</v>
      </c>
      <c r="D354" t="s">
        <v>731</v>
      </c>
      <c r="E354" t="s">
        <v>8</v>
      </c>
      <c r="F354" t="e">
        <v>#N/A</v>
      </c>
    </row>
    <row r="355" spans="2:6" x14ac:dyDescent="0.35">
      <c r="C355" t="s">
        <v>732</v>
      </c>
      <c r="D355" t="s">
        <v>733</v>
      </c>
      <c r="E355" t="s">
        <v>8</v>
      </c>
      <c r="F355" t="e">
        <v>#N/A</v>
      </c>
    </row>
    <row r="356" spans="2:6" x14ac:dyDescent="0.35">
      <c r="C356" t="s">
        <v>734</v>
      </c>
      <c r="D356" t="s">
        <v>735</v>
      </c>
      <c r="E356" t="s">
        <v>8</v>
      </c>
      <c r="F356" t="e">
        <v>#N/A</v>
      </c>
    </row>
    <row r="357" spans="2:6" x14ac:dyDescent="0.35">
      <c r="C357" t="s">
        <v>736</v>
      </c>
      <c r="D357" t="s">
        <v>737</v>
      </c>
      <c r="E357" t="s">
        <v>8</v>
      </c>
      <c r="F357" t="e">
        <v>#N/A</v>
      </c>
    </row>
    <row r="358" spans="2:6" x14ac:dyDescent="0.35">
      <c r="C358" t="s">
        <v>738</v>
      </c>
      <c r="D358" t="s">
        <v>739</v>
      </c>
      <c r="E358" t="s">
        <v>8</v>
      </c>
      <c r="F358" t="e">
        <v>#N/A</v>
      </c>
    </row>
    <row r="359" spans="2:6" x14ac:dyDescent="0.35">
      <c r="B359" t="s">
        <v>740</v>
      </c>
      <c r="C359" t="s">
        <v>741</v>
      </c>
      <c r="D359" t="s">
        <v>742</v>
      </c>
      <c r="E359" t="s">
        <v>8</v>
      </c>
      <c r="F359" t="e">
        <v>#N/A</v>
      </c>
    </row>
    <row r="360" spans="2:6" x14ac:dyDescent="0.35">
      <c r="B360" t="s">
        <v>173</v>
      </c>
      <c r="C360" t="s">
        <v>743</v>
      </c>
      <c r="D360" t="s">
        <v>744</v>
      </c>
      <c r="E360" t="s">
        <v>8</v>
      </c>
      <c r="F360" t="e">
        <v>#N/A</v>
      </c>
    </row>
    <row r="361" spans="2:6" x14ac:dyDescent="0.35">
      <c r="C361" t="s">
        <v>745</v>
      </c>
      <c r="D361" t="s">
        <v>746</v>
      </c>
      <c r="E361" t="s">
        <v>8</v>
      </c>
      <c r="F361" t="e">
        <v>#N/A</v>
      </c>
    </row>
    <row r="362" spans="2:6" x14ac:dyDescent="0.35">
      <c r="C362" t="s">
        <v>747</v>
      </c>
      <c r="D362" t="s">
        <v>748</v>
      </c>
      <c r="E362" t="s">
        <v>8</v>
      </c>
      <c r="F362" t="e">
        <v>#N/A</v>
      </c>
    </row>
    <row r="363" spans="2:6" x14ac:dyDescent="0.35">
      <c r="B363" t="s">
        <v>673</v>
      </c>
      <c r="C363" t="s">
        <v>749</v>
      </c>
      <c r="D363" t="s">
        <v>750</v>
      </c>
      <c r="E363" t="s">
        <v>8</v>
      </c>
      <c r="F363" t="e">
        <v>#N/A</v>
      </c>
    </row>
    <row r="364" spans="2:6" x14ac:dyDescent="0.35">
      <c r="B364" t="s">
        <v>229</v>
      </c>
      <c r="C364" t="s">
        <v>751</v>
      </c>
      <c r="D364" t="s">
        <v>752</v>
      </c>
      <c r="E364" t="s">
        <v>8</v>
      </c>
      <c r="F364" t="e">
        <v>#N/A</v>
      </c>
    </row>
    <row r="365" spans="2:6" x14ac:dyDescent="0.35">
      <c r="C365" t="s">
        <v>753</v>
      </c>
      <c r="D365" t="s">
        <v>754</v>
      </c>
      <c r="E365" t="s">
        <v>8</v>
      </c>
      <c r="F365" t="e">
        <v>#N/A</v>
      </c>
    </row>
    <row r="366" spans="2:6" x14ac:dyDescent="0.35">
      <c r="C366" t="s">
        <v>755</v>
      </c>
      <c r="D366" t="s">
        <v>756</v>
      </c>
      <c r="E366" t="s">
        <v>8</v>
      </c>
      <c r="F366" t="e">
        <v>#N/A</v>
      </c>
    </row>
    <row r="367" spans="2:6" x14ac:dyDescent="0.35">
      <c r="C367" t="s">
        <v>757</v>
      </c>
      <c r="D367" t="s">
        <v>758</v>
      </c>
      <c r="E367" t="s">
        <v>8</v>
      </c>
      <c r="F367" t="e">
        <v>#N/A</v>
      </c>
    </row>
    <row r="368" spans="2:6" x14ac:dyDescent="0.35">
      <c r="C368" t="s">
        <v>759</v>
      </c>
      <c r="D368" t="s">
        <v>760</v>
      </c>
      <c r="E368" t="s">
        <v>8</v>
      </c>
      <c r="F368" t="e">
        <v>#N/A</v>
      </c>
    </row>
    <row r="369" spans="2:6" x14ac:dyDescent="0.35">
      <c r="C369" t="s">
        <v>761</v>
      </c>
      <c r="D369" t="s">
        <v>762</v>
      </c>
      <c r="E369" t="s">
        <v>8</v>
      </c>
      <c r="F369" t="e">
        <v>#N/A</v>
      </c>
    </row>
    <row r="370" spans="2:6" x14ac:dyDescent="0.35">
      <c r="B370" t="s">
        <v>266</v>
      </c>
      <c r="C370" t="s">
        <v>763</v>
      </c>
      <c r="D370" t="s">
        <v>764</v>
      </c>
      <c r="E370" t="s">
        <v>8</v>
      </c>
      <c r="F370" t="e">
        <v>#N/A</v>
      </c>
    </row>
    <row r="371" spans="2:6" x14ac:dyDescent="0.35">
      <c r="B371" t="s">
        <v>439</v>
      </c>
      <c r="C371" t="s">
        <v>765</v>
      </c>
      <c r="D371" t="s">
        <v>766</v>
      </c>
      <c r="E371" t="s">
        <v>8</v>
      </c>
      <c r="F371" t="e">
        <v>#N/A</v>
      </c>
    </row>
    <row r="372" spans="2:6" x14ac:dyDescent="0.35">
      <c r="C372" t="s">
        <v>767</v>
      </c>
      <c r="D372" t="s">
        <v>768</v>
      </c>
      <c r="E372" t="s">
        <v>8</v>
      </c>
      <c r="F372" t="e">
        <v>#N/A</v>
      </c>
    </row>
    <row r="373" spans="2:6" x14ac:dyDescent="0.35">
      <c r="C373" t="s">
        <v>769</v>
      </c>
      <c r="D373" t="s">
        <v>770</v>
      </c>
      <c r="E373" t="s">
        <v>8</v>
      </c>
      <c r="F373" t="e">
        <v>#N/A</v>
      </c>
    </row>
    <row r="374" spans="2:6" x14ac:dyDescent="0.35">
      <c r="C374" t="s">
        <v>771</v>
      </c>
      <c r="D374" t="s">
        <v>772</v>
      </c>
      <c r="E374" t="s">
        <v>8</v>
      </c>
      <c r="F374" t="e">
        <v>#N/A</v>
      </c>
    </row>
    <row r="375" spans="2:6" x14ac:dyDescent="0.35">
      <c r="C375" t="s">
        <v>773</v>
      </c>
      <c r="D375" t="s">
        <v>774</v>
      </c>
      <c r="E375" t="s">
        <v>8</v>
      </c>
      <c r="F375" t="e">
        <v>#N/A</v>
      </c>
    </row>
    <row r="376" spans="2:6" x14ac:dyDescent="0.35">
      <c r="C376" t="s">
        <v>775</v>
      </c>
      <c r="D376" t="s">
        <v>776</v>
      </c>
      <c r="E376" t="s">
        <v>8</v>
      </c>
      <c r="F376" t="e">
        <v>#N/A</v>
      </c>
    </row>
    <row r="377" spans="2:6" x14ac:dyDescent="0.35">
      <c r="C377" t="s">
        <v>777</v>
      </c>
      <c r="D377" t="s">
        <v>778</v>
      </c>
      <c r="E377" t="s">
        <v>8</v>
      </c>
      <c r="F377" t="e">
        <v>#N/A</v>
      </c>
    </row>
    <row r="378" spans="2:6" x14ac:dyDescent="0.35">
      <c r="B378" t="s">
        <v>779</v>
      </c>
      <c r="C378" t="s">
        <v>780</v>
      </c>
      <c r="D378" t="s">
        <v>781</v>
      </c>
      <c r="E378" t="s">
        <v>8</v>
      </c>
      <c r="F378" t="e">
        <v>#N/A</v>
      </c>
    </row>
    <row r="379" spans="2:6" x14ac:dyDescent="0.35">
      <c r="B379" t="s">
        <v>782</v>
      </c>
      <c r="C379" t="s">
        <v>783</v>
      </c>
      <c r="D379" t="s">
        <v>784</v>
      </c>
      <c r="E379" t="s">
        <v>8</v>
      </c>
      <c r="F379" t="e">
        <v>#N/A</v>
      </c>
    </row>
    <row r="380" spans="2:6" x14ac:dyDescent="0.35">
      <c r="B380" t="s">
        <v>609</v>
      </c>
      <c r="C380" t="s">
        <v>785</v>
      </c>
      <c r="D380" t="s">
        <v>786</v>
      </c>
      <c r="E380" t="s">
        <v>8</v>
      </c>
      <c r="F380" t="e">
        <v>#N/A</v>
      </c>
    </row>
    <row r="381" spans="2:6" x14ac:dyDescent="0.35">
      <c r="B381" t="s">
        <v>147</v>
      </c>
      <c r="C381" t="s">
        <v>787</v>
      </c>
      <c r="D381" t="s">
        <v>788</v>
      </c>
      <c r="E381" t="s">
        <v>8</v>
      </c>
      <c r="F381" t="e">
        <v>#N/A</v>
      </c>
    </row>
    <row r="382" spans="2:6" x14ac:dyDescent="0.35">
      <c r="B382" t="s">
        <v>721</v>
      </c>
      <c r="C382" t="s">
        <v>789</v>
      </c>
      <c r="D382" t="s">
        <v>790</v>
      </c>
      <c r="E382" t="s">
        <v>8</v>
      </c>
      <c r="F382" t="e">
        <v>#N/A</v>
      </c>
    </row>
    <row r="383" spans="2:6" x14ac:dyDescent="0.35">
      <c r="C383" t="s">
        <v>791</v>
      </c>
      <c r="D383" t="s">
        <v>792</v>
      </c>
      <c r="E383" t="s">
        <v>8</v>
      </c>
      <c r="F383" t="e">
        <v>#N/A</v>
      </c>
    </row>
    <row r="384" spans="2:6" x14ac:dyDescent="0.35">
      <c r="C384" t="s">
        <v>793</v>
      </c>
      <c r="D384" t="s">
        <v>794</v>
      </c>
      <c r="E384" t="s">
        <v>8</v>
      </c>
      <c r="F384" t="e">
        <v>#N/A</v>
      </c>
    </row>
    <row r="385" spans="3:6" x14ac:dyDescent="0.35">
      <c r="C385" t="s">
        <v>795</v>
      </c>
      <c r="D385" t="s">
        <v>796</v>
      </c>
      <c r="E385" t="s">
        <v>8</v>
      </c>
      <c r="F385" t="e">
        <v>#N/A</v>
      </c>
    </row>
    <row r="386" spans="3:6" x14ac:dyDescent="0.35">
      <c r="C386" t="s">
        <v>797</v>
      </c>
      <c r="D386" t="s">
        <v>798</v>
      </c>
      <c r="E386" t="s">
        <v>8</v>
      </c>
      <c r="F386" t="e">
        <v>#N/A</v>
      </c>
    </row>
    <row r="387" spans="3:6" x14ac:dyDescent="0.35">
      <c r="C387" t="s">
        <v>799</v>
      </c>
      <c r="D387" t="s">
        <v>800</v>
      </c>
      <c r="E387" t="s">
        <v>8</v>
      </c>
      <c r="F387" t="e">
        <v>#N/A</v>
      </c>
    </row>
    <row r="388" spans="3:6" x14ac:dyDescent="0.35">
      <c r="C388" t="s">
        <v>801</v>
      </c>
      <c r="D388" t="s">
        <v>798</v>
      </c>
      <c r="E388" t="s">
        <v>8</v>
      </c>
      <c r="F388" t="e">
        <v>#N/A</v>
      </c>
    </row>
    <row r="389" spans="3:6" x14ac:dyDescent="0.35">
      <c r="C389" t="s">
        <v>802</v>
      </c>
      <c r="D389" t="s">
        <v>803</v>
      </c>
      <c r="E389" t="s">
        <v>8</v>
      </c>
      <c r="F389" t="e">
        <v>#N/A</v>
      </c>
    </row>
    <row r="390" spans="3:6" x14ac:dyDescent="0.35">
      <c r="C390" t="s">
        <v>804</v>
      </c>
      <c r="D390" t="s">
        <v>805</v>
      </c>
      <c r="E390" t="s">
        <v>8</v>
      </c>
      <c r="F390" t="e">
        <v>#N/A</v>
      </c>
    </row>
    <row r="391" spans="3:6" x14ac:dyDescent="0.35">
      <c r="C391" t="s">
        <v>806</v>
      </c>
      <c r="D391" t="s">
        <v>807</v>
      </c>
      <c r="E391" t="s">
        <v>8</v>
      </c>
      <c r="F391" t="e">
        <v>#N/A</v>
      </c>
    </row>
    <row r="392" spans="3:6" x14ac:dyDescent="0.35">
      <c r="C392" t="s">
        <v>808</v>
      </c>
      <c r="D392" t="s">
        <v>809</v>
      </c>
      <c r="E392" t="s">
        <v>8</v>
      </c>
      <c r="F392" t="e">
        <v>#N/A</v>
      </c>
    </row>
    <row r="393" spans="3:6" x14ac:dyDescent="0.35">
      <c r="C393" t="s">
        <v>810</v>
      </c>
      <c r="D393" t="s">
        <v>811</v>
      </c>
      <c r="E393" t="s">
        <v>8</v>
      </c>
      <c r="F393" t="e">
        <v>#N/A</v>
      </c>
    </row>
    <row r="394" spans="3:6" x14ac:dyDescent="0.35">
      <c r="C394" t="s">
        <v>812</v>
      </c>
      <c r="D394" t="s">
        <v>813</v>
      </c>
      <c r="E394" t="s">
        <v>8</v>
      </c>
      <c r="F394" t="e">
        <v>#N/A</v>
      </c>
    </row>
    <row r="395" spans="3:6" x14ac:dyDescent="0.35">
      <c r="C395" t="s">
        <v>814</v>
      </c>
      <c r="D395" t="s">
        <v>815</v>
      </c>
      <c r="E395" t="s">
        <v>8</v>
      </c>
      <c r="F395" t="e">
        <v>#N/A</v>
      </c>
    </row>
    <row r="396" spans="3:6" x14ac:dyDescent="0.35">
      <c r="C396" t="s">
        <v>816</v>
      </c>
      <c r="D396" t="s">
        <v>817</v>
      </c>
      <c r="E396" t="s">
        <v>8</v>
      </c>
      <c r="F396" t="e">
        <v>#N/A</v>
      </c>
    </row>
    <row r="397" spans="3:6" x14ac:dyDescent="0.35">
      <c r="C397" t="s">
        <v>818</v>
      </c>
      <c r="D397" t="s">
        <v>819</v>
      </c>
      <c r="E397" t="s">
        <v>8</v>
      </c>
      <c r="F397" t="e">
        <v>#N/A</v>
      </c>
    </row>
    <row r="398" spans="3:6" x14ac:dyDescent="0.35">
      <c r="C398" t="s">
        <v>822</v>
      </c>
      <c r="D398" t="s">
        <v>823</v>
      </c>
      <c r="E398" t="s">
        <v>8</v>
      </c>
      <c r="F398" t="e">
        <v>#N/A</v>
      </c>
    </row>
    <row r="399" spans="3:6" x14ac:dyDescent="0.35">
      <c r="C399" t="s">
        <v>824</v>
      </c>
      <c r="D399" t="s">
        <v>825</v>
      </c>
      <c r="E399" t="s">
        <v>8</v>
      </c>
      <c r="F399" t="e">
        <v>#N/A</v>
      </c>
    </row>
    <row r="400" spans="3:6" x14ac:dyDescent="0.35">
      <c r="C400" t="s">
        <v>826</v>
      </c>
      <c r="D400" t="s">
        <v>827</v>
      </c>
      <c r="E400" t="s">
        <v>8</v>
      </c>
      <c r="F400" t="e">
        <v>#N/A</v>
      </c>
    </row>
    <row r="401" spans="1:6" x14ac:dyDescent="0.35">
      <c r="C401" t="s">
        <v>828</v>
      </c>
      <c r="D401" t="s">
        <v>829</v>
      </c>
      <c r="E401" t="s">
        <v>8</v>
      </c>
      <c r="F401" t="e">
        <v>#N/A</v>
      </c>
    </row>
    <row r="402" spans="1:6" x14ac:dyDescent="0.35">
      <c r="C402" t="s">
        <v>830</v>
      </c>
      <c r="D402" t="s">
        <v>831</v>
      </c>
      <c r="E402" t="s">
        <v>8</v>
      </c>
      <c r="F402" t="e">
        <v>#N/A</v>
      </c>
    </row>
    <row r="403" spans="1:6" x14ac:dyDescent="0.35">
      <c r="C403" t="s">
        <v>832</v>
      </c>
      <c r="D403" t="s">
        <v>833</v>
      </c>
      <c r="E403" t="s">
        <v>8</v>
      </c>
      <c r="F403" t="e">
        <v>#N/A</v>
      </c>
    </row>
    <row r="404" spans="1:6" x14ac:dyDescent="0.35">
      <c r="C404" t="s">
        <v>834</v>
      </c>
      <c r="D404" t="s">
        <v>835</v>
      </c>
      <c r="E404" t="s">
        <v>8</v>
      </c>
      <c r="F404" t="e">
        <v>#N/A</v>
      </c>
    </row>
    <row r="405" spans="1:6" x14ac:dyDescent="0.35">
      <c r="C405" t="s">
        <v>836</v>
      </c>
      <c r="D405" t="s">
        <v>837</v>
      </c>
      <c r="E405" t="s">
        <v>8</v>
      </c>
      <c r="F405" t="e">
        <v>#N/A</v>
      </c>
    </row>
    <row r="406" spans="1:6" x14ac:dyDescent="0.35">
      <c r="C406" t="s">
        <v>838</v>
      </c>
      <c r="D406" t="s">
        <v>839</v>
      </c>
      <c r="E406" t="s">
        <v>8</v>
      </c>
      <c r="F406" t="e">
        <v>#N/A</v>
      </c>
    </row>
    <row r="407" spans="1:6" x14ac:dyDescent="0.35">
      <c r="C407" t="s">
        <v>840</v>
      </c>
      <c r="D407" t="s">
        <v>841</v>
      </c>
      <c r="E407" t="s">
        <v>8</v>
      </c>
      <c r="F407" t="e">
        <v>#N/A</v>
      </c>
    </row>
    <row r="408" spans="1:6" x14ac:dyDescent="0.35">
      <c r="C408" t="s">
        <v>842</v>
      </c>
      <c r="D408" t="s">
        <v>843</v>
      </c>
      <c r="E408" t="s">
        <v>8</v>
      </c>
      <c r="F408" t="e">
        <v>#N/A</v>
      </c>
    </row>
    <row r="409" spans="1:6" x14ac:dyDescent="0.35">
      <c r="C409" t="s">
        <v>844</v>
      </c>
      <c r="D409" t="s">
        <v>845</v>
      </c>
      <c r="E409" t="s">
        <v>8</v>
      </c>
      <c r="F409" t="e">
        <v>#N/A</v>
      </c>
    </row>
    <row r="410" spans="1:6" x14ac:dyDescent="0.35">
      <c r="C410" t="s">
        <v>846</v>
      </c>
      <c r="D410" t="s">
        <v>847</v>
      </c>
      <c r="E410" t="s">
        <v>8</v>
      </c>
      <c r="F410" t="e">
        <v>#N/A</v>
      </c>
    </row>
    <row r="411" spans="1:6" x14ac:dyDescent="0.35">
      <c r="C411" t="s">
        <v>848</v>
      </c>
      <c r="D411" t="s">
        <v>849</v>
      </c>
      <c r="E411" t="s">
        <v>8</v>
      </c>
      <c r="F411" t="e">
        <v>#N/A</v>
      </c>
    </row>
    <row r="412" spans="1:6" x14ac:dyDescent="0.35">
      <c r="C412" t="s">
        <v>850</v>
      </c>
      <c r="D412" t="s">
        <v>851</v>
      </c>
      <c r="E412" t="s">
        <v>8</v>
      </c>
      <c r="F412" t="e">
        <v>#N/A</v>
      </c>
    </row>
    <row r="413" spans="1:6" hidden="1" x14ac:dyDescent="0.35">
      <c r="A413" t="s">
        <v>852</v>
      </c>
      <c r="B413" t="s">
        <v>5</v>
      </c>
      <c r="C413" t="s">
        <v>853</v>
      </c>
      <c r="D413" t="s">
        <v>854</v>
      </c>
      <c r="E413" t="s">
        <v>8</v>
      </c>
      <c r="F413">
        <v>7</v>
      </c>
    </row>
    <row r="414" spans="1:6" hidden="1" x14ac:dyDescent="0.35">
      <c r="C414" t="s">
        <v>855</v>
      </c>
      <c r="D414" t="s">
        <v>856</v>
      </c>
      <c r="E414" t="s">
        <v>8</v>
      </c>
      <c r="F414">
        <v>7</v>
      </c>
    </row>
    <row r="415" spans="1:6" hidden="1" x14ac:dyDescent="0.35">
      <c r="C415" t="s">
        <v>857</v>
      </c>
      <c r="D415" t="s">
        <v>858</v>
      </c>
      <c r="E415" t="s">
        <v>8</v>
      </c>
      <c r="F415">
        <v>5</v>
      </c>
    </row>
    <row r="416" spans="1:6" hidden="1" x14ac:dyDescent="0.35">
      <c r="C416" t="s">
        <v>859</v>
      </c>
      <c r="D416" t="s">
        <v>860</v>
      </c>
      <c r="E416" t="s">
        <v>8</v>
      </c>
      <c r="F416">
        <v>5.8</v>
      </c>
    </row>
    <row r="417" spans="1:6" hidden="1" x14ac:dyDescent="0.35">
      <c r="C417" t="s">
        <v>861</v>
      </c>
      <c r="D417" t="s">
        <v>862</v>
      </c>
      <c r="E417" t="s">
        <v>8</v>
      </c>
      <c r="F417">
        <v>5</v>
      </c>
    </row>
    <row r="418" spans="1:6" hidden="1" x14ac:dyDescent="0.35">
      <c r="C418" t="s">
        <v>863</v>
      </c>
      <c r="D418" t="s">
        <v>864</v>
      </c>
      <c r="E418" t="s">
        <v>8</v>
      </c>
      <c r="F418">
        <v>6</v>
      </c>
    </row>
    <row r="419" spans="1:6" hidden="1" x14ac:dyDescent="0.35">
      <c r="A419" t="s">
        <v>865</v>
      </c>
      <c r="B419" t="s">
        <v>865</v>
      </c>
      <c r="C419" t="s">
        <v>866</v>
      </c>
      <c r="D419" t="s">
        <v>867</v>
      </c>
      <c r="E419" t="s">
        <v>8</v>
      </c>
      <c r="F419">
        <v>11</v>
      </c>
    </row>
    <row r="420" spans="1:6" hidden="1" x14ac:dyDescent="0.35">
      <c r="C420" t="s">
        <v>820</v>
      </c>
      <c r="D420" t="s">
        <v>821</v>
      </c>
      <c r="E420" t="s">
        <v>8</v>
      </c>
      <c r="F420">
        <v>122</v>
      </c>
    </row>
    <row r="421" spans="1:6" x14ac:dyDescent="0.35">
      <c r="C421" t="s">
        <v>868</v>
      </c>
      <c r="D421" t="s">
        <v>869</v>
      </c>
      <c r="E421" t="s">
        <v>8</v>
      </c>
      <c r="F421" t="e">
        <v>#N/A</v>
      </c>
    </row>
    <row r="422" spans="1:6" hidden="1" x14ac:dyDescent="0.35">
      <c r="C422" t="s">
        <v>870</v>
      </c>
      <c r="D422" t="s">
        <v>871</v>
      </c>
      <c r="E422" t="s">
        <v>8</v>
      </c>
      <c r="F422">
        <v>35.5</v>
      </c>
    </row>
    <row r="423" spans="1:6" hidden="1" x14ac:dyDescent="0.35">
      <c r="C423" t="s">
        <v>872</v>
      </c>
      <c r="D423" t="s">
        <v>873</v>
      </c>
      <c r="E423" t="s">
        <v>8</v>
      </c>
      <c r="F423">
        <v>17</v>
      </c>
    </row>
    <row r="424" spans="1:6" hidden="1" x14ac:dyDescent="0.35">
      <c r="C424" t="s">
        <v>874</v>
      </c>
      <c r="D424" t="s">
        <v>875</v>
      </c>
      <c r="E424" t="s">
        <v>8</v>
      </c>
      <c r="F424">
        <v>35</v>
      </c>
    </row>
    <row r="425" spans="1:6" hidden="1" x14ac:dyDescent="0.35">
      <c r="A425" t="s">
        <v>876</v>
      </c>
    </row>
  </sheetData>
  <autoFilter ref="F3:F425" xr:uid="{D7C748DD-2FE2-4A31-8EC2-C49713696EE1}">
    <filterColumn colId="0">
      <filters>
        <filter val="#N/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870F-0069-4478-9E72-74CA806306C7}">
  <dimension ref="A1:E615"/>
  <sheetViews>
    <sheetView tabSelected="1" topLeftCell="A597" workbookViewId="0">
      <selection activeCell="A4" sqref="A4:A614"/>
    </sheetView>
  </sheetViews>
  <sheetFormatPr defaultRowHeight="14.5" x14ac:dyDescent="0.35"/>
  <cols>
    <col min="1" max="1" width="12.36328125" bestFit="1" customWidth="1"/>
    <col min="2" max="2" width="6.453125" bestFit="1" customWidth="1"/>
    <col min="4" max="4" width="12.36328125" bestFit="1" customWidth="1"/>
    <col min="5" max="5" width="31.6328125" bestFit="1" customWidth="1"/>
  </cols>
  <sheetData>
    <row r="1" spans="1:5" x14ac:dyDescent="0.35">
      <c r="A1" s="3" t="s">
        <v>1959</v>
      </c>
      <c r="B1" t="s">
        <v>2269</v>
      </c>
    </row>
    <row r="3" spans="1:5" x14ac:dyDescent="0.35">
      <c r="A3" s="3" t="s">
        <v>2267</v>
      </c>
      <c r="D3" s="3" t="s">
        <v>2267</v>
      </c>
      <c r="E3" t="s">
        <v>2268</v>
      </c>
    </row>
    <row r="4" spans="1:5" x14ac:dyDescent="0.35">
      <c r="A4" s="91" t="s">
        <v>722</v>
      </c>
      <c r="D4" s="91" t="s">
        <v>1958</v>
      </c>
      <c r="E4" s="92">
        <v>199</v>
      </c>
    </row>
    <row r="5" spans="1:5" x14ac:dyDescent="0.35">
      <c r="A5" s="91" t="s">
        <v>267</v>
      </c>
      <c r="D5" s="91" t="s">
        <v>1886</v>
      </c>
      <c r="E5" s="92">
        <v>406</v>
      </c>
    </row>
    <row r="6" spans="1:5" x14ac:dyDescent="0.35">
      <c r="A6" s="91" t="s">
        <v>269</v>
      </c>
      <c r="D6" s="91" t="s">
        <v>876</v>
      </c>
      <c r="E6" s="92">
        <v>605</v>
      </c>
    </row>
    <row r="7" spans="1:5" x14ac:dyDescent="0.35">
      <c r="A7" s="91" t="s">
        <v>898</v>
      </c>
    </row>
    <row r="8" spans="1:5" x14ac:dyDescent="0.35">
      <c r="A8" s="91" t="s">
        <v>751</v>
      </c>
    </row>
    <row r="9" spans="1:5" x14ac:dyDescent="0.35">
      <c r="A9" s="91" t="s">
        <v>741</v>
      </c>
    </row>
    <row r="10" spans="1:5" x14ac:dyDescent="0.35">
      <c r="A10" s="91" t="s">
        <v>6</v>
      </c>
    </row>
    <row r="11" spans="1:5" x14ac:dyDescent="0.35">
      <c r="A11" s="91" t="s">
        <v>907</v>
      </c>
    </row>
    <row r="12" spans="1:5" x14ac:dyDescent="0.35">
      <c r="A12" s="91" t="s">
        <v>910</v>
      </c>
    </row>
    <row r="13" spans="1:5" x14ac:dyDescent="0.35">
      <c r="A13" s="91" t="s">
        <v>674</v>
      </c>
    </row>
    <row r="14" spans="1:5" x14ac:dyDescent="0.35">
      <c r="A14" s="91" t="s">
        <v>676</v>
      </c>
    </row>
    <row r="15" spans="1:5" x14ac:dyDescent="0.35">
      <c r="A15" s="91" t="s">
        <v>46</v>
      </c>
    </row>
    <row r="16" spans="1:5" x14ac:dyDescent="0.35">
      <c r="A16" s="91" t="s">
        <v>306</v>
      </c>
    </row>
    <row r="17" spans="1:1" x14ac:dyDescent="0.35">
      <c r="A17" s="91" t="s">
        <v>72</v>
      </c>
    </row>
    <row r="18" spans="1:1" x14ac:dyDescent="0.35">
      <c r="A18" s="91" t="s">
        <v>174</v>
      </c>
    </row>
    <row r="19" spans="1:1" x14ac:dyDescent="0.35">
      <c r="A19" s="91" t="s">
        <v>176</v>
      </c>
    </row>
    <row r="20" spans="1:1" x14ac:dyDescent="0.35">
      <c r="A20" s="91" t="s">
        <v>335</v>
      </c>
    </row>
    <row r="21" spans="1:1" x14ac:dyDescent="0.35">
      <c r="A21" s="91" t="s">
        <v>110</v>
      </c>
    </row>
    <row r="22" spans="1:1" x14ac:dyDescent="0.35">
      <c r="A22" s="91" t="s">
        <v>358</v>
      </c>
    </row>
    <row r="23" spans="1:1" x14ac:dyDescent="0.35">
      <c r="A23" s="91" t="s">
        <v>360</v>
      </c>
    </row>
    <row r="24" spans="1:1" x14ac:dyDescent="0.35">
      <c r="A24" s="91" t="s">
        <v>387</v>
      </c>
    </row>
    <row r="25" spans="1:1" x14ac:dyDescent="0.35">
      <c r="A25" s="91" t="s">
        <v>230</v>
      </c>
    </row>
    <row r="26" spans="1:1" x14ac:dyDescent="0.35">
      <c r="A26" s="91" t="s">
        <v>232</v>
      </c>
    </row>
    <row r="27" spans="1:1" x14ac:dyDescent="0.35">
      <c r="A27" s="91" t="s">
        <v>404</v>
      </c>
    </row>
    <row r="28" spans="1:1" x14ac:dyDescent="0.35">
      <c r="A28" s="91" t="s">
        <v>926</v>
      </c>
    </row>
    <row r="29" spans="1:1" x14ac:dyDescent="0.35">
      <c r="A29" s="91" t="s">
        <v>103</v>
      </c>
    </row>
    <row r="30" spans="1:1" x14ac:dyDescent="0.35">
      <c r="A30" s="91" t="s">
        <v>160</v>
      </c>
    </row>
    <row r="31" spans="1:1" x14ac:dyDescent="0.35">
      <c r="A31" s="91" t="s">
        <v>271</v>
      </c>
    </row>
    <row r="32" spans="1:1" x14ac:dyDescent="0.35">
      <c r="A32" s="91" t="s">
        <v>443</v>
      </c>
    </row>
    <row r="33" spans="1:1" x14ac:dyDescent="0.35">
      <c r="A33" s="91" t="s">
        <v>610</v>
      </c>
    </row>
    <row r="34" spans="1:1" x14ac:dyDescent="0.35">
      <c r="A34" s="91" t="s">
        <v>932</v>
      </c>
    </row>
    <row r="35" spans="1:1" x14ac:dyDescent="0.35">
      <c r="A35" s="91" t="s">
        <v>445</v>
      </c>
    </row>
    <row r="36" spans="1:1" x14ac:dyDescent="0.35">
      <c r="A36" s="91" t="s">
        <v>447</v>
      </c>
    </row>
    <row r="37" spans="1:1" x14ac:dyDescent="0.35">
      <c r="A37" s="91" t="s">
        <v>2083</v>
      </c>
    </row>
    <row r="38" spans="1:1" x14ac:dyDescent="0.35">
      <c r="A38" s="91" t="s">
        <v>612</v>
      </c>
    </row>
    <row r="39" spans="1:1" x14ac:dyDescent="0.35">
      <c r="A39" s="91" t="s">
        <v>441</v>
      </c>
    </row>
    <row r="40" spans="1:1" x14ac:dyDescent="0.35">
      <c r="A40" s="91" t="s">
        <v>449</v>
      </c>
    </row>
    <row r="41" spans="1:1" x14ac:dyDescent="0.35">
      <c r="A41" s="91" t="s">
        <v>1811</v>
      </c>
    </row>
    <row r="42" spans="1:1" x14ac:dyDescent="0.35">
      <c r="A42" s="91" t="s">
        <v>1813</v>
      </c>
    </row>
    <row r="43" spans="1:1" x14ac:dyDescent="0.35">
      <c r="A43" s="91" t="s">
        <v>1872</v>
      </c>
    </row>
    <row r="44" spans="1:1" x14ac:dyDescent="0.35">
      <c r="A44" s="91" t="s">
        <v>1799</v>
      </c>
    </row>
    <row r="45" spans="1:1" x14ac:dyDescent="0.35">
      <c r="A45" s="91" t="s">
        <v>1801</v>
      </c>
    </row>
    <row r="46" spans="1:1" x14ac:dyDescent="0.35">
      <c r="A46" s="91" t="s">
        <v>1803</v>
      </c>
    </row>
    <row r="47" spans="1:1" x14ac:dyDescent="0.35">
      <c r="A47" s="91" t="s">
        <v>1805</v>
      </c>
    </row>
    <row r="48" spans="1:1" x14ac:dyDescent="0.35">
      <c r="A48" s="91" t="s">
        <v>1873</v>
      </c>
    </row>
    <row r="49" spans="1:1" x14ac:dyDescent="0.35">
      <c r="A49" s="91" t="s">
        <v>1875</v>
      </c>
    </row>
    <row r="50" spans="1:1" x14ac:dyDescent="0.35">
      <c r="A50" s="91" t="s">
        <v>1938</v>
      </c>
    </row>
    <row r="51" spans="1:1" x14ac:dyDescent="0.35">
      <c r="A51" s="91" t="s">
        <v>1936</v>
      </c>
    </row>
    <row r="52" spans="1:1" x14ac:dyDescent="0.35">
      <c r="A52" s="91" t="s">
        <v>1942</v>
      </c>
    </row>
    <row r="53" spans="1:1" x14ac:dyDescent="0.35">
      <c r="A53" s="91" t="s">
        <v>1940</v>
      </c>
    </row>
    <row r="54" spans="1:1" x14ac:dyDescent="0.35">
      <c r="A54" s="91" t="s">
        <v>451</v>
      </c>
    </row>
    <row r="55" spans="1:1" x14ac:dyDescent="0.35">
      <c r="A55" s="91" t="s">
        <v>2258</v>
      </c>
    </row>
    <row r="56" spans="1:1" x14ac:dyDescent="0.35">
      <c r="A56" s="91" t="s">
        <v>2256</v>
      </c>
    </row>
    <row r="57" spans="1:1" x14ac:dyDescent="0.35">
      <c r="A57" s="91" t="s">
        <v>453</v>
      </c>
    </row>
    <row r="58" spans="1:1" x14ac:dyDescent="0.35">
      <c r="A58" s="91" t="s">
        <v>455</v>
      </c>
    </row>
    <row r="59" spans="1:1" x14ac:dyDescent="0.35">
      <c r="A59" s="91" t="s">
        <v>614</v>
      </c>
    </row>
    <row r="60" spans="1:1" x14ac:dyDescent="0.35">
      <c r="A60" s="91" t="s">
        <v>457</v>
      </c>
    </row>
    <row r="61" spans="1:1" x14ac:dyDescent="0.35">
      <c r="A61" s="91" t="s">
        <v>616</v>
      </c>
    </row>
    <row r="62" spans="1:1" x14ac:dyDescent="0.35">
      <c r="A62" s="91" t="s">
        <v>273</v>
      </c>
    </row>
    <row r="63" spans="1:1" x14ac:dyDescent="0.35">
      <c r="A63" s="91" t="s">
        <v>940</v>
      </c>
    </row>
    <row r="64" spans="1:1" x14ac:dyDescent="0.35">
      <c r="A64" s="91" t="s">
        <v>942</v>
      </c>
    </row>
    <row r="65" spans="1:1" x14ac:dyDescent="0.35">
      <c r="A65" s="91" t="s">
        <v>753</v>
      </c>
    </row>
    <row r="66" spans="1:1" x14ac:dyDescent="0.35">
      <c r="A66" s="91" t="s">
        <v>178</v>
      </c>
    </row>
    <row r="67" spans="1:1" x14ac:dyDescent="0.35">
      <c r="A67" s="91" t="s">
        <v>1877</v>
      </c>
    </row>
    <row r="68" spans="1:1" x14ac:dyDescent="0.35">
      <c r="A68" s="91" t="s">
        <v>943</v>
      </c>
    </row>
    <row r="69" spans="1:1" x14ac:dyDescent="0.35">
      <c r="A69" s="91" t="s">
        <v>459</v>
      </c>
    </row>
    <row r="70" spans="1:1" x14ac:dyDescent="0.35">
      <c r="A70" s="91" t="s">
        <v>275</v>
      </c>
    </row>
    <row r="71" spans="1:1" x14ac:dyDescent="0.35">
      <c r="A71" s="91" t="s">
        <v>461</v>
      </c>
    </row>
    <row r="72" spans="1:1" x14ac:dyDescent="0.35">
      <c r="A72" s="91" t="s">
        <v>789</v>
      </c>
    </row>
    <row r="73" spans="1:1" x14ac:dyDescent="0.35">
      <c r="A73" s="91" t="s">
        <v>618</v>
      </c>
    </row>
    <row r="74" spans="1:1" x14ac:dyDescent="0.35">
      <c r="A74" s="91" t="s">
        <v>791</v>
      </c>
    </row>
    <row r="75" spans="1:1" x14ac:dyDescent="0.35">
      <c r="A75" s="91" t="s">
        <v>945</v>
      </c>
    </row>
    <row r="76" spans="1:1" x14ac:dyDescent="0.35">
      <c r="A76" s="91" t="s">
        <v>948</v>
      </c>
    </row>
    <row r="77" spans="1:1" x14ac:dyDescent="0.35">
      <c r="A77" s="91" t="s">
        <v>463</v>
      </c>
    </row>
    <row r="78" spans="1:1" x14ac:dyDescent="0.35">
      <c r="A78" s="91" t="s">
        <v>793</v>
      </c>
    </row>
    <row r="79" spans="1:1" x14ac:dyDescent="0.35">
      <c r="A79" s="91" t="s">
        <v>795</v>
      </c>
    </row>
    <row r="80" spans="1:1" x14ac:dyDescent="0.35">
      <c r="A80" s="91" t="s">
        <v>465</v>
      </c>
    </row>
    <row r="81" spans="1:1" x14ac:dyDescent="0.35">
      <c r="A81" s="91" t="s">
        <v>950</v>
      </c>
    </row>
    <row r="82" spans="1:1" x14ac:dyDescent="0.35">
      <c r="A82" s="91" t="s">
        <v>2168</v>
      </c>
    </row>
    <row r="83" spans="1:1" x14ac:dyDescent="0.35">
      <c r="A83" s="91" t="s">
        <v>467</v>
      </c>
    </row>
    <row r="84" spans="1:1" x14ac:dyDescent="0.35">
      <c r="A84" s="91" t="s">
        <v>2264</v>
      </c>
    </row>
    <row r="85" spans="1:1" x14ac:dyDescent="0.35">
      <c r="A85" s="91" t="s">
        <v>765</v>
      </c>
    </row>
    <row r="86" spans="1:1" x14ac:dyDescent="0.35">
      <c r="A86" s="91" t="s">
        <v>620</v>
      </c>
    </row>
    <row r="87" spans="1:1" x14ac:dyDescent="0.35">
      <c r="A87" s="91" t="s">
        <v>469</v>
      </c>
    </row>
    <row r="88" spans="1:1" x14ac:dyDescent="0.35">
      <c r="A88" s="91" t="s">
        <v>797</v>
      </c>
    </row>
    <row r="89" spans="1:1" x14ac:dyDescent="0.35">
      <c r="A89" s="91" t="s">
        <v>953</v>
      </c>
    </row>
    <row r="90" spans="1:1" x14ac:dyDescent="0.35">
      <c r="A90" s="91" t="s">
        <v>799</v>
      </c>
    </row>
    <row r="91" spans="1:1" x14ac:dyDescent="0.35">
      <c r="A91" s="91" t="s">
        <v>801</v>
      </c>
    </row>
    <row r="92" spans="1:1" x14ac:dyDescent="0.35">
      <c r="A92" s="91" t="s">
        <v>802</v>
      </c>
    </row>
    <row r="93" spans="1:1" x14ac:dyDescent="0.35">
      <c r="A93" s="91" t="s">
        <v>804</v>
      </c>
    </row>
    <row r="94" spans="1:1" x14ac:dyDescent="0.35">
      <c r="A94" s="91" t="s">
        <v>806</v>
      </c>
    </row>
    <row r="95" spans="1:1" x14ac:dyDescent="0.35">
      <c r="A95" s="91" t="s">
        <v>755</v>
      </c>
    </row>
    <row r="96" spans="1:1" x14ac:dyDescent="0.35">
      <c r="A96" s="91" t="s">
        <v>955</v>
      </c>
    </row>
    <row r="97" spans="1:1" x14ac:dyDescent="0.35">
      <c r="A97" s="91" t="s">
        <v>808</v>
      </c>
    </row>
    <row r="98" spans="1:1" x14ac:dyDescent="0.35">
      <c r="A98" s="91" t="s">
        <v>2260</v>
      </c>
    </row>
    <row r="99" spans="1:1" x14ac:dyDescent="0.35">
      <c r="A99" s="91" t="s">
        <v>958</v>
      </c>
    </row>
    <row r="100" spans="1:1" x14ac:dyDescent="0.35">
      <c r="A100" s="91" t="s">
        <v>961</v>
      </c>
    </row>
    <row r="101" spans="1:1" x14ac:dyDescent="0.35">
      <c r="A101" s="91" t="s">
        <v>963</v>
      </c>
    </row>
    <row r="102" spans="1:1" x14ac:dyDescent="0.35">
      <c r="A102" s="91" t="s">
        <v>14</v>
      </c>
    </row>
    <row r="103" spans="1:1" x14ac:dyDescent="0.35">
      <c r="A103" s="91" t="s">
        <v>967</v>
      </c>
    </row>
    <row r="104" spans="1:1" x14ac:dyDescent="0.35">
      <c r="A104" s="91" t="s">
        <v>16</v>
      </c>
    </row>
    <row r="105" spans="1:1" x14ac:dyDescent="0.35">
      <c r="A105" s="91" t="s">
        <v>18</v>
      </c>
    </row>
    <row r="106" spans="1:1" x14ac:dyDescent="0.35">
      <c r="A106" s="91" t="s">
        <v>20</v>
      </c>
    </row>
    <row r="107" spans="1:1" x14ac:dyDescent="0.35">
      <c r="A107" s="91" t="s">
        <v>22</v>
      </c>
    </row>
    <row r="108" spans="1:1" x14ac:dyDescent="0.35">
      <c r="A108" s="91" t="s">
        <v>969</v>
      </c>
    </row>
    <row r="109" spans="1:1" x14ac:dyDescent="0.35">
      <c r="A109" s="91" t="s">
        <v>24</v>
      </c>
    </row>
    <row r="110" spans="1:1" x14ac:dyDescent="0.35">
      <c r="A110" s="91" t="s">
        <v>163</v>
      </c>
    </row>
    <row r="111" spans="1:1" x14ac:dyDescent="0.35">
      <c r="A111" s="91" t="s">
        <v>154</v>
      </c>
    </row>
    <row r="112" spans="1:1" x14ac:dyDescent="0.35">
      <c r="A112" s="91" t="s">
        <v>303</v>
      </c>
    </row>
    <row r="113" spans="1:1" x14ac:dyDescent="0.35">
      <c r="A113" s="91" t="s">
        <v>974</v>
      </c>
    </row>
    <row r="114" spans="1:1" x14ac:dyDescent="0.35">
      <c r="A114" s="91" t="s">
        <v>471</v>
      </c>
    </row>
    <row r="115" spans="1:1" x14ac:dyDescent="0.35">
      <c r="A115" s="91" t="s">
        <v>234</v>
      </c>
    </row>
    <row r="116" spans="1:1" x14ac:dyDescent="0.35">
      <c r="A116" s="91" t="s">
        <v>473</v>
      </c>
    </row>
    <row r="117" spans="1:1" x14ac:dyDescent="0.35">
      <c r="A117" s="91" t="s">
        <v>222</v>
      </c>
    </row>
    <row r="118" spans="1:1" x14ac:dyDescent="0.35">
      <c r="A118" s="91" t="s">
        <v>277</v>
      </c>
    </row>
    <row r="119" spans="1:1" x14ac:dyDescent="0.35">
      <c r="A119" s="91" t="s">
        <v>977</v>
      </c>
    </row>
    <row r="120" spans="1:1" x14ac:dyDescent="0.35">
      <c r="A120" s="91" t="s">
        <v>980</v>
      </c>
    </row>
    <row r="121" spans="1:1" x14ac:dyDescent="0.35">
      <c r="A121" s="91" t="s">
        <v>982</v>
      </c>
    </row>
    <row r="122" spans="1:1" x14ac:dyDescent="0.35">
      <c r="A122" s="91" t="s">
        <v>810</v>
      </c>
    </row>
    <row r="123" spans="1:1" x14ac:dyDescent="0.35">
      <c r="A123" s="91" t="s">
        <v>866</v>
      </c>
    </row>
    <row r="124" spans="1:1" x14ac:dyDescent="0.35">
      <c r="A124" s="91" t="s">
        <v>984</v>
      </c>
    </row>
    <row r="125" spans="1:1" x14ac:dyDescent="0.35">
      <c r="A125" s="91" t="s">
        <v>437</v>
      </c>
    </row>
    <row r="126" spans="1:1" x14ac:dyDescent="0.35">
      <c r="A126" s="91" t="s">
        <v>986</v>
      </c>
    </row>
    <row r="127" spans="1:1" x14ac:dyDescent="0.35">
      <c r="A127" s="91" t="s">
        <v>988</v>
      </c>
    </row>
    <row r="128" spans="1:1" x14ac:dyDescent="0.35">
      <c r="A128" s="91" t="s">
        <v>990</v>
      </c>
    </row>
    <row r="129" spans="1:1" x14ac:dyDescent="0.35">
      <c r="A129" s="91" t="s">
        <v>180</v>
      </c>
    </row>
    <row r="130" spans="1:1" x14ac:dyDescent="0.35">
      <c r="A130" s="91" t="s">
        <v>678</v>
      </c>
    </row>
    <row r="131" spans="1:1" x14ac:dyDescent="0.35">
      <c r="A131" s="91" t="s">
        <v>26</v>
      </c>
    </row>
    <row r="132" spans="1:1" x14ac:dyDescent="0.35">
      <c r="A132" s="91" t="s">
        <v>28</v>
      </c>
    </row>
    <row r="133" spans="1:1" x14ac:dyDescent="0.35">
      <c r="A133" s="91" t="s">
        <v>993</v>
      </c>
    </row>
    <row r="134" spans="1:1" x14ac:dyDescent="0.35">
      <c r="A134" s="91" t="s">
        <v>997</v>
      </c>
    </row>
    <row r="135" spans="1:1" x14ac:dyDescent="0.35">
      <c r="A135" s="91" t="s">
        <v>999</v>
      </c>
    </row>
    <row r="136" spans="1:1" x14ac:dyDescent="0.35">
      <c r="A136" s="91" t="s">
        <v>1002</v>
      </c>
    </row>
    <row r="137" spans="1:1" x14ac:dyDescent="0.35">
      <c r="A137" s="91" t="s">
        <v>1004</v>
      </c>
    </row>
    <row r="138" spans="1:1" x14ac:dyDescent="0.35">
      <c r="A138" s="91" t="s">
        <v>30</v>
      </c>
    </row>
    <row r="139" spans="1:1" x14ac:dyDescent="0.35">
      <c r="A139" s="91" t="s">
        <v>32</v>
      </c>
    </row>
    <row r="140" spans="1:1" x14ac:dyDescent="0.35">
      <c r="A140" s="91" t="s">
        <v>34</v>
      </c>
    </row>
    <row r="141" spans="1:1" x14ac:dyDescent="0.35">
      <c r="A141" s="91" t="s">
        <v>36</v>
      </c>
    </row>
    <row r="142" spans="1:1" x14ac:dyDescent="0.35">
      <c r="A142" s="91" t="s">
        <v>743</v>
      </c>
    </row>
    <row r="143" spans="1:1" x14ac:dyDescent="0.35">
      <c r="A143" s="91" t="s">
        <v>165</v>
      </c>
    </row>
    <row r="144" spans="1:1" x14ac:dyDescent="0.35">
      <c r="A144" s="91" t="s">
        <v>167</v>
      </c>
    </row>
    <row r="145" spans="1:1" x14ac:dyDescent="0.35">
      <c r="A145" s="91" t="s">
        <v>169</v>
      </c>
    </row>
    <row r="146" spans="1:1" x14ac:dyDescent="0.35">
      <c r="A146" s="91" t="s">
        <v>171</v>
      </c>
    </row>
    <row r="147" spans="1:1" x14ac:dyDescent="0.35">
      <c r="A147" s="91" t="s">
        <v>812</v>
      </c>
    </row>
    <row r="148" spans="1:1" x14ac:dyDescent="0.35">
      <c r="A148" s="91" t="s">
        <v>814</v>
      </c>
    </row>
    <row r="149" spans="1:1" x14ac:dyDescent="0.35">
      <c r="A149" s="91" t="s">
        <v>2262</v>
      </c>
    </row>
    <row r="150" spans="1:1" x14ac:dyDescent="0.35">
      <c r="A150" s="91" t="s">
        <v>816</v>
      </c>
    </row>
    <row r="151" spans="1:1" x14ac:dyDescent="0.35">
      <c r="A151" s="91" t="s">
        <v>818</v>
      </c>
    </row>
    <row r="152" spans="1:1" x14ac:dyDescent="0.35">
      <c r="A152" s="91" t="s">
        <v>475</v>
      </c>
    </row>
    <row r="153" spans="1:1" x14ac:dyDescent="0.35">
      <c r="A153" s="91" t="s">
        <v>477</v>
      </c>
    </row>
    <row r="154" spans="1:1" x14ac:dyDescent="0.35">
      <c r="A154" s="91" t="s">
        <v>479</v>
      </c>
    </row>
    <row r="155" spans="1:1" x14ac:dyDescent="0.35">
      <c r="A155" s="91" t="s">
        <v>279</v>
      </c>
    </row>
    <row r="156" spans="1:1" x14ac:dyDescent="0.35">
      <c r="A156" s="91" t="s">
        <v>481</v>
      </c>
    </row>
    <row r="157" spans="1:1" x14ac:dyDescent="0.35">
      <c r="A157" s="91" t="s">
        <v>483</v>
      </c>
    </row>
    <row r="158" spans="1:1" x14ac:dyDescent="0.35">
      <c r="A158" s="91" t="s">
        <v>485</v>
      </c>
    </row>
    <row r="159" spans="1:1" x14ac:dyDescent="0.35">
      <c r="A159" s="91" t="s">
        <v>622</v>
      </c>
    </row>
    <row r="160" spans="1:1" x14ac:dyDescent="0.35">
      <c r="A160" s="91" t="s">
        <v>1887</v>
      </c>
    </row>
    <row r="161" spans="1:1" x14ac:dyDescent="0.35">
      <c r="A161" s="91" t="s">
        <v>487</v>
      </c>
    </row>
    <row r="162" spans="1:1" x14ac:dyDescent="0.35">
      <c r="A162" s="91" t="s">
        <v>489</v>
      </c>
    </row>
    <row r="163" spans="1:1" x14ac:dyDescent="0.35">
      <c r="A163" s="91" t="s">
        <v>1011</v>
      </c>
    </row>
    <row r="164" spans="1:1" x14ac:dyDescent="0.35">
      <c r="A164" s="91" t="s">
        <v>491</v>
      </c>
    </row>
    <row r="165" spans="1:1" x14ac:dyDescent="0.35">
      <c r="A165" s="91" t="s">
        <v>493</v>
      </c>
    </row>
    <row r="166" spans="1:1" x14ac:dyDescent="0.35">
      <c r="A166" s="91" t="s">
        <v>495</v>
      </c>
    </row>
    <row r="167" spans="1:1" x14ac:dyDescent="0.35">
      <c r="A167" s="91" t="s">
        <v>497</v>
      </c>
    </row>
    <row r="168" spans="1:1" x14ac:dyDescent="0.35">
      <c r="A168" s="91" t="s">
        <v>499</v>
      </c>
    </row>
    <row r="169" spans="1:1" x14ac:dyDescent="0.35">
      <c r="A169" s="91" t="s">
        <v>501</v>
      </c>
    </row>
    <row r="170" spans="1:1" x14ac:dyDescent="0.35">
      <c r="A170" s="91" t="s">
        <v>503</v>
      </c>
    </row>
    <row r="171" spans="1:1" x14ac:dyDescent="0.35">
      <c r="A171" s="91" t="s">
        <v>505</v>
      </c>
    </row>
    <row r="172" spans="1:1" x14ac:dyDescent="0.35">
      <c r="A172" s="91" t="s">
        <v>624</v>
      </c>
    </row>
    <row r="173" spans="1:1" x14ac:dyDescent="0.35">
      <c r="A173" s="91" t="s">
        <v>182</v>
      </c>
    </row>
    <row r="174" spans="1:1" x14ac:dyDescent="0.35">
      <c r="A174" s="91" t="s">
        <v>1017</v>
      </c>
    </row>
    <row r="175" spans="1:1" x14ac:dyDescent="0.35">
      <c r="A175" s="91" t="s">
        <v>1018</v>
      </c>
    </row>
    <row r="176" spans="1:1" x14ac:dyDescent="0.35">
      <c r="A176" s="91" t="s">
        <v>724</v>
      </c>
    </row>
    <row r="177" spans="1:1" x14ac:dyDescent="0.35">
      <c r="A177" s="91" t="s">
        <v>9</v>
      </c>
    </row>
    <row r="178" spans="1:1" x14ac:dyDescent="0.35">
      <c r="A178" s="91" t="s">
        <v>1020</v>
      </c>
    </row>
    <row r="179" spans="1:1" x14ac:dyDescent="0.35">
      <c r="A179" s="91" t="s">
        <v>1022</v>
      </c>
    </row>
    <row r="180" spans="1:1" x14ac:dyDescent="0.35">
      <c r="A180" s="91" t="s">
        <v>1024</v>
      </c>
    </row>
    <row r="181" spans="1:1" x14ac:dyDescent="0.35">
      <c r="A181" s="91" t="s">
        <v>726</v>
      </c>
    </row>
    <row r="182" spans="1:1" x14ac:dyDescent="0.35">
      <c r="A182" s="91" t="s">
        <v>507</v>
      </c>
    </row>
    <row r="183" spans="1:1" x14ac:dyDescent="0.35">
      <c r="A183" s="91" t="s">
        <v>626</v>
      </c>
    </row>
    <row r="184" spans="1:1" x14ac:dyDescent="0.35">
      <c r="A184" s="91" t="s">
        <v>509</v>
      </c>
    </row>
    <row r="185" spans="1:1" x14ac:dyDescent="0.35">
      <c r="A185" s="91" t="s">
        <v>511</v>
      </c>
    </row>
    <row r="186" spans="1:1" x14ac:dyDescent="0.35">
      <c r="A186" s="91" t="s">
        <v>281</v>
      </c>
    </row>
    <row r="187" spans="1:1" x14ac:dyDescent="0.35">
      <c r="A187" s="91" t="s">
        <v>513</v>
      </c>
    </row>
    <row r="188" spans="1:1" x14ac:dyDescent="0.35">
      <c r="A188" s="91" t="s">
        <v>515</v>
      </c>
    </row>
    <row r="189" spans="1:1" x14ac:dyDescent="0.35">
      <c r="A189" s="91" t="s">
        <v>517</v>
      </c>
    </row>
    <row r="190" spans="1:1" x14ac:dyDescent="0.35">
      <c r="A190" s="91" t="s">
        <v>519</v>
      </c>
    </row>
    <row r="191" spans="1:1" x14ac:dyDescent="0.35">
      <c r="A191" s="91" t="s">
        <v>628</v>
      </c>
    </row>
    <row r="192" spans="1:1" x14ac:dyDescent="0.35">
      <c r="A192" s="91" t="s">
        <v>630</v>
      </c>
    </row>
    <row r="193" spans="1:1" x14ac:dyDescent="0.35">
      <c r="A193" s="91" t="s">
        <v>632</v>
      </c>
    </row>
    <row r="194" spans="1:1" x14ac:dyDescent="0.35">
      <c r="A194" s="91" t="s">
        <v>1027</v>
      </c>
    </row>
    <row r="195" spans="1:1" x14ac:dyDescent="0.35">
      <c r="A195" s="91" t="s">
        <v>521</v>
      </c>
    </row>
    <row r="196" spans="1:1" x14ac:dyDescent="0.35">
      <c r="A196" s="91" t="s">
        <v>634</v>
      </c>
    </row>
    <row r="197" spans="1:1" x14ac:dyDescent="0.35">
      <c r="A197" s="91" t="s">
        <v>636</v>
      </c>
    </row>
    <row r="198" spans="1:1" x14ac:dyDescent="0.35">
      <c r="A198" s="91" t="s">
        <v>523</v>
      </c>
    </row>
    <row r="199" spans="1:1" x14ac:dyDescent="0.35">
      <c r="A199" s="91" t="s">
        <v>283</v>
      </c>
    </row>
    <row r="200" spans="1:1" x14ac:dyDescent="0.35">
      <c r="A200" s="91" t="s">
        <v>525</v>
      </c>
    </row>
    <row r="201" spans="1:1" x14ac:dyDescent="0.35">
      <c r="A201" s="91" t="s">
        <v>527</v>
      </c>
    </row>
    <row r="202" spans="1:1" x14ac:dyDescent="0.35">
      <c r="A202" s="91" t="s">
        <v>529</v>
      </c>
    </row>
    <row r="203" spans="1:1" x14ac:dyDescent="0.35">
      <c r="A203" s="91" t="s">
        <v>1031</v>
      </c>
    </row>
    <row r="204" spans="1:1" x14ac:dyDescent="0.35">
      <c r="A204" s="91" t="s">
        <v>638</v>
      </c>
    </row>
    <row r="205" spans="1:1" x14ac:dyDescent="0.35">
      <c r="A205" s="91" t="s">
        <v>1034</v>
      </c>
    </row>
    <row r="206" spans="1:1" x14ac:dyDescent="0.35">
      <c r="A206" s="91" t="s">
        <v>640</v>
      </c>
    </row>
    <row r="207" spans="1:1" x14ac:dyDescent="0.35">
      <c r="A207" s="91" t="s">
        <v>642</v>
      </c>
    </row>
    <row r="208" spans="1:1" x14ac:dyDescent="0.35">
      <c r="A208" s="91" t="s">
        <v>2172</v>
      </c>
    </row>
    <row r="209" spans="1:1" x14ac:dyDescent="0.35">
      <c r="A209" s="91" t="s">
        <v>2173</v>
      </c>
    </row>
    <row r="210" spans="1:1" x14ac:dyDescent="0.35">
      <c r="A210" s="91" t="s">
        <v>2174</v>
      </c>
    </row>
    <row r="211" spans="1:1" x14ac:dyDescent="0.35">
      <c r="A211" s="91" t="s">
        <v>1036</v>
      </c>
    </row>
    <row r="212" spans="1:1" x14ac:dyDescent="0.35">
      <c r="A212" s="91" t="s">
        <v>1038</v>
      </c>
    </row>
    <row r="213" spans="1:1" x14ac:dyDescent="0.35">
      <c r="A213" s="91" t="s">
        <v>1040</v>
      </c>
    </row>
    <row r="214" spans="1:1" x14ac:dyDescent="0.35">
      <c r="A214" s="91" t="s">
        <v>1042</v>
      </c>
    </row>
    <row r="215" spans="1:1" x14ac:dyDescent="0.35">
      <c r="A215" s="91" t="s">
        <v>2175</v>
      </c>
    </row>
    <row r="216" spans="1:1" x14ac:dyDescent="0.35">
      <c r="A216" s="91" t="s">
        <v>1930</v>
      </c>
    </row>
    <row r="217" spans="1:1" x14ac:dyDescent="0.35">
      <c r="A217" s="91" t="s">
        <v>1929</v>
      </c>
    </row>
    <row r="218" spans="1:1" x14ac:dyDescent="0.35">
      <c r="A218" s="91" t="s">
        <v>1928</v>
      </c>
    </row>
    <row r="219" spans="1:1" x14ac:dyDescent="0.35">
      <c r="A219" s="91" t="s">
        <v>1927</v>
      </c>
    </row>
    <row r="220" spans="1:1" x14ac:dyDescent="0.35">
      <c r="A220" s="91" t="s">
        <v>1951</v>
      </c>
    </row>
    <row r="221" spans="1:1" x14ac:dyDescent="0.35">
      <c r="A221" s="91" t="s">
        <v>2076</v>
      </c>
    </row>
    <row r="222" spans="1:1" x14ac:dyDescent="0.35">
      <c r="A222" s="91" t="s">
        <v>2079</v>
      </c>
    </row>
    <row r="223" spans="1:1" x14ac:dyDescent="0.35">
      <c r="A223" s="91" t="s">
        <v>2081</v>
      </c>
    </row>
    <row r="224" spans="1:1" x14ac:dyDescent="0.35">
      <c r="A224" s="91" t="s">
        <v>2117</v>
      </c>
    </row>
    <row r="225" spans="1:1" x14ac:dyDescent="0.35">
      <c r="A225" s="91" t="s">
        <v>1953</v>
      </c>
    </row>
    <row r="226" spans="1:1" x14ac:dyDescent="0.35">
      <c r="A226" s="91" t="s">
        <v>38</v>
      </c>
    </row>
    <row r="227" spans="1:1" x14ac:dyDescent="0.35">
      <c r="A227" s="91" t="s">
        <v>644</v>
      </c>
    </row>
    <row r="228" spans="1:1" x14ac:dyDescent="0.35">
      <c r="A228" s="91" t="s">
        <v>48</v>
      </c>
    </row>
    <row r="229" spans="1:1" x14ac:dyDescent="0.35">
      <c r="A229" s="91" t="s">
        <v>67</v>
      </c>
    </row>
    <row r="230" spans="1:1" x14ac:dyDescent="0.35">
      <c r="A230" s="91" t="s">
        <v>74</v>
      </c>
    </row>
    <row r="231" spans="1:1" x14ac:dyDescent="0.35">
      <c r="A231" s="91" t="s">
        <v>93</v>
      </c>
    </row>
    <row r="232" spans="1:1" x14ac:dyDescent="0.35">
      <c r="A232" s="91" t="s">
        <v>100</v>
      </c>
    </row>
    <row r="233" spans="1:1" x14ac:dyDescent="0.35">
      <c r="A233" s="91" t="s">
        <v>105</v>
      </c>
    </row>
    <row r="234" spans="1:1" x14ac:dyDescent="0.35">
      <c r="A234" s="91" t="s">
        <v>680</v>
      </c>
    </row>
    <row r="235" spans="1:1" x14ac:dyDescent="0.35">
      <c r="A235" s="91" t="s">
        <v>112</v>
      </c>
    </row>
    <row r="236" spans="1:1" x14ac:dyDescent="0.35">
      <c r="A236" s="91" t="s">
        <v>703</v>
      </c>
    </row>
    <row r="237" spans="1:1" x14ac:dyDescent="0.35">
      <c r="A237" s="91" t="s">
        <v>131</v>
      </c>
    </row>
    <row r="238" spans="1:1" x14ac:dyDescent="0.35">
      <c r="A238" s="91" t="s">
        <v>138</v>
      </c>
    </row>
    <row r="239" spans="1:1" x14ac:dyDescent="0.35">
      <c r="A239" s="91" t="s">
        <v>143</v>
      </c>
    </row>
    <row r="240" spans="1:1" x14ac:dyDescent="0.35">
      <c r="A240" s="91" t="s">
        <v>184</v>
      </c>
    </row>
    <row r="241" spans="1:1" x14ac:dyDescent="0.35">
      <c r="A241" s="91" t="s">
        <v>219</v>
      </c>
    </row>
    <row r="242" spans="1:1" x14ac:dyDescent="0.35">
      <c r="A242" s="91" t="s">
        <v>225</v>
      </c>
    </row>
    <row r="243" spans="1:1" x14ac:dyDescent="0.35">
      <c r="A243" s="91" t="s">
        <v>308</v>
      </c>
    </row>
    <row r="244" spans="1:1" x14ac:dyDescent="0.35">
      <c r="A244" s="91" t="s">
        <v>326</v>
      </c>
    </row>
    <row r="245" spans="1:1" x14ac:dyDescent="0.35">
      <c r="A245" s="91" t="s">
        <v>337</v>
      </c>
    </row>
    <row r="246" spans="1:1" x14ac:dyDescent="0.35">
      <c r="A246" s="91" t="s">
        <v>353</v>
      </c>
    </row>
    <row r="247" spans="1:1" x14ac:dyDescent="0.35">
      <c r="A247" s="91" t="s">
        <v>362</v>
      </c>
    </row>
    <row r="248" spans="1:1" x14ac:dyDescent="0.35">
      <c r="A248" s="91" t="s">
        <v>389</v>
      </c>
    </row>
    <row r="249" spans="1:1" x14ac:dyDescent="0.35">
      <c r="A249" s="91" t="s">
        <v>236</v>
      </c>
    </row>
    <row r="250" spans="1:1" x14ac:dyDescent="0.35">
      <c r="A250" s="91" t="s">
        <v>406</v>
      </c>
    </row>
    <row r="251" spans="1:1" x14ac:dyDescent="0.35">
      <c r="A251" s="91" t="s">
        <v>420</v>
      </c>
    </row>
    <row r="252" spans="1:1" x14ac:dyDescent="0.35">
      <c r="A252" s="91" t="s">
        <v>135</v>
      </c>
    </row>
    <row r="253" spans="1:1" x14ac:dyDescent="0.35">
      <c r="A253" s="91" t="s">
        <v>1889</v>
      </c>
    </row>
    <row r="254" spans="1:1" x14ac:dyDescent="0.35">
      <c r="A254" s="91" t="s">
        <v>647</v>
      </c>
    </row>
    <row r="255" spans="1:1" x14ac:dyDescent="0.35">
      <c r="A255" s="91" t="s">
        <v>2070</v>
      </c>
    </row>
    <row r="256" spans="1:1" x14ac:dyDescent="0.35">
      <c r="A256" s="91" t="s">
        <v>2068</v>
      </c>
    </row>
    <row r="257" spans="1:1" x14ac:dyDescent="0.35">
      <c r="A257" s="91" t="s">
        <v>2072</v>
      </c>
    </row>
    <row r="258" spans="1:1" x14ac:dyDescent="0.35">
      <c r="A258" s="91" t="s">
        <v>2074</v>
      </c>
    </row>
    <row r="259" spans="1:1" x14ac:dyDescent="0.35">
      <c r="A259" s="91" t="s">
        <v>2085</v>
      </c>
    </row>
    <row r="260" spans="1:1" x14ac:dyDescent="0.35">
      <c r="A260" s="91" t="s">
        <v>820</v>
      </c>
    </row>
    <row r="261" spans="1:1" x14ac:dyDescent="0.35">
      <c r="A261" s="91" t="s">
        <v>1048</v>
      </c>
    </row>
    <row r="262" spans="1:1" x14ac:dyDescent="0.35">
      <c r="A262" s="91" t="s">
        <v>531</v>
      </c>
    </row>
    <row r="263" spans="1:1" x14ac:dyDescent="0.35">
      <c r="A263" s="91" t="s">
        <v>868</v>
      </c>
    </row>
    <row r="264" spans="1:1" x14ac:dyDescent="0.35">
      <c r="A264" s="91" t="s">
        <v>870</v>
      </c>
    </row>
    <row r="265" spans="1:1" x14ac:dyDescent="0.35">
      <c r="A265" s="91" t="s">
        <v>1050</v>
      </c>
    </row>
    <row r="266" spans="1:1" x14ac:dyDescent="0.35">
      <c r="A266" s="91" t="s">
        <v>1052</v>
      </c>
    </row>
    <row r="267" spans="1:1" x14ac:dyDescent="0.35">
      <c r="A267" s="91" t="s">
        <v>682</v>
      </c>
    </row>
    <row r="268" spans="1:1" x14ac:dyDescent="0.35">
      <c r="A268" s="91" t="s">
        <v>1053</v>
      </c>
    </row>
    <row r="269" spans="1:1" x14ac:dyDescent="0.35">
      <c r="A269" s="91" t="s">
        <v>339</v>
      </c>
    </row>
    <row r="270" spans="1:1" x14ac:dyDescent="0.35">
      <c r="A270" s="91" t="s">
        <v>1056</v>
      </c>
    </row>
    <row r="271" spans="1:1" x14ac:dyDescent="0.35">
      <c r="A271" s="91" t="s">
        <v>1059</v>
      </c>
    </row>
    <row r="272" spans="1:1" x14ac:dyDescent="0.35">
      <c r="A272" s="91" t="s">
        <v>186</v>
      </c>
    </row>
    <row r="273" spans="1:1" x14ac:dyDescent="0.35">
      <c r="A273" s="91" t="s">
        <v>364</v>
      </c>
    </row>
    <row r="274" spans="1:1" x14ac:dyDescent="0.35">
      <c r="A274" s="91" t="s">
        <v>391</v>
      </c>
    </row>
    <row r="275" spans="1:1" x14ac:dyDescent="0.35">
      <c r="A275" s="91" t="s">
        <v>408</v>
      </c>
    </row>
    <row r="276" spans="1:1" x14ac:dyDescent="0.35">
      <c r="A276" s="91" t="s">
        <v>355</v>
      </c>
    </row>
    <row r="277" spans="1:1" x14ac:dyDescent="0.35">
      <c r="A277" s="91" t="s">
        <v>328</v>
      </c>
    </row>
    <row r="278" spans="1:1" x14ac:dyDescent="0.35">
      <c r="A278" s="91" t="s">
        <v>422</v>
      </c>
    </row>
    <row r="279" spans="1:1" x14ac:dyDescent="0.35">
      <c r="A279" s="91" t="s">
        <v>310</v>
      </c>
    </row>
    <row r="280" spans="1:1" x14ac:dyDescent="0.35">
      <c r="A280" s="91" t="s">
        <v>227</v>
      </c>
    </row>
    <row r="281" spans="1:1" x14ac:dyDescent="0.35">
      <c r="A281" s="91" t="s">
        <v>783</v>
      </c>
    </row>
    <row r="282" spans="1:1" x14ac:dyDescent="0.35">
      <c r="A282" s="91" t="s">
        <v>50</v>
      </c>
    </row>
    <row r="283" spans="1:1" x14ac:dyDescent="0.35">
      <c r="A283" s="91" t="s">
        <v>114</v>
      </c>
    </row>
    <row r="284" spans="1:1" x14ac:dyDescent="0.35">
      <c r="A284" s="91" t="s">
        <v>76</v>
      </c>
    </row>
    <row r="285" spans="1:1" x14ac:dyDescent="0.35">
      <c r="A285" s="91" t="s">
        <v>140</v>
      </c>
    </row>
    <row r="286" spans="1:1" x14ac:dyDescent="0.35">
      <c r="A286" s="91" t="s">
        <v>330</v>
      </c>
    </row>
    <row r="287" spans="1:1" x14ac:dyDescent="0.35">
      <c r="A287" s="91" t="s">
        <v>332</v>
      </c>
    </row>
    <row r="288" spans="1:1" x14ac:dyDescent="0.35">
      <c r="A288" s="91" t="s">
        <v>95</v>
      </c>
    </row>
    <row r="289" spans="1:1" x14ac:dyDescent="0.35">
      <c r="A289" s="91" t="s">
        <v>145</v>
      </c>
    </row>
    <row r="290" spans="1:1" x14ac:dyDescent="0.35">
      <c r="A290" s="91" t="s">
        <v>69</v>
      </c>
    </row>
    <row r="291" spans="1:1" x14ac:dyDescent="0.35">
      <c r="A291" s="91" t="s">
        <v>684</v>
      </c>
    </row>
    <row r="292" spans="1:1" x14ac:dyDescent="0.35">
      <c r="A292" s="91" t="s">
        <v>705</v>
      </c>
    </row>
    <row r="293" spans="1:1" x14ac:dyDescent="0.35">
      <c r="A293" s="91" t="s">
        <v>1061</v>
      </c>
    </row>
    <row r="294" spans="1:1" x14ac:dyDescent="0.35">
      <c r="A294" s="91" t="s">
        <v>156</v>
      </c>
    </row>
    <row r="295" spans="1:1" x14ac:dyDescent="0.35">
      <c r="A295" s="91" t="s">
        <v>188</v>
      </c>
    </row>
    <row r="296" spans="1:1" x14ac:dyDescent="0.35">
      <c r="A296" s="91" t="s">
        <v>238</v>
      </c>
    </row>
    <row r="297" spans="1:1" x14ac:dyDescent="0.35">
      <c r="A297" s="91" t="s">
        <v>190</v>
      </c>
    </row>
    <row r="298" spans="1:1" x14ac:dyDescent="0.35">
      <c r="A298" s="91" t="s">
        <v>240</v>
      </c>
    </row>
    <row r="299" spans="1:1" x14ac:dyDescent="0.35">
      <c r="A299" s="91" t="s">
        <v>192</v>
      </c>
    </row>
    <row r="300" spans="1:1" x14ac:dyDescent="0.35">
      <c r="A300" s="91" t="s">
        <v>242</v>
      </c>
    </row>
    <row r="301" spans="1:1" x14ac:dyDescent="0.35">
      <c r="A301" s="91" t="s">
        <v>244</v>
      </c>
    </row>
    <row r="302" spans="1:1" x14ac:dyDescent="0.35">
      <c r="A302" s="91" t="s">
        <v>194</v>
      </c>
    </row>
    <row r="303" spans="1:1" x14ac:dyDescent="0.35">
      <c r="A303" s="91" t="s">
        <v>246</v>
      </c>
    </row>
    <row r="304" spans="1:1" x14ac:dyDescent="0.35">
      <c r="A304" s="91" t="s">
        <v>248</v>
      </c>
    </row>
    <row r="305" spans="1:1" x14ac:dyDescent="0.35">
      <c r="A305" s="91" t="s">
        <v>196</v>
      </c>
    </row>
    <row r="306" spans="1:1" x14ac:dyDescent="0.35">
      <c r="A306" s="91" t="s">
        <v>198</v>
      </c>
    </row>
    <row r="307" spans="1:1" x14ac:dyDescent="0.35">
      <c r="A307" s="91" t="s">
        <v>872</v>
      </c>
    </row>
    <row r="308" spans="1:1" x14ac:dyDescent="0.35">
      <c r="A308" s="91" t="s">
        <v>250</v>
      </c>
    </row>
    <row r="309" spans="1:1" x14ac:dyDescent="0.35">
      <c r="A309" s="91" t="s">
        <v>686</v>
      </c>
    </row>
    <row r="310" spans="1:1" x14ac:dyDescent="0.35">
      <c r="A310" s="91" t="s">
        <v>366</v>
      </c>
    </row>
    <row r="311" spans="1:1" x14ac:dyDescent="0.35">
      <c r="A311" s="91" t="s">
        <v>368</v>
      </c>
    </row>
    <row r="312" spans="1:1" x14ac:dyDescent="0.35">
      <c r="A312" s="91" t="s">
        <v>370</v>
      </c>
    </row>
    <row r="313" spans="1:1" x14ac:dyDescent="0.35">
      <c r="A313" s="91" t="s">
        <v>372</v>
      </c>
    </row>
    <row r="314" spans="1:1" x14ac:dyDescent="0.35">
      <c r="A314" s="91" t="s">
        <v>312</v>
      </c>
    </row>
    <row r="315" spans="1:1" x14ac:dyDescent="0.35">
      <c r="A315" s="91" t="s">
        <v>314</v>
      </c>
    </row>
    <row r="316" spans="1:1" x14ac:dyDescent="0.35">
      <c r="A316" s="91" t="s">
        <v>424</v>
      </c>
    </row>
    <row r="317" spans="1:1" x14ac:dyDescent="0.35">
      <c r="A317" s="91" t="s">
        <v>426</v>
      </c>
    </row>
    <row r="318" spans="1:1" x14ac:dyDescent="0.35">
      <c r="A318" s="91" t="s">
        <v>341</v>
      </c>
    </row>
    <row r="319" spans="1:1" x14ac:dyDescent="0.35">
      <c r="A319" s="91" t="s">
        <v>343</v>
      </c>
    </row>
    <row r="320" spans="1:1" x14ac:dyDescent="0.35">
      <c r="A320" s="91" t="s">
        <v>688</v>
      </c>
    </row>
    <row r="321" spans="1:1" x14ac:dyDescent="0.35">
      <c r="A321" s="91" t="s">
        <v>690</v>
      </c>
    </row>
    <row r="322" spans="1:1" x14ac:dyDescent="0.35">
      <c r="A322" s="91" t="s">
        <v>749</v>
      </c>
    </row>
    <row r="323" spans="1:1" x14ac:dyDescent="0.35">
      <c r="A323" s="91" t="s">
        <v>1825</v>
      </c>
    </row>
    <row r="324" spans="1:1" x14ac:dyDescent="0.35">
      <c r="A324" s="91" t="s">
        <v>1826</v>
      </c>
    </row>
    <row r="325" spans="1:1" x14ac:dyDescent="0.35">
      <c r="A325" s="91" t="s">
        <v>116</v>
      </c>
    </row>
    <row r="326" spans="1:1" x14ac:dyDescent="0.35">
      <c r="A326" s="91" t="s">
        <v>118</v>
      </c>
    </row>
    <row r="327" spans="1:1" x14ac:dyDescent="0.35">
      <c r="A327" s="91" t="s">
        <v>1833</v>
      </c>
    </row>
    <row r="328" spans="1:1" x14ac:dyDescent="0.35">
      <c r="A328" s="91" t="s">
        <v>1835</v>
      </c>
    </row>
    <row r="329" spans="1:1" x14ac:dyDescent="0.35">
      <c r="A329" s="91" t="s">
        <v>707</v>
      </c>
    </row>
    <row r="330" spans="1:1" x14ac:dyDescent="0.35">
      <c r="A330" s="91" t="s">
        <v>709</v>
      </c>
    </row>
    <row r="331" spans="1:1" x14ac:dyDescent="0.35">
      <c r="A331" s="91" t="s">
        <v>1818</v>
      </c>
    </row>
    <row r="332" spans="1:1" x14ac:dyDescent="0.35">
      <c r="A332" s="91" t="s">
        <v>52</v>
      </c>
    </row>
    <row r="333" spans="1:1" x14ac:dyDescent="0.35">
      <c r="A333" s="91" t="s">
        <v>54</v>
      </c>
    </row>
    <row r="334" spans="1:1" x14ac:dyDescent="0.35">
      <c r="A334" s="91" t="s">
        <v>1821</v>
      </c>
    </row>
    <row r="335" spans="1:1" x14ac:dyDescent="0.35">
      <c r="A335" s="91" t="s">
        <v>1822</v>
      </c>
    </row>
    <row r="336" spans="1:1" x14ac:dyDescent="0.35">
      <c r="A336" s="91" t="s">
        <v>78</v>
      </c>
    </row>
    <row r="337" spans="1:1" x14ac:dyDescent="0.35">
      <c r="A337" s="91" t="s">
        <v>80</v>
      </c>
    </row>
    <row r="338" spans="1:1" x14ac:dyDescent="0.35">
      <c r="A338" s="91" t="s">
        <v>374</v>
      </c>
    </row>
    <row r="339" spans="1:1" x14ac:dyDescent="0.35">
      <c r="A339" s="91" t="s">
        <v>1830</v>
      </c>
    </row>
    <row r="340" spans="1:1" x14ac:dyDescent="0.35">
      <c r="A340" s="91" t="s">
        <v>1817</v>
      </c>
    </row>
    <row r="341" spans="1:1" x14ac:dyDescent="0.35">
      <c r="A341" s="91" t="s">
        <v>1829</v>
      </c>
    </row>
    <row r="342" spans="1:1" x14ac:dyDescent="0.35">
      <c r="A342" s="91" t="s">
        <v>1837</v>
      </c>
    </row>
    <row r="343" spans="1:1" x14ac:dyDescent="0.35">
      <c r="A343" s="91" t="s">
        <v>1840</v>
      </c>
    </row>
    <row r="344" spans="1:1" x14ac:dyDescent="0.35">
      <c r="A344" s="91" t="s">
        <v>148</v>
      </c>
    </row>
    <row r="345" spans="1:1" x14ac:dyDescent="0.35">
      <c r="A345" s="91" t="s">
        <v>150</v>
      </c>
    </row>
    <row r="346" spans="1:1" x14ac:dyDescent="0.35">
      <c r="A346" s="91" t="s">
        <v>822</v>
      </c>
    </row>
    <row r="347" spans="1:1" x14ac:dyDescent="0.35">
      <c r="A347" s="91" t="s">
        <v>533</v>
      </c>
    </row>
    <row r="348" spans="1:1" x14ac:dyDescent="0.35">
      <c r="A348" s="91" t="s">
        <v>757</v>
      </c>
    </row>
    <row r="349" spans="1:1" x14ac:dyDescent="0.35">
      <c r="A349" s="91" t="s">
        <v>824</v>
      </c>
    </row>
    <row r="350" spans="1:1" x14ac:dyDescent="0.35">
      <c r="A350" s="91" t="s">
        <v>648</v>
      </c>
    </row>
    <row r="351" spans="1:1" x14ac:dyDescent="0.35">
      <c r="A351" s="91" t="s">
        <v>535</v>
      </c>
    </row>
    <row r="352" spans="1:1" x14ac:dyDescent="0.35">
      <c r="A352" s="91" t="s">
        <v>537</v>
      </c>
    </row>
    <row r="353" spans="1:1" x14ac:dyDescent="0.35">
      <c r="A353" s="91" t="s">
        <v>1065</v>
      </c>
    </row>
    <row r="354" spans="1:1" x14ac:dyDescent="0.35">
      <c r="A354" s="91" t="s">
        <v>826</v>
      </c>
    </row>
    <row r="355" spans="1:1" x14ac:dyDescent="0.35">
      <c r="A355" s="91" t="s">
        <v>828</v>
      </c>
    </row>
    <row r="356" spans="1:1" x14ac:dyDescent="0.35">
      <c r="A356" s="91" t="s">
        <v>285</v>
      </c>
    </row>
    <row r="357" spans="1:1" x14ac:dyDescent="0.35">
      <c r="A357" s="91" t="s">
        <v>692</v>
      </c>
    </row>
    <row r="358" spans="1:1" x14ac:dyDescent="0.35">
      <c r="A358" s="91" t="s">
        <v>694</v>
      </c>
    </row>
    <row r="359" spans="1:1" x14ac:dyDescent="0.35">
      <c r="A359" s="91" t="s">
        <v>696</v>
      </c>
    </row>
    <row r="360" spans="1:1" x14ac:dyDescent="0.35">
      <c r="A360" s="91" t="s">
        <v>698</v>
      </c>
    </row>
    <row r="361" spans="1:1" x14ac:dyDescent="0.35">
      <c r="A361" s="91" t="s">
        <v>700</v>
      </c>
    </row>
    <row r="362" spans="1:1" x14ac:dyDescent="0.35">
      <c r="A362" s="91" t="s">
        <v>56</v>
      </c>
    </row>
    <row r="363" spans="1:1" x14ac:dyDescent="0.35">
      <c r="A363" s="91" t="s">
        <v>316</v>
      </c>
    </row>
    <row r="364" spans="1:1" x14ac:dyDescent="0.35">
      <c r="A364" s="91" t="s">
        <v>82</v>
      </c>
    </row>
    <row r="365" spans="1:1" x14ac:dyDescent="0.35">
      <c r="A365" s="91" t="s">
        <v>107</v>
      </c>
    </row>
    <row r="366" spans="1:1" x14ac:dyDescent="0.35">
      <c r="A366" s="91" t="s">
        <v>200</v>
      </c>
    </row>
    <row r="367" spans="1:1" x14ac:dyDescent="0.35">
      <c r="A367" s="91" t="s">
        <v>344</v>
      </c>
    </row>
    <row r="368" spans="1:1" x14ac:dyDescent="0.35">
      <c r="A368" s="91" t="s">
        <v>120</v>
      </c>
    </row>
    <row r="369" spans="1:1" x14ac:dyDescent="0.35">
      <c r="A369" s="91" t="s">
        <v>711</v>
      </c>
    </row>
    <row r="370" spans="1:1" x14ac:dyDescent="0.35">
      <c r="A370" s="91" t="s">
        <v>376</v>
      </c>
    </row>
    <row r="371" spans="1:1" x14ac:dyDescent="0.35">
      <c r="A371" s="91" t="s">
        <v>393</v>
      </c>
    </row>
    <row r="372" spans="1:1" x14ac:dyDescent="0.35">
      <c r="A372" s="91" t="s">
        <v>252</v>
      </c>
    </row>
    <row r="373" spans="1:1" x14ac:dyDescent="0.35">
      <c r="A373" s="91" t="s">
        <v>410</v>
      </c>
    </row>
    <row r="374" spans="1:1" x14ac:dyDescent="0.35">
      <c r="A374" s="91" t="s">
        <v>428</v>
      </c>
    </row>
    <row r="375" spans="1:1" x14ac:dyDescent="0.35">
      <c r="A375" s="91" t="s">
        <v>58</v>
      </c>
    </row>
    <row r="376" spans="1:1" x14ac:dyDescent="0.35">
      <c r="A376" s="91" t="s">
        <v>318</v>
      </c>
    </row>
    <row r="377" spans="1:1" x14ac:dyDescent="0.35">
      <c r="A377" s="91" t="s">
        <v>84</v>
      </c>
    </row>
    <row r="378" spans="1:1" x14ac:dyDescent="0.35">
      <c r="A378" s="91" t="s">
        <v>202</v>
      </c>
    </row>
    <row r="379" spans="1:1" x14ac:dyDescent="0.35">
      <c r="A379" s="91" t="s">
        <v>346</v>
      </c>
    </row>
    <row r="380" spans="1:1" x14ac:dyDescent="0.35">
      <c r="A380" s="91" t="s">
        <v>122</v>
      </c>
    </row>
    <row r="381" spans="1:1" x14ac:dyDescent="0.35">
      <c r="A381" s="91" t="s">
        <v>713</v>
      </c>
    </row>
    <row r="382" spans="1:1" x14ac:dyDescent="0.35">
      <c r="A382" s="91" t="s">
        <v>378</v>
      </c>
    </row>
    <row r="383" spans="1:1" x14ac:dyDescent="0.35">
      <c r="A383" s="91" t="s">
        <v>395</v>
      </c>
    </row>
    <row r="384" spans="1:1" x14ac:dyDescent="0.35">
      <c r="A384" s="91" t="s">
        <v>254</v>
      </c>
    </row>
    <row r="385" spans="1:1" x14ac:dyDescent="0.35">
      <c r="A385" s="91" t="s">
        <v>412</v>
      </c>
    </row>
    <row r="386" spans="1:1" x14ac:dyDescent="0.35">
      <c r="A386" s="91" t="s">
        <v>430</v>
      </c>
    </row>
    <row r="387" spans="1:1" x14ac:dyDescent="0.35">
      <c r="A387" s="91" t="s">
        <v>60</v>
      </c>
    </row>
    <row r="388" spans="1:1" x14ac:dyDescent="0.35">
      <c r="A388" s="91" t="s">
        <v>320</v>
      </c>
    </row>
    <row r="389" spans="1:1" x14ac:dyDescent="0.35">
      <c r="A389" s="91" t="s">
        <v>86</v>
      </c>
    </row>
    <row r="390" spans="1:1" x14ac:dyDescent="0.35">
      <c r="A390" s="91" t="s">
        <v>204</v>
      </c>
    </row>
    <row r="391" spans="1:1" x14ac:dyDescent="0.35">
      <c r="A391" s="91" t="s">
        <v>348</v>
      </c>
    </row>
    <row r="392" spans="1:1" x14ac:dyDescent="0.35">
      <c r="A392" s="91" t="s">
        <v>124</v>
      </c>
    </row>
    <row r="393" spans="1:1" x14ac:dyDescent="0.35">
      <c r="A393" s="91" t="s">
        <v>715</v>
      </c>
    </row>
    <row r="394" spans="1:1" x14ac:dyDescent="0.35">
      <c r="A394" s="91" t="s">
        <v>380</v>
      </c>
    </row>
    <row r="395" spans="1:1" x14ac:dyDescent="0.35">
      <c r="A395" s="91" t="s">
        <v>397</v>
      </c>
    </row>
    <row r="396" spans="1:1" x14ac:dyDescent="0.35">
      <c r="A396" s="91" t="s">
        <v>256</v>
      </c>
    </row>
    <row r="397" spans="1:1" x14ac:dyDescent="0.35">
      <c r="A397" s="91" t="s">
        <v>414</v>
      </c>
    </row>
    <row r="398" spans="1:1" x14ac:dyDescent="0.35">
      <c r="A398" s="91" t="s">
        <v>432</v>
      </c>
    </row>
    <row r="399" spans="1:1" x14ac:dyDescent="0.35">
      <c r="A399" s="91" t="s">
        <v>62</v>
      </c>
    </row>
    <row r="400" spans="1:1" x14ac:dyDescent="0.35">
      <c r="A400" s="91" t="s">
        <v>88</v>
      </c>
    </row>
    <row r="401" spans="1:1" x14ac:dyDescent="0.35">
      <c r="A401" s="91" t="s">
        <v>97</v>
      </c>
    </row>
    <row r="402" spans="1:1" x14ac:dyDescent="0.35">
      <c r="A402" s="91" t="s">
        <v>539</v>
      </c>
    </row>
    <row r="403" spans="1:1" x14ac:dyDescent="0.35">
      <c r="A403" s="91" t="s">
        <v>541</v>
      </c>
    </row>
    <row r="404" spans="1:1" x14ac:dyDescent="0.35">
      <c r="A404" s="91" t="s">
        <v>1077</v>
      </c>
    </row>
    <row r="405" spans="1:1" x14ac:dyDescent="0.35">
      <c r="A405" s="91" t="s">
        <v>206</v>
      </c>
    </row>
    <row r="406" spans="1:1" x14ac:dyDescent="0.35">
      <c r="A406" s="91" t="s">
        <v>126</v>
      </c>
    </row>
    <row r="407" spans="1:1" x14ac:dyDescent="0.35">
      <c r="A407" s="91" t="s">
        <v>717</v>
      </c>
    </row>
    <row r="408" spans="1:1" x14ac:dyDescent="0.35">
      <c r="A408" s="91" t="s">
        <v>382</v>
      </c>
    </row>
    <row r="409" spans="1:1" x14ac:dyDescent="0.35">
      <c r="A409" s="91" t="s">
        <v>399</v>
      </c>
    </row>
    <row r="410" spans="1:1" x14ac:dyDescent="0.35">
      <c r="A410" s="91" t="s">
        <v>258</v>
      </c>
    </row>
    <row r="411" spans="1:1" x14ac:dyDescent="0.35">
      <c r="A411" s="91" t="s">
        <v>64</v>
      </c>
    </row>
    <row r="412" spans="1:1" x14ac:dyDescent="0.35">
      <c r="A412" s="91" t="s">
        <v>322</v>
      </c>
    </row>
    <row r="413" spans="1:1" x14ac:dyDescent="0.35">
      <c r="A413" s="91" t="s">
        <v>324</v>
      </c>
    </row>
    <row r="414" spans="1:1" x14ac:dyDescent="0.35">
      <c r="A414" s="91" t="s">
        <v>90</v>
      </c>
    </row>
    <row r="415" spans="1:1" x14ac:dyDescent="0.35">
      <c r="A415" s="91" t="s">
        <v>208</v>
      </c>
    </row>
    <row r="416" spans="1:1" x14ac:dyDescent="0.35">
      <c r="A416" s="91" t="s">
        <v>350</v>
      </c>
    </row>
    <row r="417" spans="1:1" x14ac:dyDescent="0.35">
      <c r="A417" s="91" t="s">
        <v>128</v>
      </c>
    </row>
    <row r="418" spans="1:1" x14ac:dyDescent="0.35">
      <c r="A418" s="91" t="s">
        <v>719</v>
      </c>
    </row>
    <row r="419" spans="1:1" x14ac:dyDescent="0.35">
      <c r="A419" s="91" t="s">
        <v>384</v>
      </c>
    </row>
    <row r="420" spans="1:1" x14ac:dyDescent="0.35">
      <c r="A420" s="91" t="s">
        <v>401</v>
      </c>
    </row>
    <row r="421" spans="1:1" x14ac:dyDescent="0.35">
      <c r="A421" s="91" t="s">
        <v>260</v>
      </c>
    </row>
    <row r="422" spans="1:1" x14ac:dyDescent="0.35">
      <c r="A422" s="91" t="s">
        <v>416</v>
      </c>
    </row>
    <row r="423" spans="1:1" x14ac:dyDescent="0.35">
      <c r="A423" s="91" t="s">
        <v>418</v>
      </c>
    </row>
    <row r="424" spans="1:1" x14ac:dyDescent="0.35">
      <c r="A424" s="91" t="s">
        <v>434</v>
      </c>
    </row>
    <row r="425" spans="1:1" x14ac:dyDescent="0.35">
      <c r="A425" s="91" t="s">
        <v>830</v>
      </c>
    </row>
    <row r="426" spans="1:1" x14ac:dyDescent="0.35">
      <c r="A426" s="91" t="s">
        <v>785</v>
      </c>
    </row>
    <row r="427" spans="1:1" x14ac:dyDescent="0.35">
      <c r="A427" s="91" t="s">
        <v>210</v>
      </c>
    </row>
    <row r="428" spans="1:1" x14ac:dyDescent="0.35">
      <c r="A428" s="91" t="s">
        <v>759</v>
      </c>
    </row>
    <row r="429" spans="1:1" x14ac:dyDescent="0.35">
      <c r="A429" s="91" t="s">
        <v>767</v>
      </c>
    </row>
    <row r="430" spans="1:1" x14ac:dyDescent="0.35">
      <c r="A430" s="91" t="s">
        <v>769</v>
      </c>
    </row>
    <row r="431" spans="1:1" x14ac:dyDescent="0.35">
      <c r="A431" s="91" t="s">
        <v>763</v>
      </c>
    </row>
    <row r="432" spans="1:1" x14ac:dyDescent="0.35">
      <c r="A432" s="91" t="s">
        <v>771</v>
      </c>
    </row>
    <row r="433" spans="1:1" x14ac:dyDescent="0.35">
      <c r="A433" s="91" t="s">
        <v>543</v>
      </c>
    </row>
    <row r="434" spans="1:1" x14ac:dyDescent="0.35">
      <c r="A434" s="91" t="s">
        <v>650</v>
      </c>
    </row>
    <row r="435" spans="1:1" x14ac:dyDescent="0.35">
      <c r="A435" s="91" t="s">
        <v>545</v>
      </c>
    </row>
    <row r="436" spans="1:1" x14ac:dyDescent="0.35">
      <c r="A436" s="91" t="s">
        <v>832</v>
      </c>
    </row>
    <row r="437" spans="1:1" x14ac:dyDescent="0.35">
      <c r="A437" s="91" t="s">
        <v>287</v>
      </c>
    </row>
    <row r="438" spans="1:1" x14ac:dyDescent="0.35">
      <c r="A438" s="91" t="s">
        <v>745</v>
      </c>
    </row>
    <row r="439" spans="1:1" x14ac:dyDescent="0.35">
      <c r="A439" s="91" t="s">
        <v>547</v>
      </c>
    </row>
    <row r="440" spans="1:1" x14ac:dyDescent="0.35">
      <c r="A440" s="91" t="s">
        <v>773</v>
      </c>
    </row>
    <row r="441" spans="1:1" x14ac:dyDescent="0.35">
      <c r="A441" s="91" t="s">
        <v>652</v>
      </c>
    </row>
    <row r="442" spans="1:1" x14ac:dyDescent="0.35">
      <c r="A442" s="91" t="s">
        <v>549</v>
      </c>
    </row>
    <row r="443" spans="1:1" x14ac:dyDescent="0.35">
      <c r="A443" s="91" t="s">
        <v>289</v>
      </c>
    </row>
    <row r="444" spans="1:1" x14ac:dyDescent="0.35">
      <c r="A444" s="91" t="s">
        <v>2170</v>
      </c>
    </row>
    <row r="445" spans="1:1" x14ac:dyDescent="0.35">
      <c r="A445" s="91" t="s">
        <v>1079</v>
      </c>
    </row>
    <row r="446" spans="1:1" x14ac:dyDescent="0.35">
      <c r="A446" s="91" t="s">
        <v>2176</v>
      </c>
    </row>
    <row r="447" spans="1:1" x14ac:dyDescent="0.35">
      <c r="A447" s="91" t="s">
        <v>728</v>
      </c>
    </row>
    <row r="448" spans="1:1" x14ac:dyDescent="0.35">
      <c r="A448" s="91" t="s">
        <v>853</v>
      </c>
    </row>
    <row r="449" spans="1:1" x14ac:dyDescent="0.35">
      <c r="A449" s="91" t="s">
        <v>855</v>
      </c>
    </row>
    <row r="450" spans="1:1" x14ac:dyDescent="0.35">
      <c r="A450" s="91" t="s">
        <v>857</v>
      </c>
    </row>
    <row r="451" spans="1:1" x14ac:dyDescent="0.35">
      <c r="A451" s="91" t="s">
        <v>859</v>
      </c>
    </row>
    <row r="452" spans="1:1" x14ac:dyDescent="0.35">
      <c r="A452" s="91" t="s">
        <v>861</v>
      </c>
    </row>
    <row r="453" spans="1:1" x14ac:dyDescent="0.35">
      <c r="A453" s="91" t="s">
        <v>863</v>
      </c>
    </row>
    <row r="454" spans="1:1" x14ac:dyDescent="0.35">
      <c r="A454" s="91" t="s">
        <v>874</v>
      </c>
    </row>
    <row r="455" spans="1:1" x14ac:dyDescent="0.35">
      <c r="A455" s="91" t="s">
        <v>780</v>
      </c>
    </row>
    <row r="456" spans="1:1" x14ac:dyDescent="0.35">
      <c r="A456" s="91" t="s">
        <v>747</v>
      </c>
    </row>
    <row r="457" spans="1:1" x14ac:dyDescent="0.35">
      <c r="A457" s="91" t="s">
        <v>551</v>
      </c>
    </row>
    <row r="458" spans="1:1" x14ac:dyDescent="0.35">
      <c r="A458" s="91" t="s">
        <v>291</v>
      </c>
    </row>
    <row r="459" spans="1:1" x14ac:dyDescent="0.35">
      <c r="A459" s="91" t="s">
        <v>834</v>
      </c>
    </row>
    <row r="460" spans="1:1" x14ac:dyDescent="0.35">
      <c r="A460" s="91" t="s">
        <v>654</v>
      </c>
    </row>
    <row r="461" spans="1:1" x14ac:dyDescent="0.35">
      <c r="A461" s="91" t="s">
        <v>1081</v>
      </c>
    </row>
    <row r="462" spans="1:1" x14ac:dyDescent="0.35">
      <c r="A462" s="91" t="s">
        <v>1891</v>
      </c>
    </row>
    <row r="463" spans="1:1" x14ac:dyDescent="0.35">
      <c r="A463" s="91" t="s">
        <v>836</v>
      </c>
    </row>
    <row r="464" spans="1:1" x14ac:dyDescent="0.35">
      <c r="A464" s="91" t="s">
        <v>838</v>
      </c>
    </row>
    <row r="465" spans="1:1" x14ac:dyDescent="0.35">
      <c r="A465" s="91" t="s">
        <v>1084</v>
      </c>
    </row>
    <row r="466" spans="1:1" x14ac:dyDescent="0.35">
      <c r="A466" s="91" t="s">
        <v>553</v>
      </c>
    </row>
    <row r="467" spans="1:1" x14ac:dyDescent="0.35">
      <c r="A467" s="91" t="s">
        <v>555</v>
      </c>
    </row>
    <row r="468" spans="1:1" x14ac:dyDescent="0.35">
      <c r="A468" s="91" t="s">
        <v>557</v>
      </c>
    </row>
    <row r="469" spans="1:1" x14ac:dyDescent="0.35">
      <c r="A469" s="91" t="s">
        <v>559</v>
      </c>
    </row>
    <row r="470" spans="1:1" x14ac:dyDescent="0.35">
      <c r="A470" s="91" t="s">
        <v>656</v>
      </c>
    </row>
    <row r="471" spans="1:1" x14ac:dyDescent="0.35">
      <c r="A471" s="91" t="s">
        <v>561</v>
      </c>
    </row>
    <row r="472" spans="1:1" x14ac:dyDescent="0.35">
      <c r="A472" s="91" t="s">
        <v>293</v>
      </c>
    </row>
    <row r="473" spans="1:1" x14ac:dyDescent="0.35">
      <c r="A473" s="91" t="s">
        <v>563</v>
      </c>
    </row>
    <row r="474" spans="1:1" x14ac:dyDescent="0.35">
      <c r="A474" s="91" t="s">
        <v>565</v>
      </c>
    </row>
    <row r="475" spans="1:1" x14ac:dyDescent="0.35">
      <c r="A475" s="91" t="s">
        <v>567</v>
      </c>
    </row>
    <row r="476" spans="1:1" x14ac:dyDescent="0.35">
      <c r="A476" s="91" t="s">
        <v>658</v>
      </c>
    </row>
    <row r="477" spans="1:1" x14ac:dyDescent="0.35">
      <c r="A477" s="91" t="s">
        <v>295</v>
      </c>
    </row>
    <row r="478" spans="1:1" x14ac:dyDescent="0.35">
      <c r="A478" s="91" t="s">
        <v>1088</v>
      </c>
    </row>
    <row r="479" spans="1:1" x14ac:dyDescent="0.35">
      <c r="A479" s="91" t="s">
        <v>569</v>
      </c>
    </row>
    <row r="480" spans="1:1" x14ac:dyDescent="0.35">
      <c r="A480" s="91" t="s">
        <v>660</v>
      </c>
    </row>
    <row r="481" spans="1:1" x14ac:dyDescent="0.35">
      <c r="A481" s="91" t="s">
        <v>1090</v>
      </c>
    </row>
    <row r="482" spans="1:1" x14ac:dyDescent="0.35">
      <c r="A482" s="91" t="s">
        <v>571</v>
      </c>
    </row>
    <row r="483" spans="1:1" x14ac:dyDescent="0.35">
      <c r="A483" s="91" t="s">
        <v>573</v>
      </c>
    </row>
    <row r="484" spans="1:1" x14ac:dyDescent="0.35">
      <c r="A484" s="91" t="s">
        <v>575</v>
      </c>
    </row>
    <row r="485" spans="1:1" x14ac:dyDescent="0.35">
      <c r="A485" s="91" t="s">
        <v>577</v>
      </c>
    </row>
    <row r="486" spans="1:1" x14ac:dyDescent="0.35">
      <c r="A486" s="91" t="s">
        <v>579</v>
      </c>
    </row>
    <row r="487" spans="1:1" x14ac:dyDescent="0.35">
      <c r="A487" s="91" t="s">
        <v>1807</v>
      </c>
    </row>
    <row r="488" spans="1:1" x14ac:dyDescent="0.35">
      <c r="A488" s="91" t="s">
        <v>1092</v>
      </c>
    </row>
    <row r="489" spans="1:1" x14ac:dyDescent="0.35">
      <c r="A489" s="91" t="s">
        <v>1094</v>
      </c>
    </row>
    <row r="490" spans="1:1" x14ac:dyDescent="0.35">
      <c r="A490" s="91" t="s">
        <v>1096</v>
      </c>
    </row>
    <row r="491" spans="1:1" x14ac:dyDescent="0.35">
      <c r="A491" s="91" t="s">
        <v>1098</v>
      </c>
    </row>
    <row r="492" spans="1:1" x14ac:dyDescent="0.35">
      <c r="A492" s="91" t="s">
        <v>1100</v>
      </c>
    </row>
    <row r="493" spans="1:1" x14ac:dyDescent="0.35">
      <c r="A493" s="91" t="s">
        <v>1102</v>
      </c>
    </row>
    <row r="494" spans="1:1" x14ac:dyDescent="0.35">
      <c r="A494" s="91" t="s">
        <v>1104</v>
      </c>
    </row>
    <row r="495" spans="1:1" x14ac:dyDescent="0.35">
      <c r="A495" s="91" t="s">
        <v>1106</v>
      </c>
    </row>
    <row r="496" spans="1:1" x14ac:dyDescent="0.35">
      <c r="A496" s="91" t="s">
        <v>1108</v>
      </c>
    </row>
    <row r="497" spans="1:1" x14ac:dyDescent="0.35">
      <c r="A497" s="91" t="s">
        <v>1110</v>
      </c>
    </row>
    <row r="498" spans="1:1" x14ac:dyDescent="0.35">
      <c r="A498" s="91" t="s">
        <v>1112</v>
      </c>
    </row>
    <row r="499" spans="1:1" x14ac:dyDescent="0.35">
      <c r="A499" s="91" t="s">
        <v>1115</v>
      </c>
    </row>
    <row r="500" spans="1:1" x14ac:dyDescent="0.35">
      <c r="A500" s="91" t="s">
        <v>1117</v>
      </c>
    </row>
    <row r="501" spans="1:1" x14ac:dyDescent="0.35">
      <c r="A501" s="91" t="s">
        <v>1119</v>
      </c>
    </row>
    <row r="502" spans="1:1" x14ac:dyDescent="0.35">
      <c r="A502" s="91" t="s">
        <v>1121</v>
      </c>
    </row>
    <row r="503" spans="1:1" x14ac:dyDescent="0.35">
      <c r="A503" s="91" t="s">
        <v>1123</v>
      </c>
    </row>
    <row r="504" spans="1:1" x14ac:dyDescent="0.35">
      <c r="A504" s="91" t="s">
        <v>1125</v>
      </c>
    </row>
    <row r="505" spans="1:1" x14ac:dyDescent="0.35">
      <c r="A505" s="91" t="s">
        <v>1127</v>
      </c>
    </row>
    <row r="506" spans="1:1" x14ac:dyDescent="0.35">
      <c r="A506" s="91" t="s">
        <v>1129</v>
      </c>
    </row>
    <row r="507" spans="1:1" x14ac:dyDescent="0.35">
      <c r="A507" s="91" t="s">
        <v>1131</v>
      </c>
    </row>
    <row r="508" spans="1:1" x14ac:dyDescent="0.35">
      <c r="A508" s="91" t="s">
        <v>1133</v>
      </c>
    </row>
    <row r="509" spans="1:1" x14ac:dyDescent="0.35">
      <c r="A509" s="91" t="s">
        <v>1135</v>
      </c>
    </row>
    <row r="510" spans="1:1" x14ac:dyDescent="0.35">
      <c r="A510" s="91" t="s">
        <v>1137</v>
      </c>
    </row>
    <row r="511" spans="1:1" x14ac:dyDescent="0.35">
      <c r="A511" s="91" t="s">
        <v>1139</v>
      </c>
    </row>
    <row r="512" spans="1:1" x14ac:dyDescent="0.35">
      <c r="A512" s="91" t="s">
        <v>1141</v>
      </c>
    </row>
    <row r="513" spans="1:1" x14ac:dyDescent="0.35">
      <c r="A513" s="91" t="s">
        <v>1143</v>
      </c>
    </row>
    <row r="514" spans="1:1" x14ac:dyDescent="0.35">
      <c r="A514" s="91" t="s">
        <v>1145</v>
      </c>
    </row>
    <row r="515" spans="1:1" x14ac:dyDescent="0.35">
      <c r="A515" s="91" t="s">
        <v>1147</v>
      </c>
    </row>
    <row r="516" spans="1:1" x14ac:dyDescent="0.35">
      <c r="A516" s="91" t="s">
        <v>1149</v>
      </c>
    </row>
    <row r="517" spans="1:1" x14ac:dyDescent="0.35">
      <c r="A517" s="91" t="s">
        <v>1151</v>
      </c>
    </row>
    <row r="518" spans="1:1" x14ac:dyDescent="0.35">
      <c r="A518" s="91" t="s">
        <v>1153</v>
      </c>
    </row>
    <row r="519" spans="1:1" x14ac:dyDescent="0.35">
      <c r="A519" s="91" t="s">
        <v>1155</v>
      </c>
    </row>
    <row r="520" spans="1:1" x14ac:dyDescent="0.35">
      <c r="A520" s="91" t="s">
        <v>1157</v>
      </c>
    </row>
    <row r="521" spans="1:1" x14ac:dyDescent="0.35">
      <c r="A521" s="91" t="s">
        <v>1160</v>
      </c>
    </row>
    <row r="522" spans="1:1" x14ac:dyDescent="0.35">
      <c r="A522" s="91" t="s">
        <v>1162</v>
      </c>
    </row>
    <row r="523" spans="1:1" x14ac:dyDescent="0.35">
      <c r="A523" s="91" t="s">
        <v>1164</v>
      </c>
    </row>
    <row r="524" spans="1:1" x14ac:dyDescent="0.35">
      <c r="A524" s="91" t="s">
        <v>1166</v>
      </c>
    </row>
    <row r="525" spans="1:1" x14ac:dyDescent="0.35">
      <c r="A525" s="91" t="s">
        <v>1168</v>
      </c>
    </row>
    <row r="526" spans="1:1" x14ac:dyDescent="0.35">
      <c r="A526" s="91" t="s">
        <v>1170</v>
      </c>
    </row>
    <row r="527" spans="1:1" x14ac:dyDescent="0.35">
      <c r="A527" s="91" t="s">
        <v>1172</v>
      </c>
    </row>
    <row r="528" spans="1:1" x14ac:dyDescent="0.35">
      <c r="A528" s="91" t="s">
        <v>1174</v>
      </c>
    </row>
    <row r="529" spans="1:1" x14ac:dyDescent="0.35">
      <c r="A529" s="91" t="s">
        <v>1176</v>
      </c>
    </row>
    <row r="530" spans="1:1" x14ac:dyDescent="0.35">
      <c r="A530" s="91" t="s">
        <v>1178</v>
      </c>
    </row>
    <row r="531" spans="1:1" x14ac:dyDescent="0.35">
      <c r="A531" s="91" t="s">
        <v>1181</v>
      </c>
    </row>
    <row r="532" spans="1:1" x14ac:dyDescent="0.35">
      <c r="A532" s="91" t="s">
        <v>1183</v>
      </c>
    </row>
    <row r="533" spans="1:1" x14ac:dyDescent="0.35">
      <c r="A533" s="91" t="s">
        <v>1185</v>
      </c>
    </row>
    <row r="534" spans="1:1" x14ac:dyDescent="0.35">
      <c r="A534" s="91" t="s">
        <v>1187</v>
      </c>
    </row>
    <row r="535" spans="1:1" x14ac:dyDescent="0.35">
      <c r="A535" s="91" t="s">
        <v>1189</v>
      </c>
    </row>
    <row r="536" spans="1:1" x14ac:dyDescent="0.35">
      <c r="A536" s="91" t="s">
        <v>1191</v>
      </c>
    </row>
    <row r="537" spans="1:1" x14ac:dyDescent="0.35">
      <c r="A537" s="91" t="s">
        <v>1193</v>
      </c>
    </row>
    <row r="538" spans="1:1" x14ac:dyDescent="0.35">
      <c r="A538" s="91" t="s">
        <v>1955</v>
      </c>
    </row>
    <row r="539" spans="1:1" x14ac:dyDescent="0.35">
      <c r="A539" s="91" t="s">
        <v>1893</v>
      </c>
    </row>
    <row r="540" spans="1:1" x14ac:dyDescent="0.35">
      <c r="A540" s="91" t="s">
        <v>581</v>
      </c>
    </row>
    <row r="541" spans="1:1" x14ac:dyDescent="0.35">
      <c r="A541" s="91" t="s">
        <v>583</v>
      </c>
    </row>
    <row r="542" spans="1:1" x14ac:dyDescent="0.35">
      <c r="A542" s="91" t="s">
        <v>585</v>
      </c>
    </row>
    <row r="543" spans="1:1" x14ac:dyDescent="0.35">
      <c r="A543" s="91" t="s">
        <v>840</v>
      </c>
    </row>
    <row r="544" spans="1:1" x14ac:dyDescent="0.35">
      <c r="A544" s="91" t="s">
        <v>1196</v>
      </c>
    </row>
    <row r="545" spans="1:1" x14ac:dyDescent="0.35">
      <c r="A545" s="91" t="s">
        <v>130</v>
      </c>
    </row>
    <row r="546" spans="1:1" x14ac:dyDescent="0.35">
      <c r="A546" s="91" t="s">
        <v>1198</v>
      </c>
    </row>
    <row r="547" spans="1:1" x14ac:dyDescent="0.35">
      <c r="A547" s="91" t="s">
        <v>40</v>
      </c>
    </row>
    <row r="548" spans="1:1" x14ac:dyDescent="0.35">
      <c r="A548" s="91" t="s">
        <v>662</v>
      </c>
    </row>
    <row r="549" spans="1:1" x14ac:dyDescent="0.35">
      <c r="A549" s="91" t="s">
        <v>1201</v>
      </c>
    </row>
    <row r="550" spans="1:1" x14ac:dyDescent="0.35">
      <c r="A550" s="91" t="s">
        <v>587</v>
      </c>
    </row>
    <row r="551" spans="1:1" x14ac:dyDescent="0.35">
      <c r="A551" s="91" t="s">
        <v>730</v>
      </c>
    </row>
    <row r="552" spans="1:1" x14ac:dyDescent="0.35">
      <c r="A552" s="91" t="s">
        <v>842</v>
      </c>
    </row>
    <row r="553" spans="1:1" x14ac:dyDescent="0.35">
      <c r="A553" s="91" t="s">
        <v>664</v>
      </c>
    </row>
    <row r="554" spans="1:1" x14ac:dyDescent="0.35">
      <c r="A554" s="91" t="s">
        <v>775</v>
      </c>
    </row>
    <row r="555" spans="1:1" x14ac:dyDescent="0.35">
      <c r="A555" s="91" t="s">
        <v>1203</v>
      </c>
    </row>
    <row r="556" spans="1:1" x14ac:dyDescent="0.35">
      <c r="A556" s="91" t="s">
        <v>844</v>
      </c>
    </row>
    <row r="557" spans="1:1" x14ac:dyDescent="0.35">
      <c r="A557" s="91" t="s">
        <v>732</v>
      </c>
    </row>
    <row r="558" spans="1:1" x14ac:dyDescent="0.35">
      <c r="A558" s="91" t="s">
        <v>761</v>
      </c>
    </row>
    <row r="559" spans="1:1" x14ac:dyDescent="0.35">
      <c r="A559" s="91" t="s">
        <v>212</v>
      </c>
    </row>
    <row r="560" spans="1:1" x14ac:dyDescent="0.35">
      <c r="A560" s="91" t="s">
        <v>297</v>
      </c>
    </row>
    <row r="561" spans="1:1" x14ac:dyDescent="0.35">
      <c r="A561" s="91" t="s">
        <v>589</v>
      </c>
    </row>
    <row r="562" spans="1:1" x14ac:dyDescent="0.35">
      <c r="A562" s="91" t="s">
        <v>591</v>
      </c>
    </row>
    <row r="563" spans="1:1" x14ac:dyDescent="0.35">
      <c r="A563" s="91" t="s">
        <v>734</v>
      </c>
    </row>
    <row r="564" spans="1:1" x14ac:dyDescent="0.35">
      <c r="A564" s="91" t="s">
        <v>299</v>
      </c>
    </row>
    <row r="565" spans="1:1" x14ac:dyDescent="0.35">
      <c r="A565" s="91" t="s">
        <v>1206</v>
      </c>
    </row>
    <row r="566" spans="1:1" x14ac:dyDescent="0.35">
      <c r="A566" s="91" t="s">
        <v>1208</v>
      </c>
    </row>
    <row r="567" spans="1:1" x14ac:dyDescent="0.35">
      <c r="A567" s="91" t="s">
        <v>1210</v>
      </c>
    </row>
    <row r="568" spans="1:1" x14ac:dyDescent="0.35">
      <c r="A568" s="91" t="s">
        <v>666</v>
      </c>
    </row>
    <row r="569" spans="1:1" x14ac:dyDescent="0.35">
      <c r="A569" s="91" t="s">
        <v>736</v>
      </c>
    </row>
    <row r="570" spans="1:1" x14ac:dyDescent="0.35">
      <c r="A570" s="91" t="s">
        <v>11</v>
      </c>
    </row>
    <row r="571" spans="1:1" x14ac:dyDescent="0.35">
      <c r="A571" s="91" t="s">
        <v>593</v>
      </c>
    </row>
    <row r="572" spans="1:1" x14ac:dyDescent="0.35">
      <c r="A572" s="91" t="s">
        <v>595</v>
      </c>
    </row>
    <row r="573" spans="1:1" x14ac:dyDescent="0.35">
      <c r="A573" s="91" t="s">
        <v>777</v>
      </c>
    </row>
    <row r="574" spans="1:1" x14ac:dyDescent="0.35">
      <c r="A574" s="91" t="s">
        <v>1212</v>
      </c>
    </row>
    <row r="575" spans="1:1" x14ac:dyDescent="0.35">
      <c r="A575" s="91" t="s">
        <v>1214</v>
      </c>
    </row>
    <row r="576" spans="1:1" x14ac:dyDescent="0.35">
      <c r="A576" s="91" t="s">
        <v>1216</v>
      </c>
    </row>
    <row r="577" spans="1:1" x14ac:dyDescent="0.35">
      <c r="A577" s="91" t="s">
        <v>1218</v>
      </c>
    </row>
    <row r="578" spans="1:1" x14ac:dyDescent="0.35">
      <c r="A578" s="91" t="s">
        <v>1220</v>
      </c>
    </row>
    <row r="579" spans="1:1" x14ac:dyDescent="0.35">
      <c r="A579" s="91" t="s">
        <v>1222</v>
      </c>
    </row>
    <row r="580" spans="1:1" x14ac:dyDescent="0.35">
      <c r="A580" s="91" t="s">
        <v>1224</v>
      </c>
    </row>
    <row r="581" spans="1:1" x14ac:dyDescent="0.35">
      <c r="A581" s="91" t="s">
        <v>1226</v>
      </c>
    </row>
    <row r="582" spans="1:1" x14ac:dyDescent="0.35">
      <c r="A582" s="91" t="s">
        <v>1228</v>
      </c>
    </row>
    <row r="583" spans="1:1" x14ac:dyDescent="0.35">
      <c r="A583" s="91" t="s">
        <v>597</v>
      </c>
    </row>
    <row r="584" spans="1:1" x14ac:dyDescent="0.35">
      <c r="A584" s="91" t="s">
        <v>599</v>
      </c>
    </row>
    <row r="585" spans="1:1" x14ac:dyDescent="0.35">
      <c r="A585" s="91" t="s">
        <v>1230</v>
      </c>
    </row>
    <row r="586" spans="1:1" x14ac:dyDescent="0.35">
      <c r="A586" s="91" t="s">
        <v>42</v>
      </c>
    </row>
    <row r="587" spans="1:1" x14ac:dyDescent="0.35">
      <c r="A587" s="91" t="s">
        <v>846</v>
      </c>
    </row>
    <row r="588" spans="1:1" x14ac:dyDescent="0.35">
      <c r="A588" s="91" t="s">
        <v>738</v>
      </c>
    </row>
    <row r="589" spans="1:1" x14ac:dyDescent="0.35">
      <c r="A589" s="91" t="s">
        <v>1233</v>
      </c>
    </row>
    <row r="590" spans="1:1" x14ac:dyDescent="0.35">
      <c r="A590" s="91" t="s">
        <v>601</v>
      </c>
    </row>
    <row r="591" spans="1:1" x14ac:dyDescent="0.35">
      <c r="A591" s="91" t="s">
        <v>1236</v>
      </c>
    </row>
    <row r="592" spans="1:1" x14ac:dyDescent="0.35">
      <c r="A592" s="91" t="s">
        <v>603</v>
      </c>
    </row>
    <row r="593" spans="1:1" x14ac:dyDescent="0.35">
      <c r="A593" s="91" t="s">
        <v>848</v>
      </c>
    </row>
    <row r="594" spans="1:1" x14ac:dyDescent="0.35">
      <c r="A594" s="91" t="s">
        <v>668</v>
      </c>
    </row>
    <row r="595" spans="1:1" x14ac:dyDescent="0.35">
      <c r="A595" s="91" t="s">
        <v>670</v>
      </c>
    </row>
    <row r="596" spans="1:1" x14ac:dyDescent="0.35">
      <c r="A596" s="91" t="s">
        <v>1240</v>
      </c>
    </row>
    <row r="597" spans="1:1" x14ac:dyDescent="0.35">
      <c r="A597" s="91" t="s">
        <v>605</v>
      </c>
    </row>
    <row r="598" spans="1:1" x14ac:dyDescent="0.35">
      <c r="A598" s="91" t="s">
        <v>1793</v>
      </c>
    </row>
    <row r="599" spans="1:1" x14ac:dyDescent="0.35">
      <c r="A599" s="91" t="s">
        <v>1894</v>
      </c>
    </row>
    <row r="600" spans="1:1" x14ac:dyDescent="0.35">
      <c r="A600" s="91" t="s">
        <v>1242</v>
      </c>
    </row>
    <row r="601" spans="1:1" x14ac:dyDescent="0.35">
      <c r="A601" s="91" t="s">
        <v>607</v>
      </c>
    </row>
    <row r="602" spans="1:1" x14ac:dyDescent="0.35">
      <c r="A602" s="91" t="s">
        <v>850</v>
      </c>
    </row>
    <row r="603" spans="1:1" x14ac:dyDescent="0.35">
      <c r="A603" s="91" t="s">
        <v>262</v>
      </c>
    </row>
    <row r="604" spans="1:1" x14ac:dyDescent="0.35">
      <c r="A604" s="91" t="s">
        <v>214</v>
      </c>
    </row>
    <row r="605" spans="1:1" x14ac:dyDescent="0.35">
      <c r="A605" s="91" t="s">
        <v>216</v>
      </c>
    </row>
    <row r="606" spans="1:1" x14ac:dyDescent="0.35">
      <c r="A606" s="91" t="s">
        <v>264</v>
      </c>
    </row>
    <row r="607" spans="1:1" x14ac:dyDescent="0.35">
      <c r="A607" s="91" t="s">
        <v>1245</v>
      </c>
    </row>
    <row r="608" spans="1:1" x14ac:dyDescent="0.35">
      <c r="A608" s="91" t="s">
        <v>1247</v>
      </c>
    </row>
    <row r="609" spans="1:1" x14ac:dyDescent="0.35">
      <c r="A609" s="91" t="s">
        <v>1249</v>
      </c>
    </row>
    <row r="610" spans="1:1" x14ac:dyDescent="0.35">
      <c r="A610" s="91" t="s">
        <v>1251</v>
      </c>
    </row>
    <row r="611" spans="1:1" x14ac:dyDescent="0.35">
      <c r="A611" s="91" t="s">
        <v>1253</v>
      </c>
    </row>
    <row r="612" spans="1:1" x14ac:dyDescent="0.35">
      <c r="A612" s="91" t="s">
        <v>787</v>
      </c>
    </row>
    <row r="613" spans="1:1" x14ac:dyDescent="0.35">
      <c r="A613" s="91" t="s">
        <v>1795</v>
      </c>
    </row>
    <row r="614" spans="1:1" x14ac:dyDescent="0.35">
      <c r="A614" s="91" t="s">
        <v>1797</v>
      </c>
    </row>
    <row r="615" spans="1:1" x14ac:dyDescent="0.35">
      <c r="A615" s="91" t="s">
        <v>876</v>
      </c>
    </row>
  </sheetData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C612"/>
  <sheetViews>
    <sheetView showGridLines="0" zoomScale="115" zoomScaleNormal="115" workbookViewId="0">
      <pane ySplit="1" topLeftCell="A2" activePane="bottomLeft" state="frozen"/>
      <selection pane="bottomLeft" sqref="A1:AC612"/>
    </sheetView>
  </sheetViews>
  <sheetFormatPr defaultColWidth="8.81640625" defaultRowHeight="15" customHeight="1" outlineLevelRow="1" x14ac:dyDescent="0.3"/>
  <cols>
    <col min="1" max="1" width="25.1796875" style="13" bestFit="1" customWidth="1"/>
    <col min="2" max="2" width="37.26953125" style="13" bestFit="1" customWidth="1"/>
    <col min="3" max="3" width="15.7265625" style="13" bestFit="1" customWidth="1"/>
    <col min="4" max="4" width="10" style="13" bestFit="1" customWidth="1"/>
    <col min="5" max="5" width="16.81640625" style="13" bestFit="1" customWidth="1"/>
    <col min="6" max="6" width="6.26953125" style="13" bestFit="1" customWidth="1"/>
    <col min="7" max="7" width="8.81640625" style="13" bestFit="1" customWidth="1"/>
    <col min="8" max="8" width="16.54296875" style="13" bestFit="1" customWidth="1"/>
    <col min="9" max="9" width="20" style="13" bestFit="1" customWidth="1"/>
    <col min="10" max="10" width="11.26953125" style="13" bestFit="1" customWidth="1"/>
    <col min="11" max="11" width="22.7265625" style="13" bestFit="1" customWidth="1"/>
    <col min="12" max="12" width="11.7265625" style="13" bestFit="1" customWidth="1"/>
    <col min="13" max="13" width="10.54296875" style="13" bestFit="1" customWidth="1"/>
    <col min="14" max="14" width="12.7265625" style="13" bestFit="1" customWidth="1"/>
    <col min="15" max="15" width="43.1796875" style="13" bestFit="1" customWidth="1"/>
    <col min="16" max="16" width="16.26953125" style="13" customWidth="1"/>
    <col min="17" max="17" width="47.1796875" style="13" customWidth="1"/>
    <col min="18" max="18" width="13.26953125" style="13" bestFit="1" customWidth="1"/>
    <col min="19" max="19" width="13.453125" style="13" bestFit="1" customWidth="1"/>
    <col min="20" max="20" width="12.453125" style="13" bestFit="1" customWidth="1"/>
    <col min="21" max="21" width="14.453125" style="13" bestFit="1" customWidth="1"/>
    <col min="22" max="23" width="21.453125" style="13" bestFit="1" customWidth="1"/>
    <col min="24" max="24" width="36" style="13" bestFit="1" customWidth="1"/>
    <col min="25" max="25" width="139.1796875" style="13" bestFit="1" customWidth="1"/>
    <col min="26" max="26" width="17.7265625" style="13" bestFit="1" customWidth="1"/>
    <col min="27" max="27" width="22" style="13" bestFit="1" customWidth="1"/>
    <col min="28" max="28" width="16.1796875" style="13" customWidth="1"/>
    <col min="29" max="29" width="22" style="13" bestFit="1" customWidth="1"/>
    <col min="30" max="16384" width="8.81640625" style="13"/>
  </cols>
  <sheetData>
    <row r="1" spans="1:29" s="55" customFormat="1" ht="15" customHeight="1" x14ac:dyDescent="0.3">
      <c r="A1" s="56" t="s">
        <v>2</v>
      </c>
      <c r="B1" s="56" t="s">
        <v>3</v>
      </c>
      <c r="C1" s="56" t="s">
        <v>877</v>
      </c>
      <c r="D1" s="56" t="s">
        <v>0</v>
      </c>
      <c r="E1" s="56" t="s">
        <v>1</v>
      </c>
      <c r="F1" s="56" t="s">
        <v>4</v>
      </c>
      <c r="G1" s="56" t="s">
        <v>878</v>
      </c>
      <c r="H1" s="56" t="s">
        <v>879</v>
      </c>
      <c r="I1" s="56" t="s">
        <v>880</v>
      </c>
      <c r="J1" s="56" t="s">
        <v>881</v>
      </c>
      <c r="K1" s="56" t="s">
        <v>2171</v>
      </c>
      <c r="L1" s="56" t="s">
        <v>882</v>
      </c>
      <c r="M1" s="56" t="s">
        <v>883</v>
      </c>
      <c r="N1" s="56" t="s">
        <v>884</v>
      </c>
      <c r="O1" s="56" t="s">
        <v>885</v>
      </c>
      <c r="P1" s="56" t="s">
        <v>886</v>
      </c>
      <c r="Q1" s="56" t="s">
        <v>887</v>
      </c>
      <c r="R1" s="56" t="s">
        <v>888</v>
      </c>
      <c r="S1" s="56" t="s">
        <v>889</v>
      </c>
      <c r="T1" s="56" t="s">
        <v>890</v>
      </c>
      <c r="U1" s="56" t="s">
        <v>891</v>
      </c>
      <c r="V1" s="56" t="s">
        <v>1959</v>
      </c>
      <c r="W1" s="82" t="s">
        <v>2266</v>
      </c>
      <c r="X1" s="56" t="s">
        <v>1968</v>
      </c>
      <c r="Y1" s="57" t="s">
        <v>1969</v>
      </c>
      <c r="Z1" s="57" t="s">
        <v>1970</v>
      </c>
      <c r="AA1" s="56" t="s">
        <v>2123</v>
      </c>
      <c r="AB1" s="61" t="s">
        <v>2207</v>
      </c>
      <c r="AC1" s="56" t="s">
        <v>2231</v>
      </c>
    </row>
    <row r="2" spans="1:29" ht="15" customHeight="1" outlineLevel="1" x14ac:dyDescent="0.3">
      <c r="A2" s="62" t="s">
        <v>165</v>
      </c>
      <c r="B2" s="62" t="s">
        <v>166</v>
      </c>
      <c r="C2" s="62" t="s">
        <v>928</v>
      </c>
      <c r="D2" s="62" t="s">
        <v>158</v>
      </c>
      <c r="E2" s="62" t="s">
        <v>218</v>
      </c>
      <c r="F2" s="62" t="s">
        <v>8</v>
      </c>
      <c r="G2" s="62" t="s">
        <v>2251</v>
      </c>
      <c r="H2" s="62" t="s">
        <v>893</v>
      </c>
      <c r="I2" s="62"/>
      <c r="J2" s="63">
        <v>0.64800000000000002</v>
      </c>
      <c r="K2" s="63">
        <v>2.0441445869264104E-2</v>
      </c>
      <c r="L2" s="62"/>
      <c r="M2" s="62" t="s">
        <v>895</v>
      </c>
      <c r="N2" s="62" t="s">
        <v>916</v>
      </c>
      <c r="O2" s="62" t="str">
        <f t="shared" ref="O2:O65" si="0">A2&amp;"_"&amp;B2</f>
        <v>CV02_HCS AMER Converged Infrastructure</v>
      </c>
      <c r="P2" s="62" t="s">
        <v>930</v>
      </c>
      <c r="Q2" s="62" t="s">
        <v>1810</v>
      </c>
      <c r="R2" s="62">
        <v>14</v>
      </c>
      <c r="S2" s="64"/>
      <c r="T2" s="62" t="s">
        <v>1880</v>
      </c>
      <c r="U2" s="62">
        <v>13</v>
      </c>
      <c r="V2" s="65" t="s">
        <v>1886</v>
      </c>
      <c r="W2" s="65">
        <v>0</v>
      </c>
      <c r="X2" s="62"/>
      <c r="Y2" s="66" t="s">
        <v>1975</v>
      </c>
      <c r="Z2" s="62" t="s">
        <v>1974</v>
      </c>
      <c r="AA2" s="62"/>
      <c r="AB2" s="62" t="s">
        <v>2208</v>
      </c>
      <c r="AC2" s="62" t="e">
        <v>#N/A</v>
      </c>
    </row>
    <row r="3" spans="1:29" ht="15" customHeight="1" outlineLevel="1" x14ac:dyDescent="0.3">
      <c r="A3" s="62" t="s">
        <v>167</v>
      </c>
      <c r="B3" s="62" t="s">
        <v>168</v>
      </c>
      <c r="C3" s="62" t="s">
        <v>928</v>
      </c>
      <c r="D3" s="62" t="s">
        <v>158</v>
      </c>
      <c r="E3" s="62" t="s">
        <v>218</v>
      </c>
      <c r="F3" s="62" t="s">
        <v>8</v>
      </c>
      <c r="G3" s="62" t="s">
        <v>2251</v>
      </c>
      <c r="H3" s="62" t="s">
        <v>903</v>
      </c>
      <c r="I3" s="62"/>
      <c r="J3" s="63">
        <v>0.629</v>
      </c>
      <c r="K3" s="63">
        <v>2.278539874447803E-2</v>
      </c>
      <c r="L3" s="62"/>
      <c r="M3" s="62" t="s">
        <v>895</v>
      </c>
      <c r="N3" s="62" t="s">
        <v>916</v>
      </c>
      <c r="O3" s="62" t="str">
        <f t="shared" si="0"/>
        <v>CV03_HCS APJ Converged Infrastructure</v>
      </c>
      <c r="P3" s="62" t="s">
        <v>930</v>
      </c>
      <c r="Q3" s="62" t="s">
        <v>1810</v>
      </c>
      <c r="R3" s="62">
        <v>14</v>
      </c>
      <c r="S3" s="64"/>
      <c r="T3" s="62" t="s">
        <v>1880</v>
      </c>
      <c r="U3" s="62">
        <v>13</v>
      </c>
      <c r="V3" s="65" t="s">
        <v>1886</v>
      </c>
      <c r="W3" s="65">
        <v>0</v>
      </c>
      <c r="X3" s="62"/>
      <c r="Y3" s="66" t="s">
        <v>1973</v>
      </c>
      <c r="Z3" s="62" t="s">
        <v>1974</v>
      </c>
      <c r="AA3" s="62"/>
      <c r="AB3" s="62" t="s">
        <v>2208</v>
      </c>
      <c r="AC3" s="62" t="e">
        <v>#N/A</v>
      </c>
    </row>
    <row r="4" spans="1:29" s="32" customFormat="1" ht="15" customHeight="1" outlineLevel="1" x14ac:dyDescent="0.3">
      <c r="A4" s="62" t="s">
        <v>169</v>
      </c>
      <c r="B4" s="62" t="s">
        <v>170</v>
      </c>
      <c r="C4" s="62" t="s">
        <v>928</v>
      </c>
      <c r="D4" s="62" t="s">
        <v>158</v>
      </c>
      <c r="E4" s="62" t="s">
        <v>218</v>
      </c>
      <c r="F4" s="62" t="s">
        <v>8</v>
      </c>
      <c r="G4" s="62" t="s">
        <v>2251</v>
      </c>
      <c r="H4" s="62" t="s">
        <v>912</v>
      </c>
      <c r="I4" s="62"/>
      <c r="J4" s="63">
        <v>0.61699999999999999</v>
      </c>
      <c r="K4" s="63">
        <v>3.8967379973253502E-2</v>
      </c>
      <c r="L4" s="62"/>
      <c r="M4" s="62" t="s">
        <v>895</v>
      </c>
      <c r="N4" s="62" t="s">
        <v>916</v>
      </c>
      <c r="O4" s="62" t="str">
        <f t="shared" si="0"/>
        <v>CV04_HCS EMEA Converged Infrastructure</v>
      </c>
      <c r="P4" s="62" t="s">
        <v>930</v>
      </c>
      <c r="Q4" s="62" t="s">
        <v>1810</v>
      </c>
      <c r="R4" s="62">
        <v>14</v>
      </c>
      <c r="S4" s="64"/>
      <c r="T4" s="62" t="s">
        <v>1880</v>
      </c>
      <c r="U4" s="62">
        <v>13</v>
      </c>
      <c r="V4" s="65" t="s">
        <v>1886</v>
      </c>
      <c r="W4" s="65">
        <v>0</v>
      </c>
      <c r="X4" s="62"/>
      <c r="Y4" s="66" t="s">
        <v>1976</v>
      </c>
      <c r="Z4" s="62" t="s">
        <v>1972</v>
      </c>
      <c r="AA4" s="62"/>
      <c r="AB4" s="62" t="s">
        <v>2208</v>
      </c>
      <c r="AC4" s="62" t="e">
        <v>#N/A</v>
      </c>
    </row>
    <row r="5" spans="1:29" s="32" customFormat="1" ht="15" customHeight="1" outlineLevel="1" x14ac:dyDescent="0.3">
      <c r="A5" s="62" t="s">
        <v>171</v>
      </c>
      <c r="B5" s="62" t="s">
        <v>172</v>
      </c>
      <c r="C5" s="62" t="s">
        <v>928</v>
      </c>
      <c r="D5" s="62" t="s">
        <v>158</v>
      </c>
      <c r="E5" s="62" t="s">
        <v>218</v>
      </c>
      <c r="F5" s="62" t="s">
        <v>8</v>
      </c>
      <c r="G5" s="62" t="s">
        <v>2251</v>
      </c>
      <c r="H5" s="62" t="s">
        <v>929</v>
      </c>
      <c r="I5" s="62"/>
      <c r="J5" s="63">
        <v>0.63300000000000001</v>
      </c>
      <c r="K5" s="63">
        <v>1.8670169726832081E-2</v>
      </c>
      <c r="L5" s="62"/>
      <c r="M5" s="62" t="s">
        <v>922</v>
      </c>
      <c r="N5" s="62" t="s">
        <v>1882</v>
      </c>
      <c r="O5" s="62" t="str">
        <f t="shared" si="0"/>
        <v>CV05_HCS Global Converged Infrastructure</v>
      </c>
      <c r="P5" s="62" t="s">
        <v>930</v>
      </c>
      <c r="Q5" s="62" t="s">
        <v>1810</v>
      </c>
      <c r="R5" s="62">
        <v>24</v>
      </c>
      <c r="S5" s="64"/>
      <c r="T5" s="62" t="s">
        <v>1880</v>
      </c>
      <c r="U5" s="62">
        <v>13</v>
      </c>
      <c r="V5" s="65" t="s">
        <v>1886</v>
      </c>
      <c r="W5" s="65">
        <v>0</v>
      </c>
      <c r="X5" s="62"/>
      <c r="Y5" s="66" t="s">
        <v>1971</v>
      </c>
      <c r="Z5" s="62" t="s">
        <v>1972</v>
      </c>
      <c r="AA5" s="62"/>
      <c r="AB5" s="62" t="s">
        <v>2208</v>
      </c>
      <c r="AC5" s="62" t="e">
        <v>#N/A</v>
      </c>
    </row>
    <row r="6" spans="1:29" s="32" customFormat="1" ht="15" customHeight="1" outlineLevel="1" x14ac:dyDescent="0.3">
      <c r="A6" s="62" t="s">
        <v>1811</v>
      </c>
      <c r="B6" s="62" t="s">
        <v>1812</v>
      </c>
      <c r="C6" s="62" t="s">
        <v>973</v>
      </c>
      <c r="D6" s="62" t="s">
        <v>229</v>
      </c>
      <c r="E6" s="62" t="s">
        <v>229</v>
      </c>
      <c r="F6" s="62" t="s">
        <v>8</v>
      </c>
      <c r="G6" s="62" t="s">
        <v>2249</v>
      </c>
      <c r="H6" s="62" t="s">
        <v>935</v>
      </c>
      <c r="I6" s="62" t="s">
        <v>936</v>
      </c>
      <c r="J6" s="63">
        <v>0.626</v>
      </c>
      <c r="K6" s="63">
        <v>1.5604681404421327E-2</v>
      </c>
      <c r="L6" s="62"/>
      <c r="M6" s="62">
        <v>0</v>
      </c>
      <c r="N6" s="62" t="s">
        <v>916</v>
      </c>
      <c r="O6" s="62" t="str">
        <f t="shared" si="0"/>
        <v>BT02_Brazil Midrange</v>
      </c>
      <c r="P6" s="62" t="s">
        <v>2184</v>
      </c>
      <c r="Q6" s="62" t="s">
        <v>1885</v>
      </c>
      <c r="R6" s="62"/>
      <c r="S6" s="64"/>
      <c r="T6" s="62" t="s">
        <v>1880</v>
      </c>
      <c r="U6" s="62">
        <v>13</v>
      </c>
      <c r="V6" s="65" t="s">
        <v>1886</v>
      </c>
      <c r="W6" s="65">
        <v>0</v>
      </c>
      <c r="X6" s="62"/>
      <c r="Y6" s="66" t="e">
        <v>#N/A</v>
      </c>
      <c r="Z6" s="62" t="e">
        <v>#N/A</v>
      </c>
      <c r="AA6" s="62"/>
      <c r="AB6" s="62" t="s">
        <v>2209</v>
      </c>
      <c r="AC6" s="62" t="e">
        <v>#N/A</v>
      </c>
    </row>
    <row r="7" spans="1:29" s="32" customFormat="1" ht="15" customHeight="1" outlineLevel="1" x14ac:dyDescent="0.3">
      <c r="A7" s="62" t="s">
        <v>1813</v>
      </c>
      <c r="B7" s="62" t="s">
        <v>1814</v>
      </c>
      <c r="C7" s="62" t="s">
        <v>973</v>
      </c>
      <c r="D7" s="62" t="s">
        <v>229</v>
      </c>
      <c r="E7" s="62" t="s">
        <v>229</v>
      </c>
      <c r="F7" s="62" t="s">
        <v>8</v>
      </c>
      <c r="G7" s="62" t="s">
        <v>2249</v>
      </c>
      <c r="H7" s="62" t="s">
        <v>935</v>
      </c>
      <c r="I7" s="62" t="s">
        <v>1815</v>
      </c>
      <c r="J7" s="63">
        <v>0.626</v>
      </c>
      <c r="K7" s="63">
        <v>1.5604681404421327E-2</v>
      </c>
      <c r="L7" s="62"/>
      <c r="M7" s="62">
        <v>0</v>
      </c>
      <c r="N7" s="62" t="s">
        <v>916</v>
      </c>
      <c r="O7" s="62" t="str">
        <f t="shared" si="0"/>
        <v>BT03_MMCLA Midrange</v>
      </c>
      <c r="P7" s="62" t="s">
        <v>2184</v>
      </c>
      <c r="Q7" s="62" t="s">
        <v>1885</v>
      </c>
      <c r="R7" s="62"/>
      <c r="S7" s="64"/>
      <c r="T7" s="62" t="s">
        <v>1880</v>
      </c>
      <c r="U7" s="62">
        <v>13</v>
      </c>
      <c r="V7" s="65" t="s">
        <v>1886</v>
      </c>
      <c r="W7" s="65">
        <v>0</v>
      </c>
      <c r="X7" s="62"/>
      <c r="Y7" s="66" t="e">
        <v>#N/A</v>
      </c>
      <c r="Z7" s="62" t="e">
        <v>#N/A</v>
      </c>
      <c r="AA7" s="62"/>
      <c r="AB7" s="62" t="s">
        <v>779</v>
      </c>
      <c r="AC7" s="62" t="e">
        <v>#N/A</v>
      </c>
    </row>
    <row r="8" spans="1:29" s="32" customFormat="1" ht="15" customHeight="1" outlineLevel="1" x14ac:dyDescent="0.3">
      <c r="A8" s="62" t="s">
        <v>870</v>
      </c>
      <c r="B8" s="62" t="s">
        <v>1903</v>
      </c>
      <c r="C8" s="62" t="s">
        <v>965</v>
      </c>
      <c r="D8" s="62" t="s">
        <v>865</v>
      </c>
      <c r="E8" s="62" t="s">
        <v>865</v>
      </c>
      <c r="F8" s="62" t="s">
        <v>900</v>
      </c>
      <c r="G8" s="62" t="s">
        <v>2250</v>
      </c>
      <c r="H8" s="62" t="s">
        <v>912</v>
      </c>
      <c r="I8" s="62" t="s">
        <v>966</v>
      </c>
      <c r="J8" s="63">
        <v>0.63300000000000001</v>
      </c>
      <c r="K8" s="63"/>
      <c r="L8" s="62"/>
      <c r="M8" s="62" t="s">
        <v>895</v>
      </c>
      <c r="N8" s="62" t="s">
        <v>916</v>
      </c>
      <c r="O8" s="62" t="str">
        <f t="shared" si="0"/>
        <v>HE02_Global AST</v>
      </c>
      <c r="P8" s="62" t="s">
        <v>2177</v>
      </c>
      <c r="Q8" s="62" t="s">
        <v>2120</v>
      </c>
      <c r="R8" s="62">
        <v>14</v>
      </c>
      <c r="S8" s="64"/>
      <c r="T8" s="62" t="s">
        <v>1880</v>
      </c>
      <c r="U8" s="62">
        <v>13</v>
      </c>
      <c r="V8" s="65" t="s">
        <v>1886</v>
      </c>
      <c r="W8" s="65">
        <v>28</v>
      </c>
      <c r="X8" s="62"/>
      <c r="Y8" s="66" t="s">
        <v>1977</v>
      </c>
      <c r="Z8" s="62" t="s">
        <v>1972</v>
      </c>
      <c r="AA8" s="62"/>
      <c r="AB8" s="62" t="s">
        <v>2208</v>
      </c>
      <c r="AC8" s="62" t="s">
        <v>2240</v>
      </c>
    </row>
    <row r="9" spans="1:29" ht="15" customHeight="1" outlineLevel="1" x14ac:dyDescent="0.3">
      <c r="A9" s="62" t="s">
        <v>1875</v>
      </c>
      <c r="B9" s="62" t="s">
        <v>1876</v>
      </c>
      <c r="C9" s="62" t="s">
        <v>914</v>
      </c>
      <c r="D9" s="62" t="s">
        <v>439</v>
      </c>
      <c r="E9" s="62" t="s">
        <v>439</v>
      </c>
      <c r="F9" s="62" t="s">
        <v>8</v>
      </c>
      <c r="G9" s="62" t="s">
        <v>2249</v>
      </c>
      <c r="H9" s="62" t="s">
        <v>903</v>
      </c>
      <c r="I9" s="62" t="s">
        <v>909</v>
      </c>
      <c r="J9" s="63">
        <v>0.629</v>
      </c>
      <c r="K9" s="63">
        <v>7.8864353312302835E-3</v>
      </c>
      <c r="L9" s="62"/>
      <c r="M9" s="62"/>
      <c r="N9" s="62" t="s">
        <v>916</v>
      </c>
      <c r="O9" s="62" t="str">
        <f t="shared" si="0"/>
        <v>BT10_CCC CNS Mandarin Voice</v>
      </c>
      <c r="P9" s="62" t="s">
        <v>2195</v>
      </c>
      <c r="Q9" s="62" t="s">
        <v>1883</v>
      </c>
      <c r="R9" s="62">
        <v>24</v>
      </c>
      <c r="S9" s="64"/>
      <c r="T9" s="62" t="s">
        <v>897</v>
      </c>
      <c r="U9" s="62">
        <v>13</v>
      </c>
      <c r="V9" s="65" t="s">
        <v>1886</v>
      </c>
      <c r="W9" s="65">
        <v>59</v>
      </c>
      <c r="X9" s="62"/>
      <c r="Y9" s="66"/>
      <c r="Z9" s="62"/>
      <c r="AA9" s="62" t="str">
        <f>IFERROR("Queue Got Merged in "&amp;VLOOKUP(A9,'CQNs Merged_Split'!$B$7:$D$103,3,FALSE),"")</f>
        <v/>
      </c>
      <c r="AB9" s="62" t="s">
        <v>2211</v>
      </c>
      <c r="AC9" s="62" t="s">
        <v>2241</v>
      </c>
    </row>
    <row r="10" spans="1:29" s="32" customFormat="1" ht="15" customHeight="1" outlineLevel="1" x14ac:dyDescent="0.3">
      <c r="A10" s="62" t="s">
        <v>463</v>
      </c>
      <c r="B10" s="62" t="s">
        <v>1861</v>
      </c>
      <c r="C10" s="62" t="s">
        <v>914</v>
      </c>
      <c r="D10" s="62" t="s">
        <v>439</v>
      </c>
      <c r="E10" s="62" t="s">
        <v>439</v>
      </c>
      <c r="F10" s="62" t="s">
        <v>8</v>
      </c>
      <c r="G10" s="62" t="s">
        <v>2249</v>
      </c>
      <c r="H10" s="62" t="s">
        <v>903</v>
      </c>
      <c r="I10" s="62" t="s">
        <v>909</v>
      </c>
      <c r="J10" s="63">
        <v>0.629</v>
      </c>
      <c r="K10" s="63">
        <v>2.278539874447803E-2</v>
      </c>
      <c r="L10" s="62"/>
      <c r="M10" s="62" t="s">
        <v>931</v>
      </c>
      <c r="N10" s="62" t="s">
        <v>916</v>
      </c>
      <c r="O10" s="62" t="str">
        <f t="shared" si="0"/>
        <v>CC14_CCC CNS Cantonese</v>
      </c>
      <c r="P10" s="62" t="s">
        <v>2195</v>
      </c>
      <c r="Q10" s="62" t="s">
        <v>1883</v>
      </c>
      <c r="R10" s="62">
        <v>8</v>
      </c>
      <c r="S10" s="64"/>
      <c r="T10" s="62" t="s">
        <v>897</v>
      </c>
      <c r="U10" s="62">
        <v>13</v>
      </c>
      <c r="V10" s="65" t="s">
        <v>1886</v>
      </c>
      <c r="W10" s="65">
        <v>11</v>
      </c>
      <c r="X10" s="62"/>
      <c r="Y10" s="66" t="s">
        <v>2026</v>
      </c>
      <c r="Z10" s="62" t="s">
        <v>1972</v>
      </c>
      <c r="AA10" s="62" t="str">
        <f>IFERROR("Queue Got Merged in "&amp;VLOOKUP(A10,'CQNs Merged_Split'!$B$7:$D$103,3,FALSE),"")</f>
        <v/>
      </c>
      <c r="AB10" s="62" t="s">
        <v>2229</v>
      </c>
      <c r="AC10" s="62" t="e">
        <v>#N/A</v>
      </c>
    </row>
    <row r="11" spans="1:29" s="32" customFormat="1" ht="15" customHeight="1" outlineLevel="1" x14ac:dyDescent="0.3">
      <c r="A11" s="62" t="s">
        <v>469</v>
      </c>
      <c r="B11" s="62" t="s">
        <v>1863</v>
      </c>
      <c r="C11" s="62" t="s">
        <v>914</v>
      </c>
      <c r="D11" s="62" t="s">
        <v>439</v>
      </c>
      <c r="E11" s="62" t="s">
        <v>439</v>
      </c>
      <c r="F11" s="62" t="s">
        <v>8</v>
      </c>
      <c r="G11" s="62" t="s">
        <v>2249</v>
      </c>
      <c r="H11" s="62" t="s">
        <v>903</v>
      </c>
      <c r="I11" s="62" t="s">
        <v>909</v>
      </c>
      <c r="J11" s="63">
        <v>0.629</v>
      </c>
      <c r="K11" s="63">
        <v>2.278539874447803E-2</v>
      </c>
      <c r="L11" s="62"/>
      <c r="M11" s="62" t="s">
        <v>931</v>
      </c>
      <c r="N11" s="62" t="s">
        <v>916</v>
      </c>
      <c r="O11" s="62" t="str">
        <f t="shared" si="0"/>
        <v>CE03_CCC CNS Mandarin Email</v>
      </c>
      <c r="P11" s="62" t="s">
        <v>2195</v>
      </c>
      <c r="Q11" s="62" t="s">
        <v>1883</v>
      </c>
      <c r="R11" s="62">
        <v>8</v>
      </c>
      <c r="S11" s="64"/>
      <c r="T11" s="62" t="s">
        <v>897</v>
      </c>
      <c r="U11" s="62">
        <v>13</v>
      </c>
      <c r="V11" s="65" t="s">
        <v>1886</v>
      </c>
      <c r="W11" s="65">
        <v>9</v>
      </c>
      <c r="X11" s="62"/>
      <c r="Y11" s="66" t="s">
        <v>1982</v>
      </c>
      <c r="Z11" s="62" t="s">
        <v>1972</v>
      </c>
      <c r="AA11" s="62" t="str">
        <f>IFERROR("Queue Got Merged in "&amp;VLOOKUP(A11,'CQNs Merged_Split'!$B$7:$D$103,3,FALSE),"")</f>
        <v/>
      </c>
      <c r="AB11" s="62" t="s">
        <v>2211</v>
      </c>
      <c r="AC11" s="62" t="e">
        <v>#N/A</v>
      </c>
    </row>
    <row r="12" spans="1:29" s="32" customFormat="1" ht="15" customHeight="1" outlineLevel="1" x14ac:dyDescent="0.3">
      <c r="A12" s="62" t="s">
        <v>722</v>
      </c>
      <c r="B12" s="62" t="s">
        <v>723</v>
      </c>
      <c r="C12" s="62" t="s">
        <v>892</v>
      </c>
      <c r="D12" s="62"/>
      <c r="E12" s="62" t="s">
        <v>440</v>
      </c>
      <c r="F12" s="62" t="s">
        <v>8</v>
      </c>
      <c r="G12" s="62" t="e">
        <v>#N/A</v>
      </c>
      <c r="H12" s="62" t="s">
        <v>893</v>
      </c>
      <c r="I12" s="62" t="s">
        <v>894</v>
      </c>
      <c r="J12" s="63">
        <v>0.64800000000000002</v>
      </c>
      <c r="K12" s="63"/>
      <c r="L12" s="62"/>
      <c r="M12" s="62" t="s">
        <v>895</v>
      </c>
      <c r="N12" s="62"/>
      <c r="O12" s="62" t="str">
        <f t="shared" si="0"/>
        <v>AM02_Enterprise Support Services US</v>
      </c>
      <c r="P12" s="62" t="s">
        <v>2177</v>
      </c>
      <c r="Q12" s="62" t="s">
        <v>896</v>
      </c>
      <c r="R12" s="62">
        <v>14</v>
      </c>
      <c r="S12" s="64"/>
      <c r="T12" s="62" t="s">
        <v>897</v>
      </c>
      <c r="U12" s="62"/>
      <c r="V12" s="65" t="s">
        <v>1886</v>
      </c>
      <c r="W12" s="65">
        <v>0</v>
      </c>
      <c r="X12" s="62"/>
      <c r="Y12" s="66" t="e">
        <v>#N/A</v>
      </c>
      <c r="Z12" s="62" t="e">
        <v>#N/A</v>
      </c>
      <c r="AA12" s="62"/>
      <c r="AB12" s="62" t="s">
        <v>2208</v>
      </c>
      <c r="AC12" s="62" t="e">
        <v>#N/A</v>
      </c>
    </row>
    <row r="13" spans="1:29" s="32" customFormat="1" ht="15" customHeight="1" outlineLevel="1" x14ac:dyDescent="0.3">
      <c r="A13" s="62" t="s">
        <v>267</v>
      </c>
      <c r="B13" s="62" t="s">
        <v>268</v>
      </c>
      <c r="C13" s="62" t="s">
        <v>892</v>
      </c>
      <c r="D13" s="62" t="s">
        <v>266</v>
      </c>
      <c r="E13" s="62" t="s">
        <v>266</v>
      </c>
      <c r="F13" s="62" t="s">
        <v>8</v>
      </c>
      <c r="G13" s="62" t="e">
        <v>#N/A</v>
      </c>
      <c r="H13" s="62" t="s">
        <v>893</v>
      </c>
      <c r="I13" s="62" t="s">
        <v>894</v>
      </c>
      <c r="J13" s="63">
        <v>0.64800000000000002</v>
      </c>
      <c r="K13" s="63"/>
      <c r="L13" s="62"/>
      <c r="M13" s="62" t="s">
        <v>895</v>
      </c>
      <c r="N13" s="62"/>
      <c r="O13" s="62" t="str">
        <f t="shared" si="0"/>
        <v>AM04_Networking ProSupport Analysts US</v>
      </c>
      <c r="P13" s="62" t="s">
        <v>2177</v>
      </c>
      <c r="Q13" s="62" t="s">
        <v>896</v>
      </c>
      <c r="R13" s="62">
        <v>14</v>
      </c>
      <c r="S13" s="64"/>
      <c r="T13" s="62" t="s">
        <v>897</v>
      </c>
      <c r="U13" s="62"/>
      <c r="V13" s="65" t="s">
        <v>1886</v>
      </c>
      <c r="W13" s="65">
        <v>0</v>
      </c>
      <c r="X13" s="62"/>
      <c r="Y13" s="66" t="e">
        <v>#N/A</v>
      </c>
      <c r="Z13" s="62" t="e">
        <v>#N/A</v>
      </c>
      <c r="AA13" s="62"/>
      <c r="AB13" s="62" t="s">
        <v>2208</v>
      </c>
      <c r="AC13" s="62" t="e">
        <v>#N/A</v>
      </c>
    </row>
    <row r="14" spans="1:29" s="32" customFormat="1" ht="15" customHeight="1" outlineLevel="1" x14ac:dyDescent="0.3">
      <c r="A14" s="62" t="s">
        <v>269</v>
      </c>
      <c r="B14" s="62" t="s">
        <v>270</v>
      </c>
      <c r="C14" s="62" t="s">
        <v>892</v>
      </c>
      <c r="D14" s="62" t="s">
        <v>266</v>
      </c>
      <c r="E14" s="62" t="s">
        <v>266</v>
      </c>
      <c r="F14" s="62" t="s">
        <v>8</v>
      </c>
      <c r="G14" s="62" t="e">
        <v>#N/A</v>
      </c>
      <c r="H14" s="62" t="s">
        <v>893</v>
      </c>
      <c r="I14" s="62" t="s">
        <v>894</v>
      </c>
      <c r="J14" s="63">
        <v>0.64800000000000002</v>
      </c>
      <c r="K14" s="63"/>
      <c r="L14" s="62"/>
      <c r="M14" s="62" t="s">
        <v>895</v>
      </c>
      <c r="N14" s="62"/>
      <c r="O14" s="62" t="str">
        <f t="shared" si="0"/>
        <v>AM05_Networking ProSupport RTSE US</v>
      </c>
      <c r="P14" s="62" t="s">
        <v>2177</v>
      </c>
      <c r="Q14" s="62" t="s">
        <v>896</v>
      </c>
      <c r="R14" s="62">
        <v>14</v>
      </c>
      <c r="S14" s="64"/>
      <c r="T14" s="62" t="s">
        <v>897</v>
      </c>
      <c r="U14" s="62"/>
      <c r="V14" s="65" t="s">
        <v>1886</v>
      </c>
      <c r="W14" s="65">
        <v>0</v>
      </c>
      <c r="X14" s="62"/>
      <c r="Y14" s="66" t="e">
        <v>#N/A</v>
      </c>
      <c r="Z14" s="62" t="e">
        <v>#N/A</v>
      </c>
      <c r="AA14" s="62"/>
      <c r="AB14" s="62" t="s">
        <v>2208</v>
      </c>
      <c r="AC14" s="62" t="e">
        <v>#N/A</v>
      </c>
    </row>
    <row r="15" spans="1:29" ht="15" customHeight="1" outlineLevel="1" x14ac:dyDescent="0.3">
      <c r="A15" s="62" t="s">
        <v>6</v>
      </c>
      <c r="B15" s="62" t="s">
        <v>7</v>
      </c>
      <c r="C15" s="62" t="s">
        <v>892</v>
      </c>
      <c r="D15" s="62" t="s">
        <v>5</v>
      </c>
      <c r="E15" s="62" t="s">
        <v>5</v>
      </c>
      <c r="F15" s="62" t="s">
        <v>8</v>
      </c>
      <c r="G15" s="62" t="e">
        <v>#N/A</v>
      </c>
      <c r="H15" s="62" t="s">
        <v>903</v>
      </c>
      <c r="I15" s="62" t="s">
        <v>906</v>
      </c>
      <c r="J15" s="63">
        <v>0.629</v>
      </c>
      <c r="K15" s="63"/>
      <c r="L15" s="62"/>
      <c r="M15" s="62" t="s">
        <v>895</v>
      </c>
      <c r="N15" s="62"/>
      <c r="O15" s="62" t="str">
        <f t="shared" si="0"/>
        <v>AO06_APJ Upsell-Operations Multi</v>
      </c>
      <c r="P15" s="62" t="s">
        <v>2177</v>
      </c>
      <c r="Q15" s="62" t="s">
        <v>896</v>
      </c>
      <c r="R15" s="62">
        <v>14</v>
      </c>
      <c r="S15" s="64"/>
      <c r="T15" s="62" t="s">
        <v>897</v>
      </c>
      <c r="U15" s="62"/>
      <c r="V15" s="65" t="s">
        <v>1886</v>
      </c>
      <c r="W15" s="65">
        <v>0</v>
      </c>
      <c r="X15" s="62"/>
      <c r="Y15" s="66" t="e">
        <v>#N/A</v>
      </c>
      <c r="Z15" s="62" t="e">
        <v>#N/A</v>
      </c>
      <c r="AA15" s="62"/>
      <c r="AB15" s="62" t="s">
        <v>2210</v>
      </c>
      <c r="AC15" s="62" t="e">
        <v>#N/A</v>
      </c>
    </row>
    <row r="16" spans="1:29" ht="15" customHeight="1" outlineLevel="1" x14ac:dyDescent="0.3">
      <c r="A16" s="62" t="s">
        <v>441</v>
      </c>
      <c r="B16" s="62" t="s">
        <v>442</v>
      </c>
      <c r="C16" s="62" t="s">
        <v>892</v>
      </c>
      <c r="D16" s="62" t="s">
        <v>439</v>
      </c>
      <c r="E16" s="62" t="s">
        <v>440</v>
      </c>
      <c r="F16" s="62" t="s">
        <v>900</v>
      </c>
      <c r="G16" s="62" t="e">
        <v>#N/A</v>
      </c>
      <c r="H16" s="62" t="s">
        <v>935</v>
      </c>
      <c r="I16" s="62" t="s">
        <v>936</v>
      </c>
      <c r="J16" s="63">
        <v>0.57099999999999995</v>
      </c>
      <c r="K16" s="63"/>
      <c r="L16" s="62"/>
      <c r="M16" s="62" t="s">
        <v>895</v>
      </c>
      <c r="N16" s="62"/>
      <c r="O16" s="62" t="str">
        <f t="shared" si="0"/>
        <v>BR02_Brazil Senior and Master Engineer</v>
      </c>
      <c r="P16" s="62" t="s">
        <v>2177</v>
      </c>
      <c r="Q16" s="62" t="s">
        <v>896</v>
      </c>
      <c r="R16" s="62">
        <v>14</v>
      </c>
      <c r="S16" s="64"/>
      <c r="T16" s="62" t="s">
        <v>897</v>
      </c>
      <c r="U16" s="62"/>
      <c r="V16" s="65" t="s">
        <v>1886</v>
      </c>
      <c r="W16" s="65">
        <v>0</v>
      </c>
      <c r="X16" s="62"/>
      <c r="Y16" s="66" t="e">
        <v>#N/A</v>
      </c>
      <c r="Z16" s="62" t="e">
        <v>#N/A</v>
      </c>
      <c r="AA16" s="62"/>
      <c r="AB16" s="62" t="s">
        <v>2209</v>
      </c>
      <c r="AC16" s="62" t="e">
        <v>#N/A</v>
      </c>
    </row>
    <row r="17" spans="1:29" s="32" customFormat="1" ht="15" customHeight="1" outlineLevel="1" x14ac:dyDescent="0.3">
      <c r="A17" s="62" t="s">
        <v>461</v>
      </c>
      <c r="B17" s="62" t="s">
        <v>462</v>
      </c>
      <c r="C17" s="62" t="s">
        <v>892</v>
      </c>
      <c r="D17" s="62" t="s">
        <v>439</v>
      </c>
      <c r="E17" s="62" t="s">
        <v>439</v>
      </c>
      <c r="F17" s="62" t="s">
        <v>8</v>
      </c>
      <c r="G17" s="62" t="e">
        <v>#N/A</v>
      </c>
      <c r="H17" s="62" t="s">
        <v>903</v>
      </c>
      <c r="I17" s="62" t="s">
        <v>909</v>
      </c>
      <c r="J17" s="63">
        <v>0.629</v>
      </c>
      <c r="K17" s="63"/>
      <c r="L17" s="62"/>
      <c r="M17" s="62" t="s">
        <v>895</v>
      </c>
      <c r="N17" s="62"/>
      <c r="O17" s="62" t="str">
        <f t="shared" si="0"/>
        <v>CC07_Enterprise Core CCC</v>
      </c>
      <c r="P17" s="62" t="s">
        <v>2177</v>
      </c>
      <c r="Q17" s="62" t="s">
        <v>896</v>
      </c>
      <c r="R17" s="62">
        <v>14</v>
      </c>
      <c r="S17" s="64"/>
      <c r="T17" s="62" t="s">
        <v>897</v>
      </c>
      <c r="U17" s="62"/>
      <c r="V17" s="65" t="s">
        <v>1886</v>
      </c>
      <c r="W17" s="65">
        <v>0</v>
      </c>
      <c r="X17" s="62"/>
      <c r="Y17" s="66" t="e">
        <v>#N/A</v>
      </c>
      <c r="Z17" s="62" t="e">
        <v>#N/A</v>
      </c>
      <c r="AA17" s="62"/>
      <c r="AB17" s="62" t="s">
        <v>2211</v>
      </c>
      <c r="AC17" s="62" t="e">
        <v>#N/A</v>
      </c>
    </row>
    <row r="18" spans="1:29" ht="15" customHeight="1" outlineLevel="1" x14ac:dyDescent="0.3">
      <c r="A18" s="62" t="s">
        <v>789</v>
      </c>
      <c r="B18" s="62" t="s">
        <v>790</v>
      </c>
      <c r="C18" s="62" t="s">
        <v>892</v>
      </c>
      <c r="D18" s="62"/>
      <c r="E18" s="62"/>
      <c r="F18" s="62" t="s">
        <v>8</v>
      </c>
      <c r="G18" s="62" t="e">
        <v>#N/A</v>
      </c>
      <c r="H18" s="62"/>
      <c r="I18" s="62"/>
      <c r="J18" s="63"/>
      <c r="K18" s="63"/>
      <c r="L18" s="62"/>
      <c r="M18" s="62"/>
      <c r="N18" s="62"/>
      <c r="O18" s="62" t="str">
        <f t="shared" si="0"/>
        <v>CC09_Server ProSupport CCC</v>
      </c>
      <c r="P18" s="62" t="s">
        <v>2177</v>
      </c>
      <c r="Q18" s="62" t="s">
        <v>896</v>
      </c>
      <c r="R18" s="62"/>
      <c r="S18" s="64"/>
      <c r="T18" s="62" t="s">
        <v>897</v>
      </c>
      <c r="U18" s="62"/>
      <c r="V18" s="65" t="s">
        <v>1886</v>
      </c>
      <c r="W18" s="65">
        <v>0</v>
      </c>
      <c r="X18" s="62"/>
      <c r="Y18" s="66" t="e">
        <v>#N/A</v>
      </c>
      <c r="Z18" s="62" t="e">
        <v>#N/A</v>
      </c>
      <c r="AA18" s="62"/>
      <c r="AB18" s="62" t="s">
        <v>2211</v>
      </c>
      <c r="AC18" s="62" t="e">
        <v>#N/A</v>
      </c>
    </row>
    <row r="19" spans="1:29" ht="15" customHeight="1" outlineLevel="1" x14ac:dyDescent="0.3">
      <c r="A19" s="62" t="s">
        <v>793</v>
      </c>
      <c r="B19" s="62" t="s">
        <v>794</v>
      </c>
      <c r="C19" s="62" t="s">
        <v>892</v>
      </c>
      <c r="D19" s="62"/>
      <c r="E19" s="62"/>
      <c r="F19" s="62" t="s">
        <v>8</v>
      </c>
      <c r="G19" s="62" t="e">
        <v>#N/A</v>
      </c>
      <c r="H19" s="62"/>
      <c r="I19" s="62"/>
      <c r="J19" s="63"/>
      <c r="K19" s="63"/>
      <c r="L19" s="62"/>
      <c r="M19" s="62"/>
      <c r="N19" s="62"/>
      <c r="O19" s="62" t="str">
        <f t="shared" si="0"/>
        <v>CC22_Enterprise TW</v>
      </c>
      <c r="P19" s="62" t="s">
        <v>2177</v>
      </c>
      <c r="Q19" s="62" t="s">
        <v>896</v>
      </c>
      <c r="R19" s="62"/>
      <c r="S19" s="64"/>
      <c r="T19" s="62" t="s">
        <v>897</v>
      </c>
      <c r="U19" s="62"/>
      <c r="V19" s="65" t="s">
        <v>1886</v>
      </c>
      <c r="W19" s="65">
        <v>0</v>
      </c>
      <c r="X19" s="62"/>
      <c r="Y19" s="66" t="e">
        <v>#N/A</v>
      </c>
      <c r="Z19" s="62" t="e">
        <v>#N/A</v>
      </c>
      <c r="AA19" s="62"/>
      <c r="AB19" s="62" t="s">
        <v>2211</v>
      </c>
      <c r="AC19" s="62" t="e">
        <v>#N/A</v>
      </c>
    </row>
    <row r="20" spans="1:29" ht="15" customHeight="1" outlineLevel="1" x14ac:dyDescent="0.3">
      <c r="A20" s="62" t="s">
        <v>795</v>
      </c>
      <c r="B20" s="62" t="s">
        <v>796</v>
      </c>
      <c r="C20" s="62" t="s">
        <v>892</v>
      </c>
      <c r="D20" s="62"/>
      <c r="E20" s="62"/>
      <c r="F20" s="62" t="s">
        <v>8</v>
      </c>
      <c r="G20" s="62" t="e">
        <v>#N/A</v>
      </c>
      <c r="H20" s="62"/>
      <c r="I20" s="62"/>
      <c r="J20" s="63"/>
      <c r="K20" s="63"/>
      <c r="L20" s="62"/>
      <c r="M20" s="62"/>
      <c r="N20" s="62"/>
      <c r="O20" s="62" t="str">
        <f t="shared" si="0"/>
        <v>CC23_Server ProSupport Plus CCC</v>
      </c>
      <c r="P20" s="62" t="s">
        <v>2177</v>
      </c>
      <c r="Q20" s="62" t="s">
        <v>896</v>
      </c>
      <c r="R20" s="62"/>
      <c r="S20" s="64"/>
      <c r="T20" s="62" t="s">
        <v>897</v>
      </c>
      <c r="U20" s="62"/>
      <c r="V20" s="65" t="s">
        <v>1886</v>
      </c>
      <c r="W20" s="65">
        <v>0</v>
      </c>
      <c r="X20" s="62"/>
      <c r="Y20" s="66" t="e">
        <v>#N/A</v>
      </c>
      <c r="Z20" s="62" t="e">
        <v>#N/A</v>
      </c>
      <c r="AA20" s="62"/>
      <c r="AB20" s="62" t="s">
        <v>2211</v>
      </c>
      <c r="AC20" s="62" t="e">
        <v>#N/A</v>
      </c>
    </row>
    <row r="21" spans="1:29" ht="15" customHeight="1" outlineLevel="1" x14ac:dyDescent="0.3">
      <c r="A21" s="62" t="s">
        <v>765</v>
      </c>
      <c r="B21" s="62" t="s">
        <v>766</v>
      </c>
      <c r="C21" s="62" t="s">
        <v>892</v>
      </c>
      <c r="D21" s="62"/>
      <c r="E21" s="62" t="s">
        <v>439</v>
      </c>
      <c r="F21" s="62" t="s">
        <v>8</v>
      </c>
      <c r="G21" s="62" t="e">
        <v>#N/A</v>
      </c>
      <c r="H21" s="62" t="s">
        <v>903</v>
      </c>
      <c r="I21" s="62" t="s">
        <v>909</v>
      </c>
      <c r="J21" s="63">
        <v>0.629</v>
      </c>
      <c r="K21" s="63"/>
      <c r="L21" s="62"/>
      <c r="M21" s="62" t="s">
        <v>895</v>
      </c>
      <c r="N21" s="62"/>
      <c r="O21" s="62" t="str">
        <f t="shared" si="0"/>
        <v>CE01_Enterprise Echannel CCC</v>
      </c>
      <c r="P21" s="62" t="s">
        <v>2177</v>
      </c>
      <c r="Q21" s="62" t="s">
        <v>896</v>
      </c>
      <c r="R21" s="62">
        <v>14</v>
      </c>
      <c r="S21" s="64"/>
      <c r="T21" s="62" t="s">
        <v>897</v>
      </c>
      <c r="U21" s="62"/>
      <c r="V21" s="65" t="s">
        <v>1886</v>
      </c>
      <c r="W21" s="65">
        <v>0</v>
      </c>
      <c r="X21" s="62"/>
      <c r="Y21" s="66" t="e">
        <v>#N/A</v>
      </c>
      <c r="Z21" s="62" t="e">
        <v>#N/A</v>
      </c>
      <c r="AA21" s="62"/>
      <c r="AB21" s="62" t="s">
        <v>2211</v>
      </c>
      <c r="AC21" s="62" t="e">
        <v>#N/A</v>
      </c>
    </row>
    <row r="22" spans="1:29" ht="15" customHeight="1" outlineLevel="1" x14ac:dyDescent="0.3">
      <c r="A22" s="62" t="s">
        <v>797</v>
      </c>
      <c r="B22" s="62"/>
      <c r="C22" s="62" t="s">
        <v>892</v>
      </c>
      <c r="D22" s="62"/>
      <c r="E22" s="62"/>
      <c r="F22" s="62" t="s">
        <v>8</v>
      </c>
      <c r="G22" s="62" t="e">
        <v>#N/A</v>
      </c>
      <c r="H22" s="62"/>
      <c r="I22" s="62"/>
      <c r="J22" s="63"/>
      <c r="K22" s="63"/>
      <c r="L22" s="62"/>
      <c r="M22" s="62"/>
      <c r="N22" s="62"/>
      <c r="O22" s="62" t="str">
        <f t="shared" si="0"/>
        <v>CG Comp_</v>
      </c>
      <c r="P22" s="62" t="e">
        <v>#N/A</v>
      </c>
      <c r="Q22" s="62" t="s">
        <v>896</v>
      </c>
      <c r="R22" s="62"/>
      <c r="S22" s="64"/>
      <c r="T22" s="62" t="s">
        <v>897</v>
      </c>
      <c r="U22" s="62"/>
      <c r="V22" s="65" t="s">
        <v>1886</v>
      </c>
      <c r="W22" s="65">
        <v>0</v>
      </c>
      <c r="X22" s="62"/>
      <c r="Y22" s="66" t="e">
        <v>#N/A</v>
      </c>
      <c r="Z22" s="62" t="e">
        <v>#N/A</v>
      </c>
      <c r="AA22" s="62"/>
      <c r="AB22" s="62" t="e">
        <v>#N/A</v>
      </c>
      <c r="AC22" s="62" t="e">
        <v>#N/A</v>
      </c>
    </row>
    <row r="23" spans="1:29" ht="15" customHeight="1" outlineLevel="1" x14ac:dyDescent="0.3">
      <c r="A23" s="62" t="s">
        <v>22</v>
      </c>
      <c r="B23" s="62" t="s">
        <v>23</v>
      </c>
      <c r="C23" s="62" t="s">
        <v>892</v>
      </c>
      <c r="D23" s="62" t="s">
        <v>13</v>
      </c>
      <c r="E23" s="62" t="s">
        <v>13</v>
      </c>
      <c r="F23" s="62" t="s">
        <v>8</v>
      </c>
      <c r="G23" s="62" t="e">
        <v>#N/A</v>
      </c>
      <c r="H23" s="62" t="s">
        <v>929</v>
      </c>
      <c r="I23" s="62" t="s">
        <v>929</v>
      </c>
      <c r="J23" s="63">
        <v>0.63300000000000001</v>
      </c>
      <c r="K23" s="63"/>
      <c r="L23" s="62"/>
      <c r="M23" s="62" t="s">
        <v>895</v>
      </c>
      <c r="N23" s="62" t="s">
        <v>13</v>
      </c>
      <c r="O23" s="62" t="str">
        <f t="shared" si="0"/>
        <v>CT16_CTE KOR</v>
      </c>
      <c r="P23" s="62" t="s">
        <v>2177</v>
      </c>
      <c r="Q23" s="62" t="s">
        <v>896</v>
      </c>
      <c r="R23" s="62">
        <v>14</v>
      </c>
      <c r="S23" s="64"/>
      <c r="T23" s="62" t="s">
        <v>897</v>
      </c>
      <c r="U23" s="62"/>
      <c r="V23" s="65" t="s">
        <v>1886</v>
      </c>
      <c r="W23" s="65">
        <v>0</v>
      </c>
      <c r="X23" s="62"/>
      <c r="Y23" s="66" t="e">
        <v>#N/A</v>
      </c>
      <c r="Z23" s="62" t="e">
        <v>#N/A</v>
      </c>
      <c r="AA23" s="62"/>
      <c r="AB23" s="62" t="s">
        <v>2212</v>
      </c>
      <c r="AC23" s="62" t="e">
        <v>#N/A</v>
      </c>
    </row>
    <row r="24" spans="1:29" ht="15" customHeight="1" outlineLevel="1" x14ac:dyDescent="0.3">
      <c r="A24" s="62" t="s">
        <v>810</v>
      </c>
      <c r="B24" s="62" t="s">
        <v>811</v>
      </c>
      <c r="C24" s="62" t="s">
        <v>892</v>
      </c>
      <c r="D24" s="62"/>
      <c r="E24" s="62"/>
      <c r="F24" s="62" t="s">
        <v>8</v>
      </c>
      <c r="G24" s="62" t="e">
        <v>#N/A</v>
      </c>
      <c r="H24" s="62"/>
      <c r="I24" s="62"/>
      <c r="J24" s="63"/>
      <c r="K24" s="63"/>
      <c r="L24" s="62"/>
      <c r="M24" s="62"/>
      <c r="N24" s="62"/>
      <c r="O24" s="62" t="str">
        <f t="shared" si="0"/>
        <v>CT36_Networking SPSPE</v>
      </c>
      <c r="P24" s="62" t="s">
        <v>2177</v>
      </c>
      <c r="Q24" s="62" t="s">
        <v>896</v>
      </c>
      <c r="R24" s="62"/>
      <c r="S24" s="64"/>
      <c r="T24" s="62" t="s">
        <v>897</v>
      </c>
      <c r="U24" s="62"/>
      <c r="V24" s="65" t="s">
        <v>1886</v>
      </c>
      <c r="W24" s="65">
        <v>0</v>
      </c>
      <c r="X24" s="62"/>
      <c r="Y24" s="66" t="e">
        <v>#N/A</v>
      </c>
      <c r="Z24" s="62" t="e">
        <v>#N/A</v>
      </c>
      <c r="AA24" s="62"/>
      <c r="AB24" s="62" t="s">
        <v>2208</v>
      </c>
      <c r="AC24" s="62" t="e">
        <v>#N/A</v>
      </c>
    </row>
    <row r="25" spans="1:29" ht="15" customHeight="1" outlineLevel="1" x14ac:dyDescent="0.3">
      <c r="A25" s="62" t="s">
        <v>483</v>
      </c>
      <c r="B25" s="62" t="s">
        <v>484</v>
      </c>
      <c r="C25" s="62" t="s">
        <v>892</v>
      </c>
      <c r="D25" s="62" t="s">
        <v>439</v>
      </c>
      <c r="E25" s="62" t="s">
        <v>439</v>
      </c>
      <c r="F25" s="62" t="s">
        <v>8</v>
      </c>
      <c r="G25" s="62" t="e">
        <v>#N/A</v>
      </c>
      <c r="H25" s="62" t="s">
        <v>912</v>
      </c>
      <c r="I25" s="62" t="s">
        <v>1009</v>
      </c>
      <c r="J25" s="63">
        <v>0.61699999999999999</v>
      </c>
      <c r="K25" s="63"/>
      <c r="L25" s="62"/>
      <c r="M25" s="62" t="s">
        <v>895</v>
      </c>
      <c r="N25" s="62"/>
      <c r="O25" s="62" t="str">
        <f t="shared" si="0"/>
        <v>DE12_GER Solutions (HAL)</v>
      </c>
      <c r="P25" s="62" t="s">
        <v>2177</v>
      </c>
      <c r="Q25" s="62" t="s">
        <v>896</v>
      </c>
      <c r="R25" s="62">
        <v>14</v>
      </c>
      <c r="S25" s="64"/>
      <c r="T25" s="62" t="s">
        <v>897</v>
      </c>
      <c r="U25" s="62"/>
      <c r="V25" s="65" t="s">
        <v>1886</v>
      </c>
      <c r="W25" s="65">
        <v>0</v>
      </c>
      <c r="X25" s="62"/>
      <c r="Y25" s="66" t="e">
        <v>#N/A</v>
      </c>
      <c r="Z25" s="62" t="e">
        <v>#N/A</v>
      </c>
      <c r="AA25" s="62"/>
      <c r="AB25" s="62" t="s">
        <v>2213</v>
      </c>
      <c r="AC25" s="62" t="e">
        <v>#N/A</v>
      </c>
    </row>
    <row r="26" spans="1:29" ht="15" customHeight="1" outlineLevel="1" x14ac:dyDescent="0.3">
      <c r="A26" s="62" t="s">
        <v>726</v>
      </c>
      <c r="B26" s="62" t="s">
        <v>727</v>
      </c>
      <c r="C26" s="62" t="s">
        <v>892</v>
      </c>
      <c r="D26" s="62"/>
      <c r="E26" s="62" t="s">
        <v>440</v>
      </c>
      <c r="F26" s="62" t="s">
        <v>8</v>
      </c>
      <c r="G26" s="62" t="e">
        <v>#N/A</v>
      </c>
      <c r="H26" s="62" t="s">
        <v>893</v>
      </c>
      <c r="I26" s="62" t="s">
        <v>894</v>
      </c>
      <c r="J26" s="63">
        <v>0.64800000000000002</v>
      </c>
      <c r="K26" s="63"/>
      <c r="L26" s="62"/>
      <c r="M26" s="62" t="s">
        <v>895</v>
      </c>
      <c r="N26" s="62"/>
      <c r="O26" s="62" t="str">
        <f t="shared" si="0"/>
        <v>FD01_Federal Support NA</v>
      </c>
      <c r="P26" s="62" t="s">
        <v>2177</v>
      </c>
      <c r="Q26" s="62" t="s">
        <v>896</v>
      </c>
      <c r="R26" s="62">
        <v>14</v>
      </c>
      <c r="S26" s="64"/>
      <c r="T26" s="62" t="s">
        <v>897</v>
      </c>
      <c r="U26" s="62"/>
      <c r="V26" s="65" t="s">
        <v>1886</v>
      </c>
      <c r="W26" s="65">
        <v>0</v>
      </c>
      <c r="X26" s="62"/>
      <c r="Y26" s="66" t="e">
        <v>#N/A</v>
      </c>
      <c r="Z26" s="62" t="e">
        <v>#N/A</v>
      </c>
      <c r="AA26" s="62"/>
      <c r="AB26" s="62" t="s">
        <v>2208</v>
      </c>
      <c r="AC26" s="62" t="e">
        <v>#N/A</v>
      </c>
    </row>
    <row r="27" spans="1:29" ht="15" customHeight="1" outlineLevel="1" x14ac:dyDescent="0.3">
      <c r="A27" s="62" t="s">
        <v>507</v>
      </c>
      <c r="B27" s="62" t="s">
        <v>508</v>
      </c>
      <c r="C27" s="62" t="s">
        <v>892</v>
      </c>
      <c r="D27" s="62" t="s">
        <v>439</v>
      </c>
      <c r="E27" s="62" t="s">
        <v>439</v>
      </c>
      <c r="F27" s="62" t="s">
        <v>8</v>
      </c>
      <c r="G27" s="62" t="e">
        <v>#N/A</v>
      </c>
      <c r="H27" s="62" t="s">
        <v>893</v>
      </c>
      <c r="I27" s="62" t="s">
        <v>894</v>
      </c>
      <c r="J27" s="63">
        <v>0.64800000000000002</v>
      </c>
      <c r="K27" s="63"/>
      <c r="L27" s="62"/>
      <c r="M27" s="62" t="s">
        <v>931</v>
      </c>
      <c r="N27" s="62" t="s">
        <v>916</v>
      </c>
      <c r="O27" s="62" t="str">
        <f t="shared" si="0"/>
        <v>FED4_Federal Server US</v>
      </c>
      <c r="P27" s="62" t="s">
        <v>2185</v>
      </c>
      <c r="Q27" s="62" t="s">
        <v>896</v>
      </c>
      <c r="R27" s="62">
        <v>8</v>
      </c>
      <c r="S27" s="64"/>
      <c r="T27" s="62" t="s">
        <v>897</v>
      </c>
      <c r="U27" s="62"/>
      <c r="V27" s="65" t="s">
        <v>1886</v>
      </c>
      <c r="W27" s="65">
        <v>0</v>
      </c>
      <c r="X27" s="62"/>
      <c r="Y27" s="66" t="e">
        <v>#N/A</v>
      </c>
      <c r="Z27" s="62" t="e">
        <v>#N/A</v>
      </c>
      <c r="AA27" s="62"/>
      <c r="AB27" s="62" t="s">
        <v>2208</v>
      </c>
      <c r="AC27" s="62" t="e">
        <v>#N/A</v>
      </c>
    </row>
    <row r="28" spans="1:29" ht="15" customHeight="1" outlineLevel="1" x14ac:dyDescent="0.3">
      <c r="A28" s="62" t="s">
        <v>626</v>
      </c>
      <c r="B28" s="62" t="s">
        <v>627</v>
      </c>
      <c r="C28" s="62" t="s">
        <v>892</v>
      </c>
      <c r="D28" s="62" t="s">
        <v>609</v>
      </c>
      <c r="E28" s="62" t="s">
        <v>609</v>
      </c>
      <c r="F28" s="62" t="s">
        <v>8</v>
      </c>
      <c r="G28" s="62" t="e">
        <v>#N/A</v>
      </c>
      <c r="H28" s="62" t="s">
        <v>893</v>
      </c>
      <c r="I28" s="62" t="s">
        <v>894</v>
      </c>
      <c r="J28" s="63">
        <v>0.64800000000000002</v>
      </c>
      <c r="K28" s="63"/>
      <c r="L28" s="62"/>
      <c r="M28" s="62" t="s">
        <v>931</v>
      </c>
      <c r="N28" s="62"/>
      <c r="O28" s="62" t="str">
        <f t="shared" si="0"/>
        <v>FED6_US Federal Support Storage</v>
      </c>
      <c r="P28" s="62" t="s">
        <v>2177</v>
      </c>
      <c r="Q28" s="62" t="s">
        <v>896</v>
      </c>
      <c r="R28" s="62">
        <v>8</v>
      </c>
      <c r="S28" s="64"/>
      <c r="T28" s="62" t="s">
        <v>897</v>
      </c>
      <c r="U28" s="62"/>
      <c r="V28" s="65" t="s">
        <v>1886</v>
      </c>
      <c r="W28" s="65">
        <v>0</v>
      </c>
      <c r="X28" s="62"/>
      <c r="Y28" s="66" t="e">
        <v>#N/A</v>
      </c>
      <c r="Z28" s="62" t="e">
        <v>#N/A</v>
      </c>
      <c r="AA28" s="62"/>
      <c r="AB28" s="62" t="s">
        <v>2208</v>
      </c>
      <c r="AC28" s="62" t="e">
        <v>#N/A</v>
      </c>
    </row>
    <row r="29" spans="1:29" ht="15" customHeight="1" outlineLevel="1" x14ac:dyDescent="0.3">
      <c r="A29" s="62" t="s">
        <v>513</v>
      </c>
      <c r="B29" s="62" t="s">
        <v>514</v>
      </c>
      <c r="C29" s="62" t="s">
        <v>892</v>
      </c>
      <c r="D29" s="62" t="s">
        <v>439</v>
      </c>
      <c r="E29" s="62" t="s">
        <v>439</v>
      </c>
      <c r="F29" s="62" t="s">
        <v>8</v>
      </c>
      <c r="G29" s="62" t="e">
        <v>#N/A</v>
      </c>
      <c r="H29" s="62" t="s">
        <v>912</v>
      </c>
      <c r="I29" s="62" t="s">
        <v>1026</v>
      </c>
      <c r="J29" s="63">
        <v>0.61699999999999999</v>
      </c>
      <c r="K29" s="63"/>
      <c r="L29" s="62"/>
      <c r="M29" s="62" t="s">
        <v>895</v>
      </c>
      <c r="N29" s="62"/>
      <c r="O29" s="62" t="str">
        <f t="shared" si="0"/>
        <v>FR08_FRA Solutions (MTP)</v>
      </c>
      <c r="P29" s="62" t="s">
        <v>2177</v>
      </c>
      <c r="Q29" s="62" t="s">
        <v>896</v>
      </c>
      <c r="R29" s="62">
        <v>14</v>
      </c>
      <c r="S29" s="64"/>
      <c r="T29" s="62" t="s">
        <v>897</v>
      </c>
      <c r="U29" s="62"/>
      <c r="V29" s="65" t="s">
        <v>1886</v>
      </c>
      <c r="W29" s="65">
        <v>0</v>
      </c>
      <c r="X29" s="62"/>
      <c r="Y29" s="66" t="e">
        <v>#N/A</v>
      </c>
      <c r="Z29" s="62" t="e">
        <v>#N/A</v>
      </c>
      <c r="AA29" s="62"/>
      <c r="AB29" s="62" t="s">
        <v>2215</v>
      </c>
      <c r="AC29" s="62" t="e">
        <v>#N/A</v>
      </c>
    </row>
    <row r="30" spans="1:29" ht="15" customHeight="1" outlineLevel="1" x14ac:dyDescent="0.3">
      <c r="A30" s="62" t="s">
        <v>519</v>
      </c>
      <c r="B30" s="62" t="s">
        <v>520</v>
      </c>
      <c r="C30" s="62" t="s">
        <v>892</v>
      </c>
      <c r="D30" s="62" t="s">
        <v>439</v>
      </c>
      <c r="E30" s="62" t="s">
        <v>439</v>
      </c>
      <c r="F30" s="62" t="s">
        <v>8</v>
      </c>
      <c r="G30" s="62" t="e">
        <v>#N/A</v>
      </c>
      <c r="H30" s="62" t="s">
        <v>912</v>
      </c>
      <c r="I30" s="62" t="s">
        <v>1006</v>
      </c>
      <c r="J30" s="63">
        <v>0.61699999999999999</v>
      </c>
      <c r="K30" s="63"/>
      <c r="L30" s="62"/>
      <c r="M30" s="62" t="s">
        <v>939</v>
      </c>
      <c r="N30" s="62" t="s">
        <v>916</v>
      </c>
      <c r="O30" s="62" t="str">
        <f t="shared" si="0"/>
        <v>FR12_FRA ProSupp Server Alternate</v>
      </c>
      <c r="P30" s="62" t="s">
        <v>2184</v>
      </c>
      <c r="Q30" s="62" t="s">
        <v>896</v>
      </c>
      <c r="R30" s="62">
        <v>7</v>
      </c>
      <c r="S30" s="64"/>
      <c r="T30" s="62" t="s">
        <v>897</v>
      </c>
      <c r="U30" s="62"/>
      <c r="V30" s="65" t="s">
        <v>1886</v>
      </c>
      <c r="W30" s="65">
        <v>0</v>
      </c>
      <c r="X30" s="62"/>
      <c r="Y30" s="66" t="e">
        <v>#N/A</v>
      </c>
      <c r="Z30" s="62" t="e">
        <v>#N/A</v>
      </c>
      <c r="AA30" s="62"/>
      <c r="AB30" s="62" t="s">
        <v>2215</v>
      </c>
      <c r="AC30" s="62" t="e">
        <v>#N/A</v>
      </c>
    </row>
    <row r="31" spans="1:29" ht="15" customHeight="1" outlineLevel="1" x14ac:dyDescent="0.3">
      <c r="A31" s="62" t="s">
        <v>628</v>
      </c>
      <c r="B31" s="62" t="s">
        <v>629</v>
      </c>
      <c r="C31" s="62" t="s">
        <v>892</v>
      </c>
      <c r="D31" s="62" t="s">
        <v>609</v>
      </c>
      <c r="E31" s="62" t="s">
        <v>609</v>
      </c>
      <c r="F31" s="62" t="s">
        <v>8</v>
      </c>
      <c r="G31" s="62" t="e">
        <v>#N/A</v>
      </c>
      <c r="H31" s="62" t="s">
        <v>912</v>
      </c>
      <c r="I31" s="62" t="e">
        <v>#N/A</v>
      </c>
      <c r="J31" s="63">
        <v>0.61699999999999999</v>
      </c>
      <c r="K31" s="63"/>
      <c r="L31" s="62"/>
      <c r="M31" s="62" t="s">
        <v>939</v>
      </c>
      <c r="N31" s="62"/>
      <c r="O31" s="62" t="str">
        <f t="shared" si="0"/>
        <v>FR13_ProSupp EQL (MTP)</v>
      </c>
      <c r="P31" s="62" t="s">
        <v>2177</v>
      </c>
      <c r="Q31" s="62" t="s">
        <v>896</v>
      </c>
      <c r="R31" s="62">
        <v>7</v>
      </c>
      <c r="S31" s="64"/>
      <c r="T31" s="62" t="s">
        <v>897</v>
      </c>
      <c r="U31" s="62"/>
      <c r="V31" s="65" t="s">
        <v>1886</v>
      </c>
      <c r="W31" s="65">
        <v>0</v>
      </c>
      <c r="X31" s="62"/>
      <c r="Y31" s="66" t="e">
        <v>#N/A</v>
      </c>
      <c r="Z31" s="62" t="e">
        <v>#N/A</v>
      </c>
      <c r="AA31" s="62"/>
      <c r="AB31" s="62" t="s">
        <v>2210</v>
      </c>
      <c r="AC31" s="62" t="e">
        <v>#N/A</v>
      </c>
    </row>
    <row r="32" spans="1:29" ht="15" customHeight="1" outlineLevel="1" x14ac:dyDescent="0.3">
      <c r="A32" s="62" t="s">
        <v>630</v>
      </c>
      <c r="B32" s="62" t="s">
        <v>631</v>
      </c>
      <c r="C32" s="62" t="s">
        <v>892</v>
      </c>
      <c r="D32" s="62" t="s">
        <v>609</v>
      </c>
      <c r="E32" s="62" t="s">
        <v>609</v>
      </c>
      <c r="F32" s="62" t="s">
        <v>8</v>
      </c>
      <c r="G32" s="62" t="e">
        <v>#N/A</v>
      </c>
      <c r="H32" s="62" t="s">
        <v>912</v>
      </c>
      <c r="I32" s="62" t="s">
        <v>1026</v>
      </c>
      <c r="J32" s="63">
        <v>0.61699999999999999</v>
      </c>
      <c r="K32" s="63"/>
      <c r="L32" s="62"/>
      <c r="M32" s="62" t="s">
        <v>895</v>
      </c>
      <c r="N32" s="62"/>
      <c r="O32" s="62" t="str">
        <f t="shared" si="0"/>
        <v>FR23_FRA ProSupp Storage (MTP)</v>
      </c>
      <c r="P32" s="62" t="s">
        <v>2177</v>
      </c>
      <c r="Q32" s="62" t="s">
        <v>896</v>
      </c>
      <c r="R32" s="62">
        <v>14</v>
      </c>
      <c r="S32" s="64"/>
      <c r="T32" s="62" t="s">
        <v>897</v>
      </c>
      <c r="U32" s="62"/>
      <c r="V32" s="65" t="s">
        <v>1886</v>
      </c>
      <c r="W32" s="65">
        <v>0</v>
      </c>
      <c r="X32" s="62"/>
      <c r="Y32" s="66" t="e">
        <v>#N/A</v>
      </c>
      <c r="Z32" s="62" t="e">
        <v>#N/A</v>
      </c>
      <c r="AA32" s="62"/>
      <c r="AB32" s="62" t="s">
        <v>2215</v>
      </c>
      <c r="AC32" s="62" t="e">
        <v>#N/A</v>
      </c>
    </row>
    <row r="33" spans="1:29" ht="15" customHeight="1" outlineLevel="1" x14ac:dyDescent="0.3">
      <c r="A33" s="62" t="s">
        <v>521</v>
      </c>
      <c r="B33" s="62" t="s">
        <v>522</v>
      </c>
      <c r="C33" s="62" t="s">
        <v>892</v>
      </c>
      <c r="D33" s="62" t="s">
        <v>439</v>
      </c>
      <c r="E33" s="62" t="s">
        <v>439</v>
      </c>
      <c r="F33" s="62" t="s">
        <v>8</v>
      </c>
      <c r="G33" s="62" t="e">
        <v>#N/A</v>
      </c>
      <c r="H33" s="62" t="s">
        <v>912</v>
      </c>
      <c r="I33" s="62" t="s">
        <v>913</v>
      </c>
      <c r="J33" s="63">
        <v>0.61699999999999999</v>
      </c>
      <c r="K33" s="63"/>
      <c r="L33" s="62"/>
      <c r="M33" s="62" t="s">
        <v>1029</v>
      </c>
      <c r="N33" s="62"/>
      <c r="O33" s="62" t="str">
        <f t="shared" si="0"/>
        <v>GB08_UKISA Basic Enterprise (BGL)</v>
      </c>
      <c r="P33" s="62" t="s">
        <v>2177</v>
      </c>
      <c r="Q33" s="62" t="s">
        <v>896</v>
      </c>
      <c r="R33" s="62">
        <v>10</v>
      </c>
      <c r="S33" s="64"/>
      <c r="T33" s="62" t="s">
        <v>897</v>
      </c>
      <c r="U33" s="62"/>
      <c r="V33" s="65" t="s">
        <v>1886</v>
      </c>
      <c r="W33" s="65">
        <v>0</v>
      </c>
      <c r="X33" s="62"/>
      <c r="Y33" s="66" t="e">
        <v>#N/A</v>
      </c>
      <c r="Z33" s="62" t="e">
        <v>#N/A</v>
      </c>
      <c r="AA33" s="62"/>
      <c r="AB33" s="62" t="s">
        <v>2208</v>
      </c>
      <c r="AC33" s="62" t="e">
        <v>#N/A</v>
      </c>
    </row>
    <row r="34" spans="1:29" ht="15" customHeight="1" outlineLevel="1" x14ac:dyDescent="0.3">
      <c r="A34" s="62" t="s">
        <v>634</v>
      </c>
      <c r="B34" s="62" t="s">
        <v>635</v>
      </c>
      <c r="C34" s="62" t="s">
        <v>892</v>
      </c>
      <c r="D34" s="62" t="s">
        <v>609</v>
      </c>
      <c r="E34" s="62" t="s">
        <v>609</v>
      </c>
      <c r="F34" s="62" t="s">
        <v>8</v>
      </c>
      <c r="G34" s="62" t="e">
        <v>#N/A</v>
      </c>
      <c r="H34" s="62" t="s">
        <v>912</v>
      </c>
      <c r="I34" s="62" t="s">
        <v>913</v>
      </c>
      <c r="J34" s="63">
        <v>0.61699999999999999</v>
      </c>
      <c r="K34" s="63"/>
      <c r="L34" s="62"/>
      <c r="M34" s="62" t="s">
        <v>895</v>
      </c>
      <c r="N34" s="62"/>
      <c r="O34" s="62" t="str">
        <f t="shared" si="0"/>
        <v>GB09_ProSupp Storage Co Pilot (CWD)</v>
      </c>
      <c r="P34" s="62" t="s">
        <v>2177</v>
      </c>
      <c r="Q34" s="62" t="s">
        <v>896</v>
      </c>
      <c r="R34" s="62">
        <v>14</v>
      </c>
      <c r="S34" s="64"/>
      <c r="T34" s="62" t="s">
        <v>897</v>
      </c>
      <c r="U34" s="62"/>
      <c r="V34" s="65" t="s">
        <v>1886</v>
      </c>
      <c r="W34" s="65">
        <v>0</v>
      </c>
      <c r="X34" s="62"/>
      <c r="Y34" s="66" t="e">
        <v>#N/A</v>
      </c>
      <c r="Z34" s="62" t="e">
        <v>#N/A</v>
      </c>
      <c r="AA34" s="62"/>
      <c r="AB34" s="62" t="s">
        <v>2210</v>
      </c>
      <c r="AC34" s="62" t="e">
        <v>#N/A</v>
      </c>
    </row>
    <row r="35" spans="1:29" ht="15" customHeight="1" outlineLevel="1" x14ac:dyDescent="0.3">
      <c r="A35" s="62" t="s">
        <v>636</v>
      </c>
      <c r="B35" s="62" t="s">
        <v>637</v>
      </c>
      <c r="C35" s="62" t="s">
        <v>892</v>
      </c>
      <c r="D35" s="62" t="s">
        <v>609</v>
      </c>
      <c r="E35" s="62" t="s">
        <v>609</v>
      </c>
      <c r="F35" s="62" t="s">
        <v>8</v>
      </c>
      <c r="G35" s="62" t="e">
        <v>#N/A</v>
      </c>
      <c r="H35" s="62" t="s">
        <v>912</v>
      </c>
      <c r="I35" s="62" t="e">
        <v>#N/A</v>
      </c>
      <c r="J35" s="63">
        <v>0.61699999999999999</v>
      </c>
      <c r="K35" s="63"/>
      <c r="L35" s="62"/>
      <c r="M35" s="62" t="s">
        <v>939</v>
      </c>
      <c r="N35" s="62"/>
      <c r="O35" s="62" t="str">
        <f t="shared" si="0"/>
        <v>GB10_ProSupp EQL (CWD)</v>
      </c>
      <c r="P35" s="62" t="s">
        <v>2177</v>
      </c>
      <c r="Q35" s="62" t="s">
        <v>896</v>
      </c>
      <c r="R35" s="62">
        <v>7</v>
      </c>
      <c r="S35" s="64"/>
      <c r="T35" s="62" t="s">
        <v>897</v>
      </c>
      <c r="U35" s="62"/>
      <c r="V35" s="65" t="s">
        <v>1886</v>
      </c>
      <c r="W35" s="65">
        <v>0</v>
      </c>
      <c r="X35" s="62"/>
      <c r="Y35" s="66" t="e">
        <v>#N/A</v>
      </c>
      <c r="Z35" s="62" t="e">
        <v>#N/A</v>
      </c>
      <c r="AA35" s="62"/>
      <c r="AB35" s="62" t="s">
        <v>2210</v>
      </c>
      <c r="AC35" s="62" t="e">
        <v>#N/A</v>
      </c>
    </row>
    <row r="36" spans="1:29" ht="15" customHeight="1" outlineLevel="1" x14ac:dyDescent="0.3">
      <c r="A36" s="62" t="s">
        <v>525</v>
      </c>
      <c r="B36" s="62" t="s">
        <v>526</v>
      </c>
      <c r="C36" s="62" t="s">
        <v>892</v>
      </c>
      <c r="D36" s="62" t="s">
        <v>439</v>
      </c>
      <c r="E36" s="62" t="s">
        <v>439</v>
      </c>
      <c r="F36" s="62" t="s">
        <v>8</v>
      </c>
      <c r="G36" s="62" t="e">
        <v>#N/A</v>
      </c>
      <c r="H36" s="62" t="s">
        <v>912</v>
      </c>
      <c r="I36" s="62" t="s">
        <v>913</v>
      </c>
      <c r="J36" s="63">
        <v>0.61699999999999999</v>
      </c>
      <c r="K36" s="63"/>
      <c r="L36" s="62"/>
      <c r="M36" s="62" t="s">
        <v>895</v>
      </c>
      <c r="N36" s="62"/>
      <c r="O36" s="62" t="str">
        <f t="shared" si="0"/>
        <v>GB14_ENG Solutions (CWD)</v>
      </c>
      <c r="P36" s="62" t="s">
        <v>2177</v>
      </c>
      <c r="Q36" s="62" t="s">
        <v>896</v>
      </c>
      <c r="R36" s="62">
        <v>14</v>
      </c>
      <c r="S36" s="64"/>
      <c r="T36" s="62" t="s">
        <v>897</v>
      </c>
      <c r="U36" s="62"/>
      <c r="V36" s="65" t="s">
        <v>1886</v>
      </c>
      <c r="W36" s="65">
        <v>0</v>
      </c>
      <c r="X36" s="62"/>
      <c r="Y36" s="66" t="e">
        <v>#N/A</v>
      </c>
      <c r="Z36" s="62" t="e">
        <v>#N/A</v>
      </c>
      <c r="AA36" s="62"/>
      <c r="AB36" s="62" t="s">
        <v>2208</v>
      </c>
      <c r="AC36" s="62" t="e">
        <v>#N/A</v>
      </c>
    </row>
    <row r="37" spans="1:29" ht="15" customHeight="1" outlineLevel="1" x14ac:dyDescent="0.3">
      <c r="A37" s="62" t="s">
        <v>640</v>
      </c>
      <c r="B37" s="62" t="s">
        <v>641</v>
      </c>
      <c r="C37" s="62" t="s">
        <v>892</v>
      </c>
      <c r="D37" s="62" t="s">
        <v>609</v>
      </c>
      <c r="E37" s="62" t="s">
        <v>609</v>
      </c>
      <c r="F37" s="62" t="s">
        <v>8</v>
      </c>
      <c r="G37" s="62" t="e">
        <v>#N/A</v>
      </c>
      <c r="H37" s="62" t="s">
        <v>912</v>
      </c>
      <c r="I37" s="62" t="s">
        <v>1006</v>
      </c>
      <c r="J37" s="63">
        <v>0.61699999999999999</v>
      </c>
      <c r="K37" s="63"/>
      <c r="L37" s="62"/>
      <c r="M37" s="62" t="s">
        <v>1007</v>
      </c>
      <c r="N37" s="62" t="s">
        <v>916</v>
      </c>
      <c r="O37" s="62" t="str">
        <f t="shared" si="0"/>
        <v>GB29_EMEA ProSupport Powerstore</v>
      </c>
      <c r="P37" s="62" t="s">
        <v>2184</v>
      </c>
      <c r="Q37" s="62" t="s">
        <v>896</v>
      </c>
      <c r="R37" s="62">
        <v>8</v>
      </c>
      <c r="S37" s="64"/>
      <c r="T37" s="62" t="s">
        <v>897</v>
      </c>
      <c r="U37" s="62"/>
      <c r="V37" s="65" t="s">
        <v>1886</v>
      </c>
      <c r="W37" s="65">
        <v>0</v>
      </c>
      <c r="X37" s="62"/>
      <c r="Y37" s="66" t="e">
        <v>#N/A</v>
      </c>
      <c r="Z37" s="62" t="e">
        <v>#N/A</v>
      </c>
      <c r="AA37" s="62"/>
      <c r="AB37" s="62" t="s">
        <v>2210</v>
      </c>
      <c r="AC37" s="62" t="e">
        <v>#N/A</v>
      </c>
    </row>
    <row r="38" spans="1:29" ht="15" customHeight="1" outlineLevel="1" x14ac:dyDescent="0.3">
      <c r="A38" s="62" t="s">
        <v>644</v>
      </c>
      <c r="B38" s="62" t="s">
        <v>645</v>
      </c>
      <c r="C38" s="62" t="s">
        <v>892</v>
      </c>
      <c r="D38" s="62" t="s">
        <v>609</v>
      </c>
      <c r="E38" s="62" t="s">
        <v>609</v>
      </c>
      <c r="F38" s="62" t="s">
        <v>8</v>
      </c>
      <c r="G38" s="62" t="e">
        <v>#N/A</v>
      </c>
      <c r="H38" s="62" t="s">
        <v>912</v>
      </c>
      <c r="I38" s="62" t="s">
        <v>1009</v>
      </c>
      <c r="J38" s="63">
        <v>0.61699999999999999</v>
      </c>
      <c r="K38" s="63"/>
      <c r="L38" s="62"/>
      <c r="M38" s="62" t="s">
        <v>895</v>
      </c>
      <c r="N38" s="62"/>
      <c r="O38" s="62" t="str">
        <f t="shared" si="0"/>
        <v>GG01_GER ProSupp Storage Co Pilot</v>
      </c>
      <c r="P38" s="62" t="s">
        <v>2177</v>
      </c>
      <c r="Q38" s="62" t="s">
        <v>896</v>
      </c>
      <c r="R38" s="62">
        <v>14</v>
      </c>
      <c r="S38" s="64"/>
      <c r="T38" s="62" t="s">
        <v>897</v>
      </c>
      <c r="U38" s="62"/>
      <c r="V38" s="65" t="s">
        <v>1886</v>
      </c>
      <c r="W38" s="65">
        <v>0</v>
      </c>
      <c r="X38" s="62"/>
      <c r="Y38" s="66" t="e">
        <v>#N/A</v>
      </c>
      <c r="Z38" s="62" t="e">
        <v>#N/A</v>
      </c>
      <c r="AA38" s="62"/>
      <c r="AB38" s="62" t="s">
        <v>2213</v>
      </c>
      <c r="AC38" s="62" t="e">
        <v>#N/A</v>
      </c>
    </row>
    <row r="39" spans="1:29" ht="15" customHeight="1" outlineLevel="1" x14ac:dyDescent="0.3">
      <c r="A39" s="62" t="s">
        <v>1059</v>
      </c>
      <c r="B39" s="62" t="s">
        <v>1060</v>
      </c>
      <c r="C39" s="62" t="s">
        <v>914</v>
      </c>
      <c r="D39" s="62" t="s">
        <v>947</v>
      </c>
      <c r="E39" s="62" t="s">
        <v>960</v>
      </c>
      <c r="F39" s="62" t="s">
        <v>900</v>
      </c>
      <c r="G39" s="62" t="e">
        <v>#N/A</v>
      </c>
      <c r="H39" s="62" t="s">
        <v>929</v>
      </c>
      <c r="I39" s="62" t="s">
        <v>929</v>
      </c>
      <c r="J39" s="63">
        <v>0.63300000000000001</v>
      </c>
      <c r="K39" s="63"/>
      <c r="L39" s="62"/>
      <c r="M39" s="62" t="s">
        <v>895</v>
      </c>
      <c r="N39" s="62"/>
      <c r="O39" s="62" t="str">
        <f t="shared" si="0"/>
        <v>HE17_HES Global Operations</v>
      </c>
      <c r="P39" s="62" t="s">
        <v>2177</v>
      </c>
      <c r="Q39" s="62" t="s">
        <v>896</v>
      </c>
      <c r="R39" s="62">
        <v>14</v>
      </c>
      <c r="S39" s="64"/>
      <c r="T39" s="62" t="s">
        <v>897</v>
      </c>
      <c r="U39" s="62"/>
      <c r="V39" s="65" t="s">
        <v>1886</v>
      </c>
      <c r="W39" s="65">
        <v>0.66666666666666663</v>
      </c>
      <c r="X39" s="62"/>
      <c r="Y39" s="66" t="e">
        <v>#N/A</v>
      </c>
      <c r="Z39" s="62" t="e">
        <v>#N/A</v>
      </c>
      <c r="AA39" s="62"/>
      <c r="AB39" s="62" t="s">
        <v>2208</v>
      </c>
      <c r="AC39" s="62" t="e">
        <v>#N/A</v>
      </c>
    </row>
    <row r="40" spans="1:29" ht="15" customHeight="1" outlineLevel="1" x14ac:dyDescent="0.3">
      <c r="A40" s="62" t="s">
        <v>822</v>
      </c>
      <c r="B40" s="62" t="s">
        <v>823</v>
      </c>
      <c r="C40" s="62" t="s">
        <v>892</v>
      </c>
      <c r="D40" s="62"/>
      <c r="E40" s="62"/>
      <c r="F40" s="62" t="s">
        <v>8</v>
      </c>
      <c r="G40" s="62" t="e">
        <v>#N/A</v>
      </c>
      <c r="H40" s="62"/>
      <c r="I40" s="62"/>
      <c r="J40" s="63"/>
      <c r="K40" s="63"/>
      <c r="L40" s="62"/>
      <c r="M40" s="62"/>
      <c r="N40" s="62"/>
      <c r="O40" s="62" t="str">
        <f t="shared" si="0"/>
        <v>HWPA_Honeywell Panama</v>
      </c>
      <c r="P40" s="62" t="s">
        <v>2177</v>
      </c>
      <c r="Q40" s="62" t="s">
        <v>896</v>
      </c>
      <c r="R40" s="62"/>
      <c r="S40" s="64"/>
      <c r="T40" s="62" t="s">
        <v>897</v>
      </c>
      <c r="U40" s="62"/>
      <c r="V40" s="65" t="s">
        <v>1886</v>
      </c>
      <c r="W40" s="65">
        <v>0</v>
      </c>
      <c r="X40" s="62"/>
      <c r="Y40" s="66" t="e">
        <v>#N/A</v>
      </c>
      <c r="Z40" s="62" t="e">
        <v>#N/A</v>
      </c>
      <c r="AA40" s="62"/>
      <c r="AB40" s="62" t="s">
        <v>2216</v>
      </c>
      <c r="AC40" s="62" t="e">
        <v>#N/A</v>
      </c>
    </row>
    <row r="41" spans="1:29" ht="15" customHeight="1" outlineLevel="1" x14ac:dyDescent="0.3">
      <c r="A41" s="62" t="s">
        <v>535</v>
      </c>
      <c r="B41" s="62" t="s">
        <v>536</v>
      </c>
      <c r="C41" s="62" t="s">
        <v>892</v>
      </c>
      <c r="D41" s="62" t="s">
        <v>439</v>
      </c>
      <c r="E41" s="62" t="s">
        <v>439</v>
      </c>
      <c r="F41" s="62" t="s">
        <v>8</v>
      </c>
      <c r="G41" s="62" t="e">
        <v>#N/A</v>
      </c>
      <c r="H41" s="62" t="s">
        <v>906</v>
      </c>
      <c r="I41" s="62" t="s">
        <v>906</v>
      </c>
      <c r="J41" s="63">
        <v>0.629</v>
      </c>
      <c r="K41" s="63"/>
      <c r="L41" s="62"/>
      <c r="M41" s="62" t="s">
        <v>895</v>
      </c>
      <c r="N41" s="62"/>
      <c r="O41" s="62" t="str">
        <f t="shared" si="0"/>
        <v>IN15_Server Core IND</v>
      </c>
      <c r="P41" s="62" t="s">
        <v>2178</v>
      </c>
      <c r="Q41" s="62" t="s">
        <v>896</v>
      </c>
      <c r="R41" s="62">
        <v>14</v>
      </c>
      <c r="S41" s="64"/>
      <c r="T41" s="62" t="s">
        <v>897</v>
      </c>
      <c r="U41" s="62"/>
      <c r="V41" s="65" t="s">
        <v>1886</v>
      </c>
      <c r="W41" s="65">
        <v>0</v>
      </c>
      <c r="X41" s="62"/>
      <c r="Y41" s="66" t="e">
        <v>#N/A</v>
      </c>
      <c r="Z41" s="62" t="e">
        <v>#N/A</v>
      </c>
      <c r="AA41" s="62"/>
      <c r="AB41" s="62" t="s">
        <v>2208</v>
      </c>
      <c r="AC41" s="62" t="e">
        <v>#N/A</v>
      </c>
    </row>
    <row r="42" spans="1:29" ht="15" customHeight="1" outlineLevel="1" x14ac:dyDescent="0.3">
      <c r="A42" s="62" t="s">
        <v>830</v>
      </c>
      <c r="B42" s="62" t="s">
        <v>831</v>
      </c>
      <c r="C42" s="62" t="s">
        <v>892</v>
      </c>
      <c r="D42" s="62"/>
      <c r="E42" s="62"/>
      <c r="F42" s="62" t="s">
        <v>8</v>
      </c>
      <c r="G42" s="62" t="e">
        <v>#N/A</v>
      </c>
      <c r="H42" s="62"/>
      <c r="I42" s="62"/>
      <c r="J42" s="63"/>
      <c r="K42" s="63"/>
      <c r="L42" s="62"/>
      <c r="M42" s="62"/>
      <c r="N42" s="62"/>
      <c r="O42" s="62" t="str">
        <f t="shared" si="0"/>
        <v>IU56_APJ GNCS Hyperconverged Wipro</v>
      </c>
      <c r="P42" s="62" t="s">
        <v>2177</v>
      </c>
      <c r="Q42" s="62" t="s">
        <v>896</v>
      </c>
      <c r="R42" s="62"/>
      <c r="S42" s="64"/>
      <c r="T42" s="62" t="s">
        <v>897</v>
      </c>
      <c r="U42" s="62"/>
      <c r="V42" s="65" t="s">
        <v>1886</v>
      </c>
      <c r="W42" s="65">
        <v>0</v>
      </c>
      <c r="X42" s="62"/>
      <c r="Y42" s="66" t="e">
        <v>#N/A</v>
      </c>
      <c r="Z42" s="62" t="e">
        <v>#N/A</v>
      </c>
      <c r="AA42" s="62"/>
      <c r="AB42" s="62" t="s">
        <v>2210</v>
      </c>
      <c r="AC42" s="62" t="e">
        <v>#N/A</v>
      </c>
    </row>
    <row r="43" spans="1:29" ht="15" customHeight="1" outlineLevel="1" x14ac:dyDescent="0.3">
      <c r="A43" s="62" t="s">
        <v>785</v>
      </c>
      <c r="B43" s="62" t="s">
        <v>786</v>
      </c>
      <c r="C43" s="62" t="s">
        <v>892</v>
      </c>
      <c r="D43" s="62"/>
      <c r="E43" s="62" t="s">
        <v>609</v>
      </c>
      <c r="F43" s="62" t="s">
        <v>8</v>
      </c>
      <c r="G43" s="62" t="e">
        <v>#N/A</v>
      </c>
      <c r="H43" s="62" t="s">
        <v>906</v>
      </c>
      <c r="I43" s="62" t="e">
        <v>#N/A</v>
      </c>
      <c r="J43" s="63">
        <v>0.629</v>
      </c>
      <c r="K43" s="63"/>
      <c r="L43" s="62"/>
      <c r="M43" s="62" t="e">
        <v>#N/A</v>
      </c>
      <c r="N43" s="62"/>
      <c r="O43" s="62" t="str">
        <f t="shared" si="0"/>
        <v>IV01_IND VX Rail Storage</v>
      </c>
      <c r="P43" s="62" t="s">
        <v>2187</v>
      </c>
      <c r="Q43" s="62" t="s">
        <v>896</v>
      </c>
      <c r="R43" s="62"/>
      <c r="S43" s="64"/>
      <c r="T43" s="62" t="s">
        <v>897</v>
      </c>
      <c r="U43" s="62"/>
      <c r="V43" s="65" t="s">
        <v>1886</v>
      </c>
      <c r="W43" s="65">
        <v>0</v>
      </c>
      <c r="X43" s="62"/>
      <c r="Y43" s="66" t="e">
        <v>#N/A</v>
      </c>
      <c r="Z43" s="62" t="e">
        <v>#N/A</v>
      </c>
      <c r="AA43" s="62"/>
      <c r="AB43" s="62" t="s">
        <v>2208</v>
      </c>
      <c r="AC43" s="62" t="e">
        <v>#N/A</v>
      </c>
    </row>
    <row r="44" spans="1:29" ht="15" customHeight="1" outlineLevel="1" x14ac:dyDescent="0.3">
      <c r="A44" s="62" t="s">
        <v>767</v>
      </c>
      <c r="B44" s="62" t="s">
        <v>768</v>
      </c>
      <c r="C44" s="62" t="s">
        <v>892</v>
      </c>
      <c r="D44" s="62"/>
      <c r="E44" s="62" t="s">
        <v>439</v>
      </c>
      <c r="F44" s="62" t="s">
        <v>8</v>
      </c>
      <c r="G44" s="62" t="e">
        <v>#N/A</v>
      </c>
      <c r="H44" s="62" t="s">
        <v>903</v>
      </c>
      <c r="I44" s="62" t="s">
        <v>918</v>
      </c>
      <c r="J44" s="63">
        <v>0.629</v>
      </c>
      <c r="K44" s="63"/>
      <c r="L44" s="62"/>
      <c r="M44" s="62" t="s">
        <v>895</v>
      </c>
      <c r="N44" s="62"/>
      <c r="O44" s="62" t="str">
        <f t="shared" si="0"/>
        <v>JP11_Enterprise Core/ProSupport MIY</v>
      </c>
      <c r="P44" s="62" t="s">
        <v>2177</v>
      </c>
      <c r="Q44" s="62" t="s">
        <v>896</v>
      </c>
      <c r="R44" s="62">
        <v>14</v>
      </c>
      <c r="S44" s="64"/>
      <c r="T44" s="62" t="s">
        <v>897</v>
      </c>
      <c r="U44" s="62"/>
      <c r="V44" s="65" t="s">
        <v>1886</v>
      </c>
      <c r="W44" s="65">
        <v>0</v>
      </c>
      <c r="X44" s="62"/>
      <c r="Y44" s="66" t="e">
        <v>#N/A</v>
      </c>
      <c r="Z44" s="62" t="e">
        <v>#N/A</v>
      </c>
      <c r="AA44" s="62"/>
      <c r="AB44" s="62" t="s">
        <v>2217</v>
      </c>
      <c r="AC44" s="62" t="e">
        <v>#N/A</v>
      </c>
    </row>
    <row r="45" spans="1:29" ht="15" customHeight="1" outlineLevel="1" x14ac:dyDescent="0.3">
      <c r="A45" s="62" t="s">
        <v>769</v>
      </c>
      <c r="B45" s="62" t="s">
        <v>770</v>
      </c>
      <c r="C45" s="62" t="s">
        <v>892</v>
      </c>
      <c r="D45" s="62"/>
      <c r="E45" s="62" t="s">
        <v>439</v>
      </c>
      <c r="F45" s="62" t="s">
        <v>8</v>
      </c>
      <c r="G45" s="62" t="e">
        <v>#N/A</v>
      </c>
      <c r="H45" s="62" t="s">
        <v>903</v>
      </c>
      <c r="I45" s="62" t="s">
        <v>918</v>
      </c>
      <c r="J45" s="63">
        <v>0.629</v>
      </c>
      <c r="K45" s="63"/>
      <c r="L45" s="62"/>
      <c r="M45" s="62" t="s">
        <v>895</v>
      </c>
      <c r="N45" s="62"/>
      <c r="O45" s="62" t="str">
        <f t="shared" si="0"/>
        <v>JP13_Japan Storage ProSupport KAW</v>
      </c>
      <c r="P45" s="62" t="s">
        <v>2177</v>
      </c>
      <c r="Q45" s="62" t="s">
        <v>896</v>
      </c>
      <c r="R45" s="62">
        <v>14</v>
      </c>
      <c r="S45" s="64"/>
      <c r="T45" s="62" t="s">
        <v>897</v>
      </c>
      <c r="U45" s="62"/>
      <c r="V45" s="65" t="s">
        <v>1886</v>
      </c>
      <c r="W45" s="65">
        <v>0</v>
      </c>
      <c r="X45" s="62"/>
      <c r="Y45" s="66" t="e">
        <v>#N/A</v>
      </c>
      <c r="Z45" s="62" t="e">
        <v>#N/A</v>
      </c>
      <c r="AA45" s="62"/>
      <c r="AB45" s="62" t="s">
        <v>2217</v>
      </c>
      <c r="AC45" s="62" t="e">
        <v>#N/A</v>
      </c>
    </row>
    <row r="46" spans="1:29" ht="15" customHeight="1" outlineLevel="1" x14ac:dyDescent="0.3">
      <c r="A46" s="62" t="s">
        <v>763</v>
      </c>
      <c r="B46" s="62" t="s">
        <v>764</v>
      </c>
      <c r="C46" s="62" t="s">
        <v>892</v>
      </c>
      <c r="D46" s="62"/>
      <c r="E46" s="62" t="s">
        <v>266</v>
      </c>
      <c r="F46" s="62" t="s">
        <v>8</v>
      </c>
      <c r="G46" s="62" t="e">
        <v>#N/A</v>
      </c>
      <c r="H46" s="62" t="s">
        <v>903</v>
      </c>
      <c r="I46" s="62" t="s">
        <v>918</v>
      </c>
      <c r="J46" s="63">
        <v>0.629</v>
      </c>
      <c r="K46" s="63"/>
      <c r="L46" s="62"/>
      <c r="M46" s="62" t="s">
        <v>895</v>
      </c>
      <c r="N46" s="62"/>
      <c r="O46" s="62" t="str">
        <f t="shared" si="0"/>
        <v>JP19_Japan Enterprise SW-NWK</v>
      </c>
      <c r="P46" s="62" t="s">
        <v>2177</v>
      </c>
      <c r="Q46" s="62" t="s">
        <v>896</v>
      </c>
      <c r="R46" s="62">
        <v>14</v>
      </c>
      <c r="S46" s="64"/>
      <c r="T46" s="62" t="s">
        <v>897</v>
      </c>
      <c r="U46" s="62"/>
      <c r="V46" s="65" t="s">
        <v>1886</v>
      </c>
      <c r="W46" s="65">
        <v>0</v>
      </c>
      <c r="X46" s="62"/>
      <c r="Y46" s="66" t="e">
        <v>#N/A</v>
      </c>
      <c r="Z46" s="62" t="e">
        <v>#N/A</v>
      </c>
      <c r="AA46" s="62"/>
      <c r="AB46" s="62" t="s">
        <v>2217</v>
      </c>
      <c r="AC46" s="62" t="e">
        <v>#N/A</v>
      </c>
    </row>
    <row r="47" spans="1:29" ht="15" customHeight="1" outlineLevel="1" x14ac:dyDescent="0.3">
      <c r="A47" s="62" t="s">
        <v>771</v>
      </c>
      <c r="B47" s="62" t="s">
        <v>772</v>
      </c>
      <c r="C47" s="62" t="s">
        <v>892</v>
      </c>
      <c r="D47" s="62"/>
      <c r="E47" s="62" t="s">
        <v>439</v>
      </c>
      <c r="F47" s="62" t="s">
        <v>8</v>
      </c>
      <c r="G47" s="62" t="e">
        <v>#N/A</v>
      </c>
      <c r="H47" s="62" t="s">
        <v>903</v>
      </c>
      <c r="I47" s="62" t="s">
        <v>918</v>
      </c>
      <c r="J47" s="63">
        <v>0.629</v>
      </c>
      <c r="K47" s="63"/>
      <c r="L47" s="62"/>
      <c r="M47" s="62" t="s">
        <v>895</v>
      </c>
      <c r="N47" s="62"/>
      <c r="O47" s="62" t="str">
        <f t="shared" si="0"/>
        <v>JP22_Enterprise Echannel Core/Pro MIY</v>
      </c>
      <c r="P47" s="62" t="s">
        <v>2177</v>
      </c>
      <c r="Q47" s="62" t="s">
        <v>896</v>
      </c>
      <c r="R47" s="62">
        <v>14</v>
      </c>
      <c r="S47" s="64"/>
      <c r="T47" s="62" t="s">
        <v>897</v>
      </c>
      <c r="U47" s="62"/>
      <c r="V47" s="65" t="s">
        <v>1886</v>
      </c>
      <c r="W47" s="65">
        <v>0</v>
      </c>
      <c r="X47" s="62"/>
      <c r="Y47" s="66" t="e">
        <v>#N/A</v>
      </c>
      <c r="Z47" s="62" t="e">
        <v>#N/A</v>
      </c>
      <c r="AA47" s="62"/>
      <c r="AB47" s="62" t="s">
        <v>2217</v>
      </c>
      <c r="AC47" s="62" t="e">
        <v>#N/A</v>
      </c>
    </row>
    <row r="48" spans="1:29" ht="15" customHeight="1" outlineLevel="1" x14ac:dyDescent="0.3">
      <c r="A48" s="62" t="s">
        <v>832</v>
      </c>
      <c r="B48" s="62" t="s">
        <v>833</v>
      </c>
      <c r="C48" s="62" t="s">
        <v>892</v>
      </c>
      <c r="D48" s="62"/>
      <c r="E48" s="62"/>
      <c r="F48" s="62" t="s">
        <v>8</v>
      </c>
      <c r="G48" s="62" t="e">
        <v>#N/A</v>
      </c>
      <c r="H48" s="62"/>
      <c r="I48" s="62"/>
      <c r="J48" s="63"/>
      <c r="K48" s="63"/>
      <c r="L48" s="62"/>
      <c r="M48" s="62"/>
      <c r="N48" s="62"/>
      <c r="O48" s="62" t="str">
        <f t="shared" si="0"/>
        <v>JP27_Enterprise Alt-channel JPN</v>
      </c>
      <c r="P48" s="62" t="s">
        <v>2177</v>
      </c>
      <c r="Q48" s="62" t="s">
        <v>896</v>
      </c>
      <c r="R48" s="62"/>
      <c r="S48" s="64"/>
      <c r="T48" s="62" t="s">
        <v>897</v>
      </c>
      <c r="U48" s="62"/>
      <c r="V48" s="65" t="s">
        <v>1886</v>
      </c>
      <c r="W48" s="65">
        <v>0</v>
      </c>
      <c r="X48" s="62"/>
      <c r="Y48" s="66" t="e">
        <v>#N/A</v>
      </c>
      <c r="Z48" s="62" t="e">
        <v>#N/A</v>
      </c>
      <c r="AA48" s="62"/>
      <c r="AB48" s="62" t="s">
        <v>2217</v>
      </c>
      <c r="AC48" s="62" t="e">
        <v>#N/A</v>
      </c>
    </row>
    <row r="49" spans="1:29" ht="15" customHeight="1" outlineLevel="1" x14ac:dyDescent="0.3">
      <c r="A49" s="62" t="s">
        <v>773</v>
      </c>
      <c r="B49" s="62" t="s">
        <v>774</v>
      </c>
      <c r="C49" s="62" t="s">
        <v>892</v>
      </c>
      <c r="D49" s="62"/>
      <c r="E49" s="62" t="s">
        <v>439</v>
      </c>
      <c r="F49" s="62" t="s">
        <v>8</v>
      </c>
      <c r="G49" s="62" t="e">
        <v>#N/A</v>
      </c>
      <c r="H49" s="62" t="s">
        <v>903</v>
      </c>
      <c r="I49" s="62" t="s">
        <v>1063</v>
      </c>
      <c r="J49" s="63">
        <v>0.629</v>
      </c>
      <c r="K49" s="63"/>
      <c r="L49" s="62"/>
      <c r="M49" s="62" t="s">
        <v>895</v>
      </c>
      <c r="N49" s="62"/>
      <c r="O49" s="62" t="str">
        <f t="shared" si="0"/>
        <v>KR06_Enterprise ProSupport KOR</v>
      </c>
      <c r="P49" s="62" t="s">
        <v>2177</v>
      </c>
      <c r="Q49" s="62" t="s">
        <v>896</v>
      </c>
      <c r="R49" s="62">
        <v>14</v>
      </c>
      <c r="S49" s="64"/>
      <c r="T49" s="62" t="s">
        <v>897</v>
      </c>
      <c r="U49" s="62"/>
      <c r="V49" s="65" t="s">
        <v>1886</v>
      </c>
      <c r="W49" s="65">
        <v>0</v>
      </c>
      <c r="X49" s="62"/>
      <c r="Y49" s="66" t="e">
        <v>#N/A</v>
      </c>
      <c r="Z49" s="62" t="e">
        <v>#N/A</v>
      </c>
      <c r="AA49" s="62"/>
      <c r="AB49" s="62" t="s">
        <v>2212</v>
      </c>
      <c r="AC49" s="62" t="e">
        <v>#N/A</v>
      </c>
    </row>
    <row r="50" spans="1:29" ht="15" customHeight="1" outlineLevel="1" x14ac:dyDescent="0.3">
      <c r="A50" s="62" t="s">
        <v>728</v>
      </c>
      <c r="B50" s="62" t="s">
        <v>729</v>
      </c>
      <c r="C50" s="62" t="s">
        <v>1851</v>
      </c>
      <c r="D50" s="62"/>
      <c r="E50" s="62" t="s">
        <v>440</v>
      </c>
      <c r="F50" s="62" t="s">
        <v>8</v>
      </c>
      <c r="G50" s="62" t="e">
        <v>#N/A</v>
      </c>
      <c r="H50" s="62" t="s">
        <v>929</v>
      </c>
      <c r="I50" s="62" t="s">
        <v>929</v>
      </c>
      <c r="J50" s="63">
        <v>0.63300000000000001</v>
      </c>
      <c r="K50" s="63"/>
      <c r="L50" s="62"/>
      <c r="M50" s="62" t="s">
        <v>895</v>
      </c>
      <c r="N50" s="62"/>
      <c r="O50" s="62" t="str">
        <f t="shared" si="0"/>
        <v>LFT1_SSO Quality Lets Fix It</v>
      </c>
      <c r="P50" s="62" t="s">
        <v>2177</v>
      </c>
      <c r="Q50" s="62" t="s">
        <v>896</v>
      </c>
      <c r="R50" s="62">
        <v>14</v>
      </c>
      <c r="S50" s="64"/>
      <c r="T50" s="62" t="s">
        <v>897</v>
      </c>
      <c r="U50" s="62"/>
      <c r="V50" s="65" t="s">
        <v>1886</v>
      </c>
      <c r="W50" s="65">
        <v>1</v>
      </c>
      <c r="X50" s="62"/>
      <c r="Y50" s="66" t="e">
        <v>#N/A</v>
      </c>
      <c r="Z50" s="62" t="e">
        <v>#N/A</v>
      </c>
      <c r="AA50" s="62"/>
      <c r="AB50" s="62" t="s">
        <v>2208</v>
      </c>
      <c r="AC50" s="62" t="e">
        <v>#N/A</v>
      </c>
    </row>
    <row r="51" spans="1:29" ht="15" customHeight="1" outlineLevel="1" x14ac:dyDescent="0.3">
      <c r="A51" s="62" t="s">
        <v>834</v>
      </c>
      <c r="B51" s="62" t="s">
        <v>835</v>
      </c>
      <c r="C51" s="62" t="s">
        <v>892</v>
      </c>
      <c r="D51" s="62"/>
      <c r="E51" s="62"/>
      <c r="F51" s="62" t="s">
        <v>8</v>
      </c>
      <c r="G51" s="62" t="e">
        <v>#N/A</v>
      </c>
      <c r="H51" s="62"/>
      <c r="I51" s="62"/>
      <c r="J51" s="63"/>
      <c r="K51" s="63"/>
      <c r="L51" s="62"/>
      <c r="M51" s="62"/>
      <c r="N51" s="62"/>
      <c r="O51" s="62" t="str">
        <f t="shared" si="0"/>
        <v>MY13_Enterprise ProSupport ANZ/SA</v>
      </c>
      <c r="P51" s="62" t="s">
        <v>2177</v>
      </c>
      <c r="Q51" s="62" t="s">
        <v>896</v>
      </c>
      <c r="R51" s="62"/>
      <c r="S51" s="64"/>
      <c r="T51" s="62" t="s">
        <v>897</v>
      </c>
      <c r="U51" s="62"/>
      <c r="V51" s="65" t="s">
        <v>1886</v>
      </c>
      <c r="W51" s="65">
        <v>0</v>
      </c>
      <c r="X51" s="62"/>
      <c r="Y51" s="66" t="e">
        <v>#N/A</v>
      </c>
      <c r="Z51" s="62" t="e">
        <v>#N/A</v>
      </c>
      <c r="AA51" s="62"/>
      <c r="AB51" s="62" t="s">
        <v>2208</v>
      </c>
      <c r="AC51" s="62" t="e">
        <v>#N/A</v>
      </c>
    </row>
    <row r="52" spans="1:29" ht="15" customHeight="1" outlineLevel="1" x14ac:dyDescent="0.3">
      <c r="A52" s="62" t="s">
        <v>559</v>
      </c>
      <c r="B52" s="62" t="s">
        <v>560</v>
      </c>
      <c r="C52" s="62" t="s">
        <v>892</v>
      </c>
      <c r="D52" s="62" t="s">
        <v>439</v>
      </c>
      <c r="E52" s="62" t="s">
        <v>439</v>
      </c>
      <c r="F52" s="62" t="s">
        <v>8</v>
      </c>
      <c r="G52" s="62" t="e">
        <v>#N/A</v>
      </c>
      <c r="H52" s="62" t="s">
        <v>893</v>
      </c>
      <c r="I52" s="62" t="s">
        <v>894</v>
      </c>
      <c r="J52" s="63">
        <v>0.64800000000000002</v>
      </c>
      <c r="K52" s="63"/>
      <c r="L52" s="62"/>
      <c r="M52" s="62" t="s">
        <v>931</v>
      </c>
      <c r="N52" s="62" t="s">
        <v>916</v>
      </c>
      <c r="O52" s="62" t="str">
        <f t="shared" si="0"/>
        <v>NE04_Enterprise Triage Queue US</v>
      </c>
      <c r="P52" s="62" t="s">
        <v>2185</v>
      </c>
      <c r="Q52" s="62" t="s">
        <v>896</v>
      </c>
      <c r="R52" s="62">
        <v>8</v>
      </c>
      <c r="S52" s="64"/>
      <c r="T52" s="62" t="s">
        <v>897</v>
      </c>
      <c r="U52" s="62"/>
      <c r="V52" s="65" t="s">
        <v>1886</v>
      </c>
      <c r="W52" s="65">
        <v>0</v>
      </c>
      <c r="X52" s="62"/>
      <c r="Y52" s="66" t="e">
        <v>#N/A</v>
      </c>
      <c r="Z52" s="62" t="e">
        <v>#N/A</v>
      </c>
      <c r="AA52" s="62"/>
      <c r="AB52" s="62" t="s">
        <v>2208</v>
      </c>
      <c r="AC52" s="62" t="e">
        <v>#N/A</v>
      </c>
    </row>
    <row r="53" spans="1:29" ht="15" customHeight="1" outlineLevel="1" x14ac:dyDescent="0.3">
      <c r="A53" s="62" t="s">
        <v>563</v>
      </c>
      <c r="B53" s="62" t="s">
        <v>564</v>
      </c>
      <c r="C53" s="62" t="s">
        <v>892</v>
      </c>
      <c r="D53" s="62" t="s">
        <v>439</v>
      </c>
      <c r="E53" s="62" t="s">
        <v>439</v>
      </c>
      <c r="F53" s="62" t="s">
        <v>8</v>
      </c>
      <c r="G53" s="62" t="e">
        <v>#N/A</v>
      </c>
      <c r="H53" s="62" t="s">
        <v>893</v>
      </c>
      <c r="I53" s="62" t="s">
        <v>894</v>
      </c>
      <c r="J53" s="63">
        <v>0.64800000000000002</v>
      </c>
      <c r="K53" s="63"/>
      <c r="L53" s="62"/>
      <c r="M53" s="62" t="s">
        <v>931</v>
      </c>
      <c r="N53" s="62"/>
      <c r="O53" s="62" t="str">
        <f t="shared" si="0"/>
        <v>NE08_NA Server Basic Chat (BNG)</v>
      </c>
      <c r="P53" s="62" t="s">
        <v>2177</v>
      </c>
      <c r="Q53" s="62" t="s">
        <v>896</v>
      </c>
      <c r="R53" s="62">
        <v>8</v>
      </c>
      <c r="S53" s="64"/>
      <c r="T53" s="62" t="s">
        <v>897</v>
      </c>
      <c r="U53" s="62"/>
      <c r="V53" s="65" t="s">
        <v>1886</v>
      </c>
      <c r="W53" s="65">
        <v>0</v>
      </c>
      <c r="X53" s="62"/>
      <c r="Y53" s="66" t="e">
        <v>#N/A</v>
      </c>
      <c r="Z53" s="62" t="e">
        <v>#N/A</v>
      </c>
      <c r="AA53" s="62"/>
      <c r="AB53" s="62" t="s">
        <v>2208</v>
      </c>
      <c r="AC53" s="62" t="e">
        <v>#N/A</v>
      </c>
    </row>
    <row r="54" spans="1:29" ht="15" customHeight="1" outlineLevel="1" x14ac:dyDescent="0.3">
      <c r="A54" s="62" t="s">
        <v>565</v>
      </c>
      <c r="B54" s="62" t="s">
        <v>566</v>
      </c>
      <c r="C54" s="62" t="s">
        <v>1853</v>
      </c>
      <c r="D54" s="62" t="s">
        <v>439</v>
      </c>
      <c r="E54" s="62" t="s">
        <v>439</v>
      </c>
      <c r="F54" s="62" t="s">
        <v>8</v>
      </c>
      <c r="G54" s="62" t="e">
        <v>#N/A</v>
      </c>
      <c r="H54" s="62" t="s">
        <v>893</v>
      </c>
      <c r="I54" s="62" t="s">
        <v>894</v>
      </c>
      <c r="J54" s="63">
        <v>0.64800000000000002</v>
      </c>
      <c r="K54" s="63">
        <v>2.0441445869264104E-2</v>
      </c>
      <c r="L54" s="62"/>
      <c r="M54" s="62" t="s">
        <v>931</v>
      </c>
      <c r="N54" s="62"/>
      <c r="O54" s="62" t="str">
        <f t="shared" si="0"/>
        <v>NE09_NA Server Basic (BNG)</v>
      </c>
      <c r="P54" s="62" t="s">
        <v>2177</v>
      </c>
      <c r="Q54" s="62" t="s">
        <v>896</v>
      </c>
      <c r="R54" s="62">
        <v>8</v>
      </c>
      <c r="S54" s="64"/>
      <c r="T54" s="62" t="s">
        <v>897</v>
      </c>
      <c r="U54" s="62"/>
      <c r="V54" s="65" t="s">
        <v>1886</v>
      </c>
      <c r="W54" s="65">
        <v>1</v>
      </c>
      <c r="X54" s="62"/>
      <c r="Y54" s="66" t="e">
        <v>#N/A</v>
      </c>
      <c r="Z54" s="62" t="e">
        <v>#N/A</v>
      </c>
      <c r="AA54" s="62"/>
      <c r="AB54" s="62" t="s">
        <v>2208</v>
      </c>
      <c r="AC54" s="62" t="e">
        <v>#N/A</v>
      </c>
    </row>
    <row r="55" spans="1:29" ht="15" customHeight="1" outlineLevel="1" x14ac:dyDescent="0.3">
      <c r="A55" s="62" t="s">
        <v>1096</v>
      </c>
      <c r="B55" s="62" t="s">
        <v>1097</v>
      </c>
      <c r="C55" s="62" t="s">
        <v>892</v>
      </c>
      <c r="D55" s="62"/>
      <c r="E55" s="62" t="s">
        <v>440</v>
      </c>
      <c r="F55" s="62" t="s">
        <v>900</v>
      </c>
      <c r="G55" s="62" t="e">
        <v>#N/A</v>
      </c>
      <c r="H55" s="62" t="s">
        <v>929</v>
      </c>
      <c r="I55" s="62" t="s">
        <v>929</v>
      </c>
      <c r="J55" s="63">
        <v>0.63300000000000001</v>
      </c>
      <c r="K55" s="63"/>
      <c r="L55" s="62"/>
      <c r="M55" s="62" t="s">
        <v>895</v>
      </c>
      <c r="N55" s="62"/>
      <c r="O55" s="62" t="str">
        <f t="shared" si="0"/>
        <v>NF03_APJ NR-FLS</v>
      </c>
      <c r="P55" s="62" t="s">
        <v>2177</v>
      </c>
      <c r="Q55" s="62" t="s">
        <v>896</v>
      </c>
      <c r="R55" s="62">
        <v>14</v>
      </c>
      <c r="S55" s="64"/>
      <c r="T55" s="62" t="s">
        <v>897</v>
      </c>
      <c r="U55" s="62"/>
      <c r="V55" s="65" t="s">
        <v>1886</v>
      </c>
      <c r="W55" s="65">
        <v>0</v>
      </c>
      <c r="X55" s="62"/>
      <c r="Y55" s="66" t="e">
        <v>#N/A</v>
      </c>
      <c r="Z55" s="62" t="e">
        <v>#N/A</v>
      </c>
      <c r="AA55" s="62"/>
      <c r="AB55" s="62" t="s">
        <v>2210</v>
      </c>
      <c r="AC55" s="62" t="e">
        <v>#N/A</v>
      </c>
    </row>
    <row r="56" spans="1:29" ht="15" customHeight="1" outlineLevel="1" x14ac:dyDescent="0.3">
      <c r="A56" s="62" t="s">
        <v>662</v>
      </c>
      <c r="B56" s="62" t="s">
        <v>663</v>
      </c>
      <c r="C56" s="62" t="s">
        <v>892</v>
      </c>
      <c r="D56" s="62" t="s">
        <v>609</v>
      </c>
      <c r="E56" s="62" t="s">
        <v>609</v>
      </c>
      <c r="F56" s="62" t="s">
        <v>8</v>
      </c>
      <c r="G56" s="62" t="s">
        <v>2249</v>
      </c>
      <c r="H56" s="62" t="s">
        <v>893</v>
      </c>
      <c r="I56" s="62" t="s">
        <v>894</v>
      </c>
      <c r="J56" s="63">
        <v>0.64800000000000002</v>
      </c>
      <c r="K56" s="63"/>
      <c r="L56" s="62"/>
      <c r="M56" s="62" t="s">
        <v>931</v>
      </c>
      <c r="N56" s="62" t="s">
        <v>916</v>
      </c>
      <c r="O56" s="62" t="str">
        <f t="shared" si="0"/>
        <v>PS10_Powerstore US</v>
      </c>
      <c r="P56" s="62" t="s">
        <v>2185</v>
      </c>
      <c r="Q56" s="62" t="s">
        <v>896</v>
      </c>
      <c r="R56" s="62">
        <v>8</v>
      </c>
      <c r="S56" s="64"/>
      <c r="T56" s="62" t="s">
        <v>897</v>
      </c>
      <c r="U56" s="62"/>
      <c r="V56" s="65" t="s">
        <v>1886</v>
      </c>
      <c r="W56" s="65">
        <v>0</v>
      </c>
      <c r="X56" s="62"/>
      <c r="Y56" s="66" t="e">
        <v>#N/A</v>
      </c>
      <c r="Z56" s="62" t="e">
        <v>#N/A</v>
      </c>
      <c r="AA56" s="62"/>
      <c r="AB56" s="62" t="s">
        <v>2208</v>
      </c>
      <c r="AC56" s="62" t="e">
        <v>#N/A</v>
      </c>
    </row>
    <row r="57" spans="1:29" ht="15" customHeight="1" outlineLevel="1" x14ac:dyDescent="0.3">
      <c r="A57" s="62" t="s">
        <v>842</v>
      </c>
      <c r="B57" s="62" t="s">
        <v>843</v>
      </c>
      <c r="C57" s="62" t="s">
        <v>892</v>
      </c>
      <c r="D57" s="62"/>
      <c r="E57" s="62"/>
      <c r="F57" s="62" t="s">
        <v>8</v>
      </c>
      <c r="G57" s="62" t="e">
        <v>#N/A</v>
      </c>
      <c r="H57" s="62"/>
      <c r="I57" s="62"/>
      <c r="J57" s="63"/>
      <c r="K57" s="63"/>
      <c r="L57" s="62"/>
      <c r="M57" s="62"/>
      <c r="N57" s="62"/>
      <c r="O57" s="62" t="str">
        <f t="shared" si="0"/>
        <v>RL02_CPS Chat ROLA</v>
      </c>
      <c r="P57" s="62" t="s">
        <v>2188</v>
      </c>
      <c r="Q57" s="62" t="s">
        <v>896</v>
      </c>
      <c r="R57" s="62"/>
      <c r="S57" s="64"/>
      <c r="T57" s="62" t="s">
        <v>897</v>
      </c>
      <c r="U57" s="62"/>
      <c r="V57" s="65" t="s">
        <v>1886</v>
      </c>
      <c r="W57" s="65">
        <v>0</v>
      </c>
      <c r="X57" s="62"/>
      <c r="Y57" s="66" t="e">
        <v>#N/A</v>
      </c>
      <c r="Z57" s="62" t="e">
        <v>#N/A</v>
      </c>
      <c r="AA57" s="62"/>
      <c r="AB57" s="62" t="s">
        <v>2216</v>
      </c>
      <c r="AC57" s="62" t="e">
        <v>#N/A</v>
      </c>
    </row>
    <row r="58" spans="1:29" ht="15" customHeight="1" outlineLevel="1" x14ac:dyDescent="0.3">
      <c r="A58" s="62" t="s">
        <v>775</v>
      </c>
      <c r="B58" s="62" t="s">
        <v>776</v>
      </c>
      <c r="C58" s="62" t="s">
        <v>892</v>
      </c>
      <c r="D58" s="62"/>
      <c r="E58" s="62" t="s">
        <v>439</v>
      </c>
      <c r="F58" s="62" t="s">
        <v>8</v>
      </c>
      <c r="G58" s="62" t="s">
        <v>2249</v>
      </c>
      <c r="H58" s="62" t="s">
        <v>935</v>
      </c>
      <c r="I58" s="62" t="s">
        <v>1076</v>
      </c>
      <c r="J58" s="63">
        <v>0.626</v>
      </c>
      <c r="K58" s="63"/>
      <c r="L58" s="62"/>
      <c r="M58" s="62"/>
      <c r="N58" s="62"/>
      <c r="O58" s="62" t="str">
        <f t="shared" si="0"/>
        <v>RL09_Server ProSupport ROLA</v>
      </c>
      <c r="P58" s="62" t="s">
        <v>2177</v>
      </c>
      <c r="Q58" s="62" t="s">
        <v>896</v>
      </c>
      <c r="R58" s="62"/>
      <c r="S58" s="64"/>
      <c r="T58" s="62" t="s">
        <v>897</v>
      </c>
      <c r="U58" s="62"/>
      <c r="V58" s="65" t="s">
        <v>1886</v>
      </c>
      <c r="W58" s="65">
        <v>0</v>
      </c>
      <c r="X58" s="62"/>
      <c r="Y58" s="66" t="e">
        <v>#N/A</v>
      </c>
      <c r="Z58" s="62" t="e">
        <v>#N/A</v>
      </c>
      <c r="AA58" s="62"/>
      <c r="AB58" s="62" t="s">
        <v>2216</v>
      </c>
      <c r="AC58" s="62" t="e">
        <v>#N/A</v>
      </c>
    </row>
    <row r="59" spans="1:29" ht="15" customHeight="1" outlineLevel="1" x14ac:dyDescent="0.3">
      <c r="A59" s="62" t="s">
        <v>844</v>
      </c>
      <c r="B59" s="62" t="s">
        <v>845</v>
      </c>
      <c r="C59" s="62" t="s">
        <v>892</v>
      </c>
      <c r="D59" s="62"/>
      <c r="E59" s="62"/>
      <c r="F59" s="62" t="s">
        <v>8</v>
      </c>
      <c r="G59" s="62" t="e">
        <v>#N/A</v>
      </c>
      <c r="H59" s="62"/>
      <c r="I59" s="62"/>
      <c r="J59" s="63"/>
      <c r="K59" s="63"/>
      <c r="L59" s="62"/>
      <c r="M59" s="62"/>
      <c r="N59" s="62"/>
      <c r="O59" s="62" t="str">
        <f t="shared" si="0"/>
        <v>RL11_Proactive Systems Maintenance ROLA</v>
      </c>
      <c r="P59" s="62" t="s">
        <v>2177</v>
      </c>
      <c r="Q59" s="62" t="s">
        <v>896</v>
      </c>
      <c r="R59" s="62"/>
      <c r="S59" s="64"/>
      <c r="T59" s="62" t="s">
        <v>897</v>
      </c>
      <c r="U59" s="62"/>
      <c r="V59" s="65" t="s">
        <v>1886</v>
      </c>
      <c r="W59" s="65">
        <v>0</v>
      </c>
      <c r="X59" s="62"/>
      <c r="Y59" s="66" t="e">
        <v>#N/A</v>
      </c>
      <c r="Z59" s="62" t="e">
        <v>#N/A</v>
      </c>
      <c r="AA59" s="62"/>
      <c r="AB59" s="62" t="s">
        <v>2216</v>
      </c>
      <c r="AC59" s="62" t="e">
        <v>#N/A</v>
      </c>
    </row>
    <row r="60" spans="1:29" ht="15" customHeight="1" outlineLevel="1" x14ac:dyDescent="0.3">
      <c r="A60" s="62" t="s">
        <v>589</v>
      </c>
      <c r="B60" s="62" t="s">
        <v>590</v>
      </c>
      <c r="C60" s="62" t="s">
        <v>892</v>
      </c>
      <c r="D60" s="62" t="s">
        <v>439</v>
      </c>
      <c r="E60" s="62" t="s">
        <v>439</v>
      </c>
      <c r="F60" s="62" t="s">
        <v>8</v>
      </c>
      <c r="G60" s="62" t="s">
        <v>2249</v>
      </c>
      <c r="H60" s="62" t="s">
        <v>935</v>
      </c>
      <c r="I60" s="62" t="s">
        <v>1076</v>
      </c>
      <c r="J60" s="63">
        <v>0.626</v>
      </c>
      <c r="K60" s="63"/>
      <c r="L60" s="62"/>
      <c r="M60" s="62" t="s">
        <v>1205</v>
      </c>
      <c r="N60" s="62" t="s">
        <v>916</v>
      </c>
      <c r="O60" s="62" t="str">
        <f t="shared" si="0"/>
        <v>RL18_MMCLA LC Server Voice (PAN)</v>
      </c>
      <c r="P60" s="62" t="s">
        <v>2185</v>
      </c>
      <c r="Q60" s="62" t="s">
        <v>896</v>
      </c>
      <c r="R60" s="62">
        <v>12</v>
      </c>
      <c r="S60" s="64"/>
      <c r="T60" s="62" t="s">
        <v>897</v>
      </c>
      <c r="U60" s="62"/>
      <c r="V60" s="65" t="s">
        <v>1886</v>
      </c>
      <c r="W60" s="65">
        <v>0</v>
      </c>
      <c r="X60" s="62"/>
      <c r="Y60" s="66" t="e">
        <v>#N/A</v>
      </c>
      <c r="Z60" s="62" t="e">
        <v>#N/A</v>
      </c>
      <c r="AA60" s="62"/>
      <c r="AB60" s="62" t="s">
        <v>2216</v>
      </c>
      <c r="AC60" s="62" t="e">
        <v>#N/A</v>
      </c>
    </row>
    <row r="61" spans="1:29" ht="15" customHeight="1" outlineLevel="1" x14ac:dyDescent="0.3">
      <c r="A61" s="62" t="s">
        <v>591</v>
      </c>
      <c r="B61" s="62" t="s">
        <v>592</v>
      </c>
      <c r="C61" s="62" t="s">
        <v>892</v>
      </c>
      <c r="D61" s="62" t="s">
        <v>439</v>
      </c>
      <c r="E61" s="62" t="s">
        <v>439</v>
      </c>
      <c r="F61" s="62" t="s">
        <v>8</v>
      </c>
      <c r="G61" s="62" t="s">
        <v>2249</v>
      </c>
      <c r="H61" s="62" t="s">
        <v>935</v>
      </c>
      <c r="I61" s="62" t="s">
        <v>1076</v>
      </c>
      <c r="J61" s="63">
        <v>0.626</v>
      </c>
      <c r="K61" s="63"/>
      <c r="L61" s="62"/>
      <c r="M61" s="62" t="s">
        <v>1205</v>
      </c>
      <c r="N61" s="62" t="s">
        <v>916</v>
      </c>
      <c r="O61" s="62" t="str">
        <f t="shared" si="0"/>
        <v>RL19_MMCLA HC Server Voice (PAN)</v>
      </c>
      <c r="P61" s="62" t="s">
        <v>2185</v>
      </c>
      <c r="Q61" s="62" t="s">
        <v>896</v>
      </c>
      <c r="R61" s="62">
        <v>12</v>
      </c>
      <c r="S61" s="64"/>
      <c r="T61" s="62" t="s">
        <v>897</v>
      </c>
      <c r="U61" s="62"/>
      <c r="V61" s="65" t="s">
        <v>1886</v>
      </c>
      <c r="W61" s="65">
        <v>0</v>
      </c>
      <c r="X61" s="62"/>
      <c r="Y61" s="66" t="e">
        <v>#N/A</v>
      </c>
      <c r="Z61" s="62" t="e">
        <v>#N/A</v>
      </c>
      <c r="AA61" s="62"/>
      <c r="AB61" s="62" t="s">
        <v>2216</v>
      </c>
      <c r="AC61" s="62" t="e">
        <v>#N/A</v>
      </c>
    </row>
    <row r="62" spans="1:29" ht="15" customHeight="1" outlineLevel="1" x14ac:dyDescent="0.3">
      <c r="A62" s="62" t="s">
        <v>736</v>
      </c>
      <c r="B62" s="62" t="s">
        <v>737</v>
      </c>
      <c r="C62" s="62" t="s">
        <v>892</v>
      </c>
      <c r="D62" s="62"/>
      <c r="E62" s="62" t="s">
        <v>440</v>
      </c>
      <c r="F62" s="62" t="s">
        <v>8</v>
      </c>
      <c r="G62" s="62" t="s">
        <v>2250</v>
      </c>
      <c r="H62" s="62" t="s">
        <v>935</v>
      </c>
      <c r="I62" s="62" t="s">
        <v>1076</v>
      </c>
      <c r="J62" s="63">
        <v>0.626</v>
      </c>
      <c r="K62" s="63"/>
      <c r="L62" s="62"/>
      <c r="M62" s="62"/>
      <c r="N62" s="62"/>
      <c r="O62" s="62" t="str">
        <f t="shared" si="0"/>
        <v>RR02_ROLA Senior and Master Engineer</v>
      </c>
      <c r="P62" s="62" t="s">
        <v>2177</v>
      </c>
      <c r="Q62" s="62" t="s">
        <v>896</v>
      </c>
      <c r="R62" s="62"/>
      <c r="S62" s="64"/>
      <c r="T62" s="62" t="s">
        <v>897</v>
      </c>
      <c r="U62" s="62"/>
      <c r="V62" s="65" t="s">
        <v>1886</v>
      </c>
      <c r="W62" s="65">
        <v>0</v>
      </c>
      <c r="X62" s="62"/>
      <c r="Y62" s="66" t="e">
        <v>#N/A</v>
      </c>
      <c r="Z62" s="62" t="e">
        <v>#N/A</v>
      </c>
      <c r="AA62" s="62"/>
      <c r="AB62" s="62" t="s">
        <v>2216</v>
      </c>
      <c r="AC62" s="62" t="e">
        <v>#N/A</v>
      </c>
    </row>
    <row r="63" spans="1:29" ht="15" customHeight="1" outlineLevel="1" x14ac:dyDescent="0.3">
      <c r="A63" s="62" t="s">
        <v>11</v>
      </c>
      <c r="B63" s="62" t="s">
        <v>12</v>
      </c>
      <c r="C63" s="62" t="s">
        <v>1843</v>
      </c>
      <c r="D63" s="62" t="s">
        <v>5</v>
      </c>
      <c r="E63" s="62" t="s">
        <v>5</v>
      </c>
      <c r="F63" s="62" t="s">
        <v>900</v>
      </c>
      <c r="G63" s="62" t="e">
        <v>#N/A</v>
      </c>
      <c r="H63" s="62" t="s">
        <v>935</v>
      </c>
      <c r="I63" s="62" t="s">
        <v>936</v>
      </c>
      <c r="J63" s="63">
        <v>0.57099999999999995</v>
      </c>
      <c r="K63" s="63"/>
      <c r="L63" s="62"/>
      <c r="M63" s="62" t="s">
        <v>895</v>
      </c>
      <c r="N63" s="62"/>
      <c r="O63" s="62" t="str">
        <f t="shared" si="0"/>
        <v>RR03_Support Ops ROLA</v>
      </c>
      <c r="P63" s="62" t="s">
        <v>2177</v>
      </c>
      <c r="Q63" s="62" t="s">
        <v>896</v>
      </c>
      <c r="R63" s="62">
        <v>14</v>
      </c>
      <c r="S63" s="64"/>
      <c r="T63" s="62" t="s">
        <v>897</v>
      </c>
      <c r="U63" s="62"/>
      <c r="V63" s="65" t="s">
        <v>1886</v>
      </c>
      <c r="W63" s="65">
        <v>4</v>
      </c>
      <c r="X63" s="62"/>
      <c r="Y63" s="66" t="e">
        <v>#N/A</v>
      </c>
      <c r="Z63" s="62" t="e">
        <v>#N/A</v>
      </c>
      <c r="AA63" s="62"/>
      <c r="AB63" s="62" t="s">
        <v>2216</v>
      </c>
      <c r="AC63" s="62" t="e">
        <v>#N/A</v>
      </c>
    </row>
    <row r="64" spans="1:29" ht="15" customHeight="1" outlineLevel="1" x14ac:dyDescent="0.3">
      <c r="A64" s="62" t="s">
        <v>777</v>
      </c>
      <c r="B64" s="62" t="s">
        <v>778</v>
      </c>
      <c r="C64" s="62" t="s">
        <v>892</v>
      </c>
      <c r="D64" s="62"/>
      <c r="E64" s="62" t="s">
        <v>439</v>
      </c>
      <c r="F64" s="62" t="s">
        <v>8</v>
      </c>
      <c r="G64" s="62" t="e">
        <v>#N/A</v>
      </c>
      <c r="H64" s="62" t="s">
        <v>903</v>
      </c>
      <c r="I64" s="62" t="s">
        <v>1083</v>
      </c>
      <c r="J64" s="63">
        <v>0.629</v>
      </c>
      <c r="K64" s="63"/>
      <c r="L64" s="62"/>
      <c r="M64" s="62"/>
      <c r="N64" s="62"/>
      <c r="O64" s="62" t="str">
        <f t="shared" si="0"/>
        <v>SE02_Enterprise SA Email</v>
      </c>
      <c r="P64" s="62" t="s">
        <v>2177</v>
      </c>
      <c r="Q64" s="62" t="s">
        <v>896</v>
      </c>
      <c r="R64" s="62"/>
      <c r="S64" s="64"/>
      <c r="T64" s="62" t="s">
        <v>897</v>
      </c>
      <c r="U64" s="62"/>
      <c r="V64" s="65" t="s">
        <v>1886</v>
      </c>
      <c r="W64" s="65">
        <v>0</v>
      </c>
      <c r="X64" s="62"/>
      <c r="Y64" s="66" t="e">
        <v>#N/A</v>
      </c>
      <c r="Z64" s="62" t="e">
        <v>#N/A</v>
      </c>
      <c r="AA64" s="62"/>
      <c r="AB64" s="62" t="s">
        <v>2208</v>
      </c>
      <c r="AC64" s="62" t="e">
        <v>#N/A</v>
      </c>
    </row>
    <row r="65" spans="1:29" ht="15" customHeight="1" outlineLevel="1" x14ac:dyDescent="0.3">
      <c r="A65" s="62" t="s">
        <v>846</v>
      </c>
      <c r="B65" s="62" t="s">
        <v>847</v>
      </c>
      <c r="C65" s="62" t="s">
        <v>1843</v>
      </c>
      <c r="D65" s="62"/>
      <c r="E65" s="62"/>
      <c r="F65" s="62" t="s">
        <v>8</v>
      </c>
      <c r="G65" s="62" t="s">
        <v>2249</v>
      </c>
      <c r="H65" s="62"/>
      <c r="I65" s="62"/>
      <c r="J65" s="63"/>
      <c r="K65" s="63"/>
      <c r="L65" s="62"/>
      <c r="M65" s="62"/>
      <c r="N65" s="62"/>
      <c r="O65" s="62" t="str">
        <f t="shared" si="0"/>
        <v>SW02_SWE Client ProSupp (TUR)</v>
      </c>
      <c r="P65" s="62" t="s">
        <v>2182</v>
      </c>
      <c r="Q65" s="62" t="s">
        <v>896</v>
      </c>
      <c r="R65" s="62"/>
      <c r="S65" s="64"/>
      <c r="T65" s="62" t="s">
        <v>897</v>
      </c>
      <c r="U65" s="62"/>
      <c r="V65" s="65" t="s">
        <v>1886</v>
      </c>
      <c r="W65" s="65">
        <v>0</v>
      </c>
      <c r="X65" s="62"/>
      <c r="Y65" s="66" t="e">
        <v>#N/A</v>
      </c>
      <c r="Z65" s="62" t="e">
        <v>#N/A</v>
      </c>
      <c r="AA65" s="62"/>
      <c r="AB65" s="62" t="s">
        <v>2218</v>
      </c>
      <c r="AC65" s="62" t="e">
        <v>#N/A</v>
      </c>
    </row>
    <row r="66" spans="1:29" ht="15" customHeight="1" outlineLevel="1" x14ac:dyDescent="0.3">
      <c r="A66" s="62" t="s">
        <v>1799</v>
      </c>
      <c r="B66" s="62" t="s">
        <v>1800</v>
      </c>
      <c r="C66" s="62" t="s">
        <v>928</v>
      </c>
      <c r="D66" s="62" t="s">
        <v>439</v>
      </c>
      <c r="E66" s="62" t="s">
        <v>439</v>
      </c>
      <c r="F66" s="62" t="s">
        <v>8</v>
      </c>
      <c r="G66" s="62" t="s">
        <v>2249</v>
      </c>
      <c r="H66" s="62" t="s">
        <v>929</v>
      </c>
      <c r="I66" s="62"/>
      <c r="J66" s="63">
        <v>0.63300000000000001</v>
      </c>
      <c r="K66" s="63">
        <v>1.8670169726832081E-2</v>
      </c>
      <c r="L66" s="62"/>
      <c r="M66" s="62"/>
      <c r="N66" s="62" t="s">
        <v>916</v>
      </c>
      <c r="O66" s="62" t="str">
        <f t="shared" ref="O66:O129" si="1">A66&amp;"_"&amp;B66</f>
        <v>BT05_EMEA Server Upsell English</v>
      </c>
      <c r="P66" s="62" t="s">
        <v>2185</v>
      </c>
      <c r="Q66" s="62" t="s">
        <v>1810</v>
      </c>
      <c r="R66" s="62">
        <v>24</v>
      </c>
      <c r="S66" s="64"/>
      <c r="T66" s="62" t="s">
        <v>897</v>
      </c>
      <c r="U66" s="62">
        <v>13</v>
      </c>
      <c r="V66" s="65" t="s">
        <v>1886</v>
      </c>
      <c r="W66" s="65">
        <v>0</v>
      </c>
      <c r="X66" s="62" t="str">
        <f>VLOOKUP(A66,'CQNs Merged_Split'!B:E,4,0)</f>
        <v>Global Compute English</v>
      </c>
      <c r="Y66" s="66" t="s">
        <v>1998</v>
      </c>
      <c r="Z66" s="62" t="s">
        <v>1986</v>
      </c>
      <c r="AA66" s="62" t="str">
        <f>IFERROR("Queue Got Merged in "&amp;VLOOKUP(A66,'CQNs Merged_Split'!$B$7:$D$103,3,FALSE),"")</f>
        <v>Queue Got Merged in GC21</v>
      </c>
      <c r="AB66" s="62" t="s">
        <v>2208</v>
      </c>
      <c r="AC66" s="62" t="e">
        <v>#N/A</v>
      </c>
    </row>
    <row r="67" spans="1:29" ht="15" customHeight="1" outlineLevel="1" x14ac:dyDescent="0.3">
      <c r="A67" s="62" t="s">
        <v>30</v>
      </c>
      <c r="B67" s="62" t="s">
        <v>31</v>
      </c>
      <c r="C67" s="62" t="s">
        <v>928</v>
      </c>
      <c r="D67" s="62" t="s">
        <v>13</v>
      </c>
      <c r="E67" s="62" t="s">
        <v>13</v>
      </c>
      <c r="F67" s="62" t="s">
        <v>8</v>
      </c>
      <c r="G67" s="62" t="s">
        <v>2250</v>
      </c>
      <c r="H67" s="62" t="s">
        <v>893</v>
      </c>
      <c r="I67" s="62" t="s">
        <v>894</v>
      </c>
      <c r="J67" s="63">
        <v>0.64800000000000002</v>
      </c>
      <c r="K67" s="63"/>
      <c r="L67" s="62"/>
      <c r="M67" s="62" t="s">
        <v>931</v>
      </c>
      <c r="N67" s="62" t="s">
        <v>13</v>
      </c>
      <c r="O67" s="62" t="str">
        <f t="shared" si="1"/>
        <v>CTE2_NA CTE Server</v>
      </c>
      <c r="P67" s="62" t="s">
        <v>2185</v>
      </c>
      <c r="Q67" s="62" t="s">
        <v>1810</v>
      </c>
      <c r="R67" s="62">
        <v>8</v>
      </c>
      <c r="S67" s="64"/>
      <c r="T67" s="62" t="s">
        <v>897</v>
      </c>
      <c r="U67" s="62"/>
      <c r="V67" s="65" t="s">
        <v>1886</v>
      </c>
      <c r="W67" s="65">
        <v>0</v>
      </c>
      <c r="X67" s="62"/>
      <c r="Y67" s="66" t="s">
        <v>1991</v>
      </c>
      <c r="Z67" s="62" t="s">
        <v>1972</v>
      </c>
      <c r="AA67" s="62"/>
      <c r="AB67" s="62" t="s">
        <v>2208</v>
      </c>
      <c r="AC67" s="62" t="e">
        <v>#N/A</v>
      </c>
    </row>
    <row r="68" spans="1:29" ht="15" customHeight="1" outlineLevel="1" x14ac:dyDescent="0.3">
      <c r="A68" s="62" t="s">
        <v>477</v>
      </c>
      <c r="B68" s="62" t="s">
        <v>478</v>
      </c>
      <c r="C68" s="62" t="s">
        <v>928</v>
      </c>
      <c r="D68" s="62" t="s">
        <v>439</v>
      </c>
      <c r="E68" s="62" t="s">
        <v>439</v>
      </c>
      <c r="F68" s="62" t="s">
        <v>8</v>
      </c>
      <c r="G68" s="62" t="s">
        <v>2249</v>
      </c>
      <c r="H68" s="62" t="s">
        <v>912</v>
      </c>
      <c r="I68" s="62" t="s">
        <v>1008</v>
      </c>
      <c r="J68" s="63">
        <v>0.61699999999999999</v>
      </c>
      <c r="K68" s="63">
        <v>1.7361111111111112E-2</v>
      </c>
      <c r="L68" s="62"/>
      <c r="M68" s="62" t="s">
        <v>939</v>
      </c>
      <c r="N68" s="62" t="s">
        <v>916</v>
      </c>
      <c r="O68" s="62" t="str">
        <f t="shared" si="1"/>
        <v>DE07_GER ProSupp Server Email (HAL)</v>
      </c>
      <c r="P68" s="62" t="s">
        <v>2186</v>
      </c>
      <c r="Q68" s="62" t="s">
        <v>1810</v>
      </c>
      <c r="R68" s="62">
        <v>7</v>
      </c>
      <c r="S68" s="64"/>
      <c r="T68" s="62" t="s">
        <v>897</v>
      </c>
      <c r="U68" s="62"/>
      <c r="V68" s="65" t="s">
        <v>1886</v>
      </c>
      <c r="W68" s="65">
        <v>0</v>
      </c>
      <c r="X68" s="62"/>
      <c r="Y68" s="66" t="s">
        <v>1993</v>
      </c>
      <c r="Z68" s="62" t="s">
        <v>1986</v>
      </c>
      <c r="AA68" s="62"/>
      <c r="AB68" s="62" t="s">
        <v>2213</v>
      </c>
      <c r="AC68" s="62" t="e">
        <v>#N/A</v>
      </c>
    </row>
    <row r="69" spans="1:29" ht="15" customHeight="1" outlineLevel="1" x14ac:dyDescent="0.3">
      <c r="A69" s="62" t="s">
        <v>479</v>
      </c>
      <c r="B69" s="62" t="s">
        <v>480</v>
      </c>
      <c r="C69" s="62" t="s">
        <v>928</v>
      </c>
      <c r="D69" s="62" t="s">
        <v>439</v>
      </c>
      <c r="E69" s="62" t="s">
        <v>439</v>
      </c>
      <c r="F69" s="62" t="s">
        <v>8</v>
      </c>
      <c r="G69" s="62" t="s">
        <v>2249</v>
      </c>
      <c r="H69" s="62" t="s">
        <v>912</v>
      </c>
      <c r="I69" s="62" t="s">
        <v>1008</v>
      </c>
      <c r="J69" s="63">
        <v>0.61699999999999999</v>
      </c>
      <c r="K69" s="63">
        <v>2.4305555555555552E-2</v>
      </c>
      <c r="L69" s="62"/>
      <c r="M69" s="62" t="s">
        <v>939</v>
      </c>
      <c r="N69" s="62" t="s">
        <v>916</v>
      </c>
      <c r="O69" s="62" t="str">
        <f t="shared" si="1"/>
        <v>DE08_GER Modular (HAL)</v>
      </c>
      <c r="P69" s="62" t="s">
        <v>2186</v>
      </c>
      <c r="Q69" s="62" t="s">
        <v>1810</v>
      </c>
      <c r="R69" s="62">
        <v>7</v>
      </c>
      <c r="S69" s="64"/>
      <c r="T69" s="62" t="s">
        <v>897</v>
      </c>
      <c r="U69" s="62"/>
      <c r="V69" s="65" t="s">
        <v>1886</v>
      </c>
      <c r="W69" s="65">
        <v>0</v>
      </c>
      <c r="X69" s="62"/>
      <c r="Y69" s="66" t="s">
        <v>1993</v>
      </c>
      <c r="Z69" s="62" t="s">
        <v>1986</v>
      </c>
      <c r="AA69" s="62"/>
      <c r="AB69" s="62" t="s">
        <v>2213</v>
      </c>
      <c r="AC69" s="62" t="e">
        <v>#N/A</v>
      </c>
    </row>
    <row r="70" spans="1:29" ht="15" customHeight="1" outlineLevel="1" x14ac:dyDescent="0.3">
      <c r="A70" s="62" t="s">
        <v>485</v>
      </c>
      <c r="B70" s="62" t="s">
        <v>1865</v>
      </c>
      <c r="C70" s="62" t="s">
        <v>928</v>
      </c>
      <c r="D70" s="62" t="s">
        <v>439</v>
      </c>
      <c r="E70" s="62" t="s">
        <v>439</v>
      </c>
      <c r="F70" s="62" t="s">
        <v>8</v>
      </c>
      <c r="G70" s="62" t="s">
        <v>2249</v>
      </c>
      <c r="H70" s="62" t="s">
        <v>912</v>
      </c>
      <c r="I70" s="62" t="s">
        <v>1008</v>
      </c>
      <c r="J70" s="63">
        <v>0.61699999999999999</v>
      </c>
      <c r="K70" s="63">
        <v>1.119402985074627E-2</v>
      </c>
      <c r="L70" s="62"/>
      <c r="M70" s="62" t="s">
        <v>939</v>
      </c>
      <c r="N70" s="62" t="s">
        <v>916</v>
      </c>
      <c r="O70" s="62" t="str">
        <f t="shared" si="1"/>
        <v>DE13_GER Enterprise (HAL)</v>
      </c>
      <c r="P70" s="62" t="s">
        <v>2186</v>
      </c>
      <c r="Q70" s="62" t="s">
        <v>1810</v>
      </c>
      <c r="R70" s="62">
        <v>7</v>
      </c>
      <c r="S70" s="64"/>
      <c r="T70" s="62" t="s">
        <v>897</v>
      </c>
      <c r="U70" s="62"/>
      <c r="V70" s="65" t="s">
        <v>1886</v>
      </c>
      <c r="W70" s="65">
        <v>0</v>
      </c>
      <c r="X70" s="62"/>
      <c r="Y70" s="66" t="s">
        <v>1993</v>
      </c>
      <c r="Z70" s="62" t="s">
        <v>1986</v>
      </c>
      <c r="AA70" s="62"/>
      <c r="AB70" s="62" t="s">
        <v>2213</v>
      </c>
      <c r="AC70" s="62" t="e">
        <v>#N/A</v>
      </c>
    </row>
    <row r="71" spans="1:29" ht="15" customHeight="1" outlineLevel="1" x14ac:dyDescent="0.3">
      <c r="A71" s="62" t="s">
        <v>499</v>
      </c>
      <c r="B71" s="62" t="s">
        <v>500</v>
      </c>
      <c r="C71" s="62" t="s">
        <v>928</v>
      </c>
      <c r="D71" s="62" t="s">
        <v>439</v>
      </c>
      <c r="E71" s="62" t="s">
        <v>439</v>
      </c>
      <c r="F71" s="62" t="s">
        <v>8</v>
      </c>
      <c r="G71" s="62" t="s">
        <v>2249</v>
      </c>
      <c r="H71" s="62" t="s">
        <v>912</v>
      </c>
      <c r="I71" s="62" t="s">
        <v>1006</v>
      </c>
      <c r="J71" s="63">
        <v>0.61699999999999999</v>
      </c>
      <c r="K71" s="63">
        <v>3.8967379973253502E-2</v>
      </c>
      <c r="L71" s="62"/>
      <c r="M71" s="62" t="s">
        <v>1015</v>
      </c>
      <c r="N71" s="62" t="s">
        <v>916</v>
      </c>
      <c r="O71" s="62" t="str">
        <f t="shared" si="1"/>
        <v>EC30_EC Basic Enterprise (CAS)</v>
      </c>
      <c r="P71" s="62" t="s">
        <v>2186</v>
      </c>
      <c r="Q71" s="62" t="s">
        <v>1810</v>
      </c>
      <c r="R71" s="62">
        <v>10</v>
      </c>
      <c r="S71" s="64"/>
      <c r="T71" s="62" t="s">
        <v>897</v>
      </c>
      <c r="U71" s="62"/>
      <c r="V71" s="65" t="s">
        <v>1886</v>
      </c>
      <c r="W71" s="65">
        <v>0</v>
      </c>
      <c r="X71" s="62"/>
      <c r="Y71" s="66" t="s">
        <v>2008</v>
      </c>
      <c r="Z71" s="62" t="s">
        <v>2007</v>
      </c>
      <c r="AA71" s="62"/>
      <c r="AB71" s="62" t="s">
        <v>2219</v>
      </c>
      <c r="AC71" s="62" t="e">
        <v>#N/A</v>
      </c>
    </row>
    <row r="72" spans="1:29" ht="15" customHeight="1" outlineLevel="1" x14ac:dyDescent="0.3">
      <c r="A72" s="62" t="s">
        <v>501</v>
      </c>
      <c r="B72" s="62" t="s">
        <v>502</v>
      </c>
      <c r="C72" s="62" t="s">
        <v>928</v>
      </c>
      <c r="D72" s="62" t="s">
        <v>439</v>
      </c>
      <c r="E72" s="62" t="s">
        <v>439</v>
      </c>
      <c r="F72" s="62" t="s">
        <v>8</v>
      </c>
      <c r="G72" s="62" t="s">
        <v>2249</v>
      </c>
      <c r="H72" s="62" t="s">
        <v>912</v>
      </c>
      <c r="I72" s="62" t="s">
        <v>1006</v>
      </c>
      <c r="J72" s="63">
        <v>0.61699999999999999</v>
      </c>
      <c r="K72" s="63">
        <v>3.8967379973253502E-2</v>
      </c>
      <c r="L72" s="62"/>
      <c r="M72" s="62" t="s">
        <v>1015</v>
      </c>
      <c r="N72" s="62" t="s">
        <v>916</v>
      </c>
      <c r="O72" s="62" t="str">
        <f t="shared" si="1"/>
        <v>EC32_EC ProSupp Server Arabic (CAS)</v>
      </c>
      <c r="P72" s="62" t="s">
        <v>2184</v>
      </c>
      <c r="Q72" s="62" t="s">
        <v>1810</v>
      </c>
      <c r="R72" s="62">
        <v>10</v>
      </c>
      <c r="S72" s="64"/>
      <c r="T72" s="62" t="s">
        <v>897</v>
      </c>
      <c r="U72" s="62"/>
      <c r="V72" s="65" t="s">
        <v>1886</v>
      </c>
      <c r="W72" s="65">
        <v>0</v>
      </c>
      <c r="X72" s="62"/>
      <c r="Y72" s="66" t="s">
        <v>2006</v>
      </c>
      <c r="Z72" s="62" t="s">
        <v>2007</v>
      </c>
      <c r="AA72" s="62"/>
      <c r="AB72" s="62" t="s">
        <v>2219</v>
      </c>
      <c r="AC72" s="62" t="e">
        <v>#N/A</v>
      </c>
    </row>
    <row r="73" spans="1:29" ht="15" customHeight="1" outlineLevel="1" x14ac:dyDescent="0.3">
      <c r="A73" s="62" t="s">
        <v>509</v>
      </c>
      <c r="B73" s="62" t="s">
        <v>510</v>
      </c>
      <c r="C73" s="62" t="s">
        <v>928</v>
      </c>
      <c r="D73" s="62" t="s">
        <v>439</v>
      </c>
      <c r="E73" s="62" t="s">
        <v>439</v>
      </c>
      <c r="F73" s="62" t="s">
        <v>8</v>
      </c>
      <c r="G73" s="62" t="s">
        <v>2249</v>
      </c>
      <c r="H73" s="62" t="s">
        <v>912</v>
      </c>
      <c r="I73" s="62" t="s">
        <v>1006</v>
      </c>
      <c r="J73" s="63">
        <v>0.61699999999999999</v>
      </c>
      <c r="K73" s="63">
        <v>3.8967379973253502E-2</v>
      </c>
      <c r="L73" s="62"/>
      <c r="M73" s="62" t="s">
        <v>1014</v>
      </c>
      <c r="N73" s="62" t="s">
        <v>916</v>
      </c>
      <c r="O73" s="62" t="str">
        <f t="shared" si="1"/>
        <v>FR05_FRA Basic Enterprise (CAS)</v>
      </c>
      <c r="P73" s="62" t="s">
        <v>2186</v>
      </c>
      <c r="Q73" s="62" t="s">
        <v>1810</v>
      </c>
      <c r="R73" s="62">
        <v>4</v>
      </c>
      <c r="S73" s="64"/>
      <c r="T73" s="62" t="s">
        <v>897</v>
      </c>
      <c r="U73" s="62"/>
      <c r="V73" s="65" t="s">
        <v>1886</v>
      </c>
      <c r="W73" s="65">
        <v>0</v>
      </c>
      <c r="X73" s="62"/>
      <c r="Y73" s="66" t="s">
        <v>2003</v>
      </c>
      <c r="Z73" s="62" t="s">
        <v>1986</v>
      </c>
      <c r="AA73" s="62"/>
      <c r="AB73" s="62" t="s">
        <v>2215</v>
      </c>
      <c r="AC73" s="62" t="e">
        <v>#N/A</v>
      </c>
    </row>
    <row r="74" spans="1:29" ht="15" customHeight="1" outlineLevel="1" x14ac:dyDescent="0.3">
      <c r="A74" s="62" t="s">
        <v>511</v>
      </c>
      <c r="B74" s="62" t="s">
        <v>512</v>
      </c>
      <c r="C74" s="62" t="s">
        <v>928</v>
      </c>
      <c r="D74" s="62" t="s">
        <v>439</v>
      </c>
      <c r="E74" s="62" t="s">
        <v>439</v>
      </c>
      <c r="F74" s="62" t="s">
        <v>8</v>
      </c>
      <c r="G74" s="62" t="s">
        <v>2249</v>
      </c>
      <c r="H74" s="62" t="s">
        <v>912</v>
      </c>
      <c r="I74" s="62" t="s">
        <v>1006</v>
      </c>
      <c r="J74" s="63">
        <v>0.61699999999999999</v>
      </c>
      <c r="K74" s="63">
        <v>2.30566534914361E-2</v>
      </c>
      <c r="L74" s="62"/>
      <c r="M74" s="62" t="s">
        <v>939</v>
      </c>
      <c r="N74" s="62" t="s">
        <v>916</v>
      </c>
      <c r="O74" s="62" t="str">
        <f t="shared" si="1"/>
        <v>FR06_FRA Modular (MTP)</v>
      </c>
      <c r="P74" s="62" t="s">
        <v>2184</v>
      </c>
      <c r="Q74" s="62" t="s">
        <v>1810</v>
      </c>
      <c r="R74" s="62">
        <v>7</v>
      </c>
      <c r="S74" s="64"/>
      <c r="T74" s="62" t="s">
        <v>897</v>
      </c>
      <c r="U74" s="62"/>
      <c r="V74" s="65" t="s">
        <v>1886</v>
      </c>
      <c r="W74" s="65">
        <v>0</v>
      </c>
      <c r="X74" s="62"/>
      <c r="Y74" s="66" t="s">
        <v>1993</v>
      </c>
      <c r="Z74" s="62" t="s">
        <v>1986</v>
      </c>
      <c r="AA74" s="62"/>
      <c r="AB74" s="62" t="s">
        <v>2215</v>
      </c>
      <c r="AC74" s="62" t="e">
        <v>#N/A</v>
      </c>
    </row>
    <row r="75" spans="1:29" ht="15" customHeight="1" outlineLevel="1" x14ac:dyDescent="0.3">
      <c r="A75" s="62" t="s">
        <v>523</v>
      </c>
      <c r="B75" s="62" t="s">
        <v>524</v>
      </c>
      <c r="C75" s="62" t="s">
        <v>928</v>
      </c>
      <c r="D75" s="62" t="s">
        <v>439</v>
      </c>
      <c r="E75" s="62" t="s">
        <v>439</v>
      </c>
      <c r="F75" s="62" t="s">
        <v>8</v>
      </c>
      <c r="G75" s="62" t="s">
        <v>2249</v>
      </c>
      <c r="H75" s="62" t="s">
        <v>912</v>
      </c>
      <c r="I75" s="62" t="s">
        <v>938</v>
      </c>
      <c r="J75" s="63">
        <v>0.61699999999999999</v>
      </c>
      <c r="K75" s="63">
        <v>3.8967379973253502E-2</v>
      </c>
      <c r="L75" s="62"/>
      <c r="M75" s="62" t="s">
        <v>1030</v>
      </c>
      <c r="N75" s="62" t="s">
        <v>916</v>
      </c>
      <c r="O75" s="62" t="str">
        <f t="shared" si="1"/>
        <v>GB11_ENG Modular (CWD)</v>
      </c>
      <c r="P75" s="62" t="s">
        <v>2184</v>
      </c>
      <c r="Q75" s="62" t="s">
        <v>1810</v>
      </c>
      <c r="R75" s="62">
        <v>8</v>
      </c>
      <c r="S75" s="64"/>
      <c r="T75" s="62" t="s">
        <v>897</v>
      </c>
      <c r="U75" s="62">
        <v>13</v>
      </c>
      <c r="V75" s="65" t="s">
        <v>1886</v>
      </c>
      <c r="W75" s="65">
        <v>0</v>
      </c>
      <c r="X75" s="62" t="str">
        <f>VLOOKUP(A75,'CQNs Merged_Split'!B:E,4,0)</f>
        <v>Global Compute English</v>
      </c>
      <c r="Y75" s="66" t="s">
        <v>2024</v>
      </c>
      <c r="Z75" s="62" t="s">
        <v>2007</v>
      </c>
      <c r="AA75" s="62" t="str">
        <f>IFERROR("Queue Got Merged in "&amp;VLOOKUP(A75,'CQNs Merged_Split'!$B$7:$D$103,3,FALSE),"")</f>
        <v>Queue Got Merged in GC21</v>
      </c>
      <c r="AB75" s="62" t="s">
        <v>2208</v>
      </c>
      <c r="AC75" s="62" t="e">
        <v>#N/A</v>
      </c>
    </row>
    <row r="76" spans="1:29" ht="15" customHeight="1" outlineLevel="1" x14ac:dyDescent="0.3">
      <c r="A76" s="62" t="s">
        <v>283</v>
      </c>
      <c r="B76" s="62" t="s">
        <v>284</v>
      </c>
      <c r="C76" s="62" t="s">
        <v>928</v>
      </c>
      <c r="D76" s="62" t="s">
        <v>266</v>
      </c>
      <c r="E76" s="62" t="s">
        <v>266</v>
      </c>
      <c r="F76" s="62" t="s">
        <v>8</v>
      </c>
      <c r="G76" s="62" t="s">
        <v>2249</v>
      </c>
      <c r="H76" s="62" t="s">
        <v>912</v>
      </c>
      <c r="I76" s="62" t="s">
        <v>938</v>
      </c>
      <c r="J76" s="63">
        <v>0.61699999999999999</v>
      </c>
      <c r="K76" s="63">
        <v>3.8967379973253502E-2</v>
      </c>
      <c r="L76" s="62"/>
      <c r="M76" s="62" t="s">
        <v>939</v>
      </c>
      <c r="N76" s="62" t="s">
        <v>916</v>
      </c>
      <c r="O76" s="62" t="str">
        <f t="shared" si="1"/>
        <v>GB13_UKI Networking (CWD)</v>
      </c>
      <c r="P76" s="62" t="s">
        <v>2186</v>
      </c>
      <c r="Q76" s="62" t="s">
        <v>1810</v>
      </c>
      <c r="R76" s="62">
        <v>7</v>
      </c>
      <c r="S76" s="64"/>
      <c r="T76" s="62" t="s">
        <v>897</v>
      </c>
      <c r="U76" s="62"/>
      <c r="V76" s="65" t="s">
        <v>1886</v>
      </c>
      <c r="W76" s="65">
        <v>0</v>
      </c>
      <c r="X76" s="62"/>
      <c r="Y76" s="66" t="s">
        <v>1997</v>
      </c>
      <c r="Z76" s="62" t="s">
        <v>1986</v>
      </c>
      <c r="AA76" s="62"/>
      <c r="AB76" s="62" t="s">
        <v>2208</v>
      </c>
      <c r="AC76" s="62" t="e">
        <v>#N/A</v>
      </c>
    </row>
    <row r="77" spans="1:29" ht="15" customHeight="1" outlineLevel="1" x14ac:dyDescent="0.3">
      <c r="A77" s="62" t="s">
        <v>527</v>
      </c>
      <c r="B77" s="62" t="s">
        <v>528</v>
      </c>
      <c r="C77" s="62" t="s">
        <v>928</v>
      </c>
      <c r="D77" s="62" t="s">
        <v>439</v>
      </c>
      <c r="E77" s="62" t="s">
        <v>439</v>
      </c>
      <c r="F77" s="62" t="s">
        <v>8</v>
      </c>
      <c r="G77" s="62" t="s">
        <v>2249</v>
      </c>
      <c r="H77" s="62" t="s">
        <v>912</v>
      </c>
      <c r="I77" s="62" t="s">
        <v>938</v>
      </c>
      <c r="J77" s="63">
        <v>0.61699999999999999</v>
      </c>
      <c r="K77" s="63">
        <v>1.7187500000000001E-2</v>
      </c>
      <c r="L77" s="62"/>
      <c r="M77" s="62" t="s">
        <v>931</v>
      </c>
      <c r="N77" s="62" t="s">
        <v>916</v>
      </c>
      <c r="O77" s="62" t="str">
        <f t="shared" si="1"/>
        <v>GB16_ENG ProSupp Server 247 (CWD)</v>
      </c>
      <c r="P77" s="62" t="s">
        <v>2184</v>
      </c>
      <c r="Q77" s="62" t="s">
        <v>1810</v>
      </c>
      <c r="R77" s="62">
        <v>8</v>
      </c>
      <c r="S77" s="64"/>
      <c r="T77" s="62" t="s">
        <v>897</v>
      </c>
      <c r="U77" s="62">
        <v>13</v>
      </c>
      <c r="V77" s="65" t="s">
        <v>1886</v>
      </c>
      <c r="W77" s="65">
        <v>0</v>
      </c>
      <c r="X77" s="62" t="str">
        <f>VLOOKUP(A77,'CQNs Merged_Split'!B:E,4,0)</f>
        <v>Global Compute English</v>
      </c>
      <c r="Y77" s="66" t="s">
        <v>1971</v>
      </c>
      <c r="Z77" s="62" t="s">
        <v>1972</v>
      </c>
      <c r="AA77" s="62" t="str">
        <f>IFERROR("Queue Got Merged in "&amp;VLOOKUP(A77,'CQNs Merged_Split'!$B$7:$D$103,3,FALSE),"")</f>
        <v>Queue Got Merged in GC21</v>
      </c>
      <c r="AB77" s="62" t="s">
        <v>2208</v>
      </c>
      <c r="AC77" s="62" t="e">
        <v>#N/A</v>
      </c>
    </row>
    <row r="78" spans="1:29" ht="15" customHeight="1" outlineLevel="1" x14ac:dyDescent="0.3">
      <c r="A78" s="62" t="s">
        <v>539</v>
      </c>
      <c r="B78" s="62" t="s">
        <v>540</v>
      </c>
      <c r="C78" s="62" t="s">
        <v>928</v>
      </c>
      <c r="D78" s="62" t="s">
        <v>439</v>
      </c>
      <c r="E78" s="62" t="s">
        <v>439</v>
      </c>
      <c r="F78" s="62" t="s">
        <v>8</v>
      </c>
      <c r="G78" s="62" t="s">
        <v>2249</v>
      </c>
      <c r="H78" s="62" t="s">
        <v>912</v>
      </c>
      <c r="I78" s="62" t="s">
        <v>1006</v>
      </c>
      <c r="J78" s="63">
        <v>0.61699999999999999</v>
      </c>
      <c r="K78" s="63">
        <v>3.8967379973253502E-2</v>
      </c>
      <c r="L78" s="62"/>
      <c r="M78" s="62" t="s">
        <v>1014</v>
      </c>
      <c r="N78" s="62" t="s">
        <v>916</v>
      </c>
      <c r="O78" s="62" t="str">
        <f t="shared" si="1"/>
        <v>IT04_ITA Basic Enterprise (CAS)</v>
      </c>
      <c r="P78" s="62" t="s">
        <v>2186</v>
      </c>
      <c r="Q78" s="62" t="s">
        <v>1810</v>
      </c>
      <c r="R78" s="62">
        <v>4</v>
      </c>
      <c r="S78" s="64"/>
      <c r="T78" s="62" t="s">
        <v>897</v>
      </c>
      <c r="U78" s="62"/>
      <c r="V78" s="65" t="s">
        <v>1886</v>
      </c>
      <c r="W78" s="65">
        <v>0</v>
      </c>
      <c r="X78" s="62"/>
      <c r="Y78" s="66" t="s">
        <v>2003</v>
      </c>
      <c r="Z78" s="62" t="s">
        <v>1986</v>
      </c>
      <c r="AA78" s="62"/>
      <c r="AB78" s="62" t="s">
        <v>2220</v>
      </c>
      <c r="AC78" s="62" t="e">
        <v>#N/A</v>
      </c>
    </row>
    <row r="79" spans="1:29" ht="15" customHeight="1" outlineLevel="1" x14ac:dyDescent="0.3">
      <c r="A79" s="62" t="s">
        <v>541</v>
      </c>
      <c r="B79" s="62" t="s">
        <v>542</v>
      </c>
      <c r="C79" s="62" t="s">
        <v>928</v>
      </c>
      <c r="D79" s="62" t="s">
        <v>439</v>
      </c>
      <c r="E79" s="62" t="s">
        <v>439</v>
      </c>
      <c r="F79" s="62" t="s">
        <v>8</v>
      </c>
      <c r="G79" s="62" t="s">
        <v>2249</v>
      </c>
      <c r="H79" s="62" t="s">
        <v>912</v>
      </c>
      <c r="I79" s="62" t="s">
        <v>1006</v>
      </c>
      <c r="J79" s="63">
        <v>0.61699999999999999</v>
      </c>
      <c r="K79" s="63">
        <v>3.8967379973253502E-2</v>
      </c>
      <c r="L79" s="62"/>
      <c r="M79" s="62" t="s">
        <v>1014</v>
      </c>
      <c r="N79" s="62" t="s">
        <v>916</v>
      </c>
      <c r="O79" s="62" t="str">
        <f t="shared" si="1"/>
        <v>IT08_ITA ProSupp Server (MTP)</v>
      </c>
      <c r="P79" s="62" t="s">
        <v>2186</v>
      </c>
      <c r="Q79" s="62" t="s">
        <v>1810</v>
      </c>
      <c r="R79" s="62">
        <v>4</v>
      </c>
      <c r="S79" s="64"/>
      <c r="T79" s="62" t="s">
        <v>897</v>
      </c>
      <c r="U79" s="62"/>
      <c r="V79" s="65" t="s">
        <v>1886</v>
      </c>
      <c r="W79" s="65">
        <v>0</v>
      </c>
      <c r="X79" s="62"/>
      <c r="Y79" s="66" t="s">
        <v>2003</v>
      </c>
      <c r="Z79" s="62" t="s">
        <v>1986</v>
      </c>
      <c r="AA79" s="62"/>
      <c r="AB79" s="62" t="s">
        <v>2220</v>
      </c>
      <c r="AC79" s="62" t="e">
        <v>#N/A</v>
      </c>
    </row>
    <row r="80" spans="1:29" ht="15" customHeight="1" outlineLevel="1" x14ac:dyDescent="0.3">
      <c r="A80" s="62" t="s">
        <v>853</v>
      </c>
      <c r="B80" s="62" t="s">
        <v>854</v>
      </c>
      <c r="C80" s="62" t="s">
        <v>928</v>
      </c>
      <c r="D80" s="62" t="s">
        <v>852</v>
      </c>
      <c r="E80" s="62" t="s">
        <v>5</v>
      </c>
      <c r="F80" s="62" t="s">
        <v>8</v>
      </c>
      <c r="G80" s="62" t="s">
        <v>2249</v>
      </c>
      <c r="H80" s="62" t="s">
        <v>912</v>
      </c>
      <c r="I80" s="62" t="s">
        <v>938</v>
      </c>
      <c r="J80" s="63">
        <v>0.61699999999999999</v>
      </c>
      <c r="K80" s="63">
        <v>3.8967379973253502E-2</v>
      </c>
      <c r="L80" s="62"/>
      <c r="M80" s="62" t="s">
        <v>939</v>
      </c>
      <c r="N80" s="62" t="s">
        <v>916</v>
      </c>
      <c r="O80" s="62" t="str">
        <f t="shared" si="1"/>
        <v>LOS0_EMEA Solutions MS (ENG)</v>
      </c>
      <c r="P80" s="62" t="s">
        <v>2186</v>
      </c>
      <c r="Q80" s="62" t="s">
        <v>1810</v>
      </c>
      <c r="R80" s="62">
        <v>7</v>
      </c>
      <c r="S80" s="64"/>
      <c r="T80" s="62" t="s">
        <v>897</v>
      </c>
      <c r="U80" s="62">
        <v>13</v>
      </c>
      <c r="V80" s="65" t="s">
        <v>1886</v>
      </c>
      <c r="W80" s="65">
        <v>0</v>
      </c>
      <c r="X80" s="62" t="str">
        <f>VLOOKUP(A80,'CQNs Merged_Split'!B:E,4,0)</f>
        <v>EMEA Solutions MS FL</v>
      </c>
      <c r="Y80" s="66" t="s">
        <v>1993</v>
      </c>
      <c r="Z80" s="62" t="s">
        <v>1986</v>
      </c>
      <c r="AA80" s="62" t="str">
        <f>IFERROR("Queue Got Merged in "&amp;VLOOKUP(A80,'CQNs Merged_Split'!$B$7:$D$103,3,FALSE),"")</f>
        <v>Queue Got Merged in GS04</v>
      </c>
      <c r="AB80" s="62" t="s">
        <v>2210</v>
      </c>
      <c r="AC80" s="62" t="e">
        <v>#N/A</v>
      </c>
    </row>
    <row r="81" spans="1:29" ht="15" customHeight="1" outlineLevel="1" x14ac:dyDescent="0.3">
      <c r="A81" s="62" t="s">
        <v>855</v>
      </c>
      <c r="B81" s="62" t="s">
        <v>856</v>
      </c>
      <c r="C81" s="62" t="s">
        <v>928</v>
      </c>
      <c r="D81" s="62" t="s">
        <v>852</v>
      </c>
      <c r="E81" s="62" t="s">
        <v>5</v>
      </c>
      <c r="F81" s="62" t="s">
        <v>8</v>
      </c>
      <c r="G81" s="62" t="s">
        <v>2249</v>
      </c>
      <c r="H81" s="62" t="s">
        <v>912</v>
      </c>
      <c r="I81" s="62" t="s">
        <v>938</v>
      </c>
      <c r="J81" s="63">
        <v>0.61699999999999999</v>
      </c>
      <c r="K81" s="63">
        <v>3.8967379973253502E-2</v>
      </c>
      <c r="L81" s="62"/>
      <c r="M81" s="62" t="s">
        <v>939</v>
      </c>
      <c r="N81" s="62" t="s">
        <v>916</v>
      </c>
      <c r="O81" s="62" t="str">
        <f t="shared" si="1"/>
        <v>LOS1_EMEA Solutions HCI (ENG)</v>
      </c>
      <c r="P81" s="62" t="s">
        <v>2186</v>
      </c>
      <c r="Q81" s="62" t="s">
        <v>1810</v>
      </c>
      <c r="R81" s="62">
        <v>7</v>
      </c>
      <c r="S81" s="64"/>
      <c r="T81" s="62" t="s">
        <v>897</v>
      </c>
      <c r="U81" s="62">
        <v>13</v>
      </c>
      <c r="V81" s="65" t="s">
        <v>1886</v>
      </c>
      <c r="W81" s="65">
        <v>0</v>
      </c>
      <c r="X81" s="62" t="str">
        <f>VLOOKUP(A81,'CQNs Merged_Split'!B:E,4,0)</f>
        <v>EMEA Solutions HCI FL</v>
      </c>
      <c r="Y81" s="66" t="s">
        <v>1993</v>
      </c>
      <c r="Z81" s="62" t="s">
        <v>1986</v>
      </c>
      <c r="AA81" s="62" t="str">
        <f>IFERROR("Queue Got Merged in "&amp;VLOOKUP(A81,'CQNs Merged_Split'!$B$7:$D$103,3,FALSE),"")</f>
        <v>Queue Got Merged in GS03</v>
      </c>
      <c r="AB81" s="62" t="s">
        <v>2210</v>
      </c>
      <c r="AC81" s="62" t="e">
        <v>#N/A</v>
      </c>
    </row>
    <row r="82" spans="1:29" ht="15" customHeight="1" outlineLevel="1" x14ac:dyDescent="0.3">
      <c r="A82" s="62" t="s">
        <v>857</v>
      </c>
      <c r="B82" s="62" t="s">
        <v>858</v>
      </c>
      <c r="C82" s="62" t="s">
        <v>928</v>
      </c>
      <c r="D82" s="62" t="s">
        <v>852</v>
      </c>
      <c r="E82" s="62" t="s">
        <v>5</v>
      </c>
      <c r="F82" s="62" t="s">
        <v>8</v>
      </c>
      <c r="G82" s="62" t="s">
        <v>2249</v>
      </c>
      <c r="H82" s="62" t="s">
        <v>912</v>
      </c>
      <c r="I82" s="62" t="s">
        <v>1006</v>
      </c>
      <c r="J82" s="63">
        <v>0.61699999999999999</v>
      </c>
      <c r="K82" s="63">
        <v>3.8967379973253502E-2</v>
      </c>
      <c r="L82" s="62"/>
      <c r="M82" s="62" t="s">
        <v>939</v>
      </c>
      <c r="N82" s="62" t="s">
        <v>916</v>
      </c>
      <c r="O82" s="62" t="str">
        <f t="shared" si="1"/>
        <v>LOS2_EMEA Solutions MS (FRA)</v>
      </c>
      <c r="P82" s="62" t="s">
        <v>2186</v>
      </c>
      <c r="Q82" s="62" t="s">
        <v>1810</v>
      </c>
      <c r="R82" s="62">
        <v>7</v>
      </c>
      <c r="S82" s="64"/>
      <c r="T82" s="62" t="s">
        <v>897</v>
      </c>
      <c r="U82" s="62">
        <v>13</v>
      </c>
      <c r="V82" s="65" t="s">
        <v>1886</v>
      </c>
      <c r="W82" s="65">
        <v>0</v>
      </c>
      <c r="X82" s="62" t="str">
        <f>VLOOKUP(A82,'CQNs Merged_Split'!B:E,4,0)</f>
        <v>EMEA Solutions MS FL</v>
      </c>
      <c r="Y82" s="66" t="s">
        <v>2004</v>
      </c>
      <c r="Z82" s="62" t="s">
        <v>1986</v>
      </c>
      <c r="AA82" s="62" t="str">
        <f>IFERROR("Queue Got Merged in "&amp;VLOOKUP(A82,'CQNs Merged_Split'!$B$7:$D$103,3,FALSE),"")</f>
        <v>Queue Got Merged in GS04</v>
      </c>
      <c r="AB82" s="62" t="s">
        <v>2210</v>
      </c>
      <c r="AC82" s="62" t="e">
        <v>#N/A</v>
      </c>
    </row>
    <row r="83" spans="1:29" ht="15" customHeight="1" outlineLevel="1" x14ac:dyDescent="0.3">
      <c r="A83" s="62" t="s">
        <v>859</v>
      </c>
      <c r="B83" s="62" t="s">
        <v>860</v>
      </c>
      <c r="C83" s="62" t="s">
        <v>928</v>
      </c>
      <c r="D83" s="62" t="s">
        <v>852</v>
      </c>
      <c r="E83" s="62" t="s">
        <v>5</v>
      </c>
      <c r="F83" s="62" t="s">
        <v>8</v>
      </c>
      <c r="G83" s="62" t="s">
        <v>2249</v>
      </c>
      <c r="H83" s="62" t="s">
        <v>912</v>
      </c>
      <c r="I83" s="62" t="s">
        <v>1006</v>
      </c>
      <c r="J83" s="63">
        <v>0.61699999999999999</v>
      </c>
      <c r="K83" s="63">
        <v>3.8967379973253502E-2</v>
      </c>
      <c r="L83" s="62"/>
      <c r="M83" s="62" t="s">
        <v>939</v>
      </c>
      <c r="N83" s="62" t="s">
        <v>916</v>
      </c>
      <c r="O83" s="62" t="str">
        <f t="shared" si="1"/>
        <v>LOS3_EMEA Solutions HCI (FRA)</v>
      </c>
      <c r="P83" s="62" t="s">
        <v>2186</v>
      </c>
      <c r="Q83" s="62" t="s">
        <v>1810</v>
      </c>
      <c r="R83" s="62">
        <v>7</v>
      </c>
      <c r="S83" s="64"/>
      <c r="T83" s="62" t="s">
        <v>897</v>
      </c>
      <c r="U83" s="62">
        <v>13</v>
      </c>
      <c r="V83" s="65" t="s">
        <v>1886</v>
      </c>
      <c r="W83" s="65">
        <v>0</v>
      </c>
      <c r="X83" s="62" t="str">
        <f>VLOOKUP(A83,'CQNs Merged_Split'!B:E,4,0)</f>
        <v>EMEA Solutions HCI FL</v>
      </c>
      <c r="Y83" s="66" t="s">
        <v>2004</v>
      </c>
      <c r="Z83" s="62" t="s">
        <v>1986</v>
      </c>
      <c r="AA83" s="62" t="str">
        <f>IFERROR("Queue Got Merged in "&amp;VLOOKUP(A83,'CQNs Merged_Split'!$B$7:$D$103,3,FALSE),"")</f>
        <v>Queue Got Merged in GS03</v>
      </c>
      <c r="AB83" s="62" t="s">
        <v>2210</v>
      </c>
      <c r="AC83" s="62" t="e">
        <v>#N/A</v>
      </c>
    </row>
    <row r="84" spans="1:29" ht="15" customHeight="1" outlineLevel="1" x14ac:dyDescent="0.3">
      <c r="A84" s="62" t="s">
        <v>861</v>
      </c>
      <c r="B84" s="62" t="s">
        <v>862</v>
      </c>
      <c r="C84" s="62" t="s">
        <v>928</v>
      </c>
      <c r="D84" s="62" t="s">
        <v>852</v>
      </c>
      <c r="E84" s="62" t="s">
        <v>5</v>
      </c>
      <c r="F84" s="62" t="s">
        <v>8</v>
      </c>
      <c r="G84" s="62" t="s">
        <v>2249</v>
      </c>
      <c r="H84" s="62" t="s">
        <v>912</v>
      </c>
      <c r="I84" s="62" t="s">
        <v>1008</v>
      </c>
      <c r="J84" s="63">
        <v>0.61699999999999999</v>
      </c>
      <c r="K84" s="63">
        <v>3.8967379973253502E-2</v>
      </c>
      <c r="L84" s="62"/>
      <c r="M84" s="62" t="s">
        <v>939</v>
      </c>
      <c r="N84" s="62" t="s">
        <v>916</v>
      </c>
      <c r="O84" s="62" t="str">
        <f t="shared" si="1"/>
        <v>LOS4_EMEA Solutions MS (GER)</v>
      </c>
      <c r="P84" s="62" t="s">
        <v>2186</v>
      </c>
      <c r="Q84" s="62" t="s">
        <v>1810</v>
      </c>
      <c r="R84" s="62">
        <v>7</v>
      </c>
      <c r="S84" s="64"/>
      <c r="T84" s="62" t="s">
        <v>897</v>
      </c>
      <c r="U84" s="62">
        <v>13</v>
      </c>
      <c r="V84" s="65" t="s">
        <v>1886</v>
      </c>
      <c r="W84" s="65">
        <v>0</v>
      </c>
      <c r="X84" s="62" t="str">
        <f>VLOOKUP(A84,'CQNs Merged_Split'!B:E,4,0)</f>
        <v>EMEA Solutions MS FL</v>
      </c>
      <c r="Y84" s="66" t="s">
        <v>2004</v>
      </c>
      <c r="Z84" s="62" t="s">
        <v>1986</v>
      </c>
      <c r="AA84" s="62" t="str">
        <f>IFERROR("Queue Got Merged in "&amp;VLOOKUP(A84,'CQNs Merged_Split'!$B$7:$D$103,3,FALSE),"")</f>
        <v>Queue Got Merged in GS04</v>
      </c>
      <c r="AB84" s="62" t="s">
        <v>2210</v>
      </c>
      <c r="AC84" s="62" t="e">
        <v>#N/A</v>
      </c>
    </row>
    <row r="85" spans="1:29" ht="15" customHeight="1" outlineLevel="1" x14ac:dyDescent="0.3">
      <c r="A85" s="62" t="s">
        <v>863</v>
      </c>
      <c r="B85" s="62" t="s">
        <v>864</v>
      </c>
      <c r="C85" s="62" t="s">
        <v>928</v>
      </c>
      <c r="D85" s="62" t="s">
        <v>852</v>
      </c>
      <c r="E85" s="62" t="s">
        <v>5</v>
      </c>
      <c r="F85" s="62" t="s">
        <v>8</v>
      </c>
      <c r="G85" s="62" t="s">
        <v>2249</v>
      </c>
      <c r="H85" s="62" t="s">
        <v>912</v>
      </c>
      <c r="I85" s="62" t="s">
        <v>1008</v>
      </c>
      <c r="J85" s="63">
        <v>0.61699999999999999</v>
      </c>
      <c r="K85" s="63">
        <v>3.8967379973253502E-2</v>
      </c>
      <c r="L85" s="62"/>
      <c r="M85" s="62" t="s">
        <v>939</v>
      </c>
      <c r="N85" s="62" t="s">
        <v>916</v>
      </c>
      <c r="O85" s="62" t="str">
        <f t="shared" si="1"/>
        <v>LOS5_EMEA Solutions HCI (GER)</v>
      </c>
      <c r="P85" s="62" t="s">
        <v>2186</v>
      </c>
      <c r="Q85" s="62" t="s">
        <v>1810</v>
      </c>
      <c r="R85" s="62">
        <v>7</v>
      </c>
      <c r="S85" s="64"/>
      <c r="T85" s="62" t="s">
        <v>897</v>
      </c>
      <c r="U85" s="62">
        <v>13</v>
      </c>
      <c r="V85" s="65" t="s">
        <v>1886</v>
      </c>
      <c r="W85" s="65">
        <v>0</v>
      </c>
      <c r="X85" s="62" t="str">
        <f>VLOOKUP(A85,'CQNs Merged_Split'!B:E,4,0)</f>
        <v>EMEA Solutions HCI FL</v>
      </c>
      <c r="Y85" s="66" t="s">
        <v>2004</v>
      </c>
      <c r="Z85" s="62" t="s">
        <v>1986</v>
      </c>
      <c r="AA85" s="62" t="str">
        <f>IFERROR("Queue Got Merged in "&amp;VLOOKUP(A85,'CQNs Merged_Split'!$B$7:$D$103,3,FALSE),"")</f>
        <v>Queue Got Merged in GS03</v>
      </c>
      <c r="AB85" s="62" t="s">
        <v>2210</v>
      </c>
      <c r="AC85" s="62" t="e">
        <v>#N/A</v>
      </c>
    </row>
    <row r="86" spans="1:29" ht="15" customHeight="1" outlineLevel="1" x14ac:dyDescent="0.3">
      <c r="A86" s="62" t="s">
        <v>1891</v>
      </c>
      <c r="B86" s="62" t="s">
        <v>1892</v>
      </c>
      <c r="C86" s="62" t="s">
        <v>928</v>
      </c>
      <c r="D86" s="62" t="s">
        <v>439</v>
      </c>
      <c r="E86" s="62" t="s">
        <v>439</v>
      </c>
      <c r="F86" s="62" t="s">
        <v>8</v>
      </c>
      <c r="G86" s="62" t="s">
        <v>2249</v>
      </c>
      <c r="H86" s="62" t="s">
        <v>893</v>
      </c>
      <c r="I86" s="62" t="s">
        <v>894</v>
      </c>
      <c r="J86" s="63">
        <v>0.64800000000000002</v>
      </c>
      <c r="K86" s="63">
        <v>2.0441445869264104E-2</v>
      </c>
      <c r="L86" s="62"/>
      <c r="M86" s="62"/>
      <c r="N86" s="62" t="s">
        <v>916</v>
      </c>
      <c r="O86" s="62" t="str">
        <f t="shared" si="1"/>
        <v>NA01_NA Compute Pro Support</v>
      </c>
      <c r="P86" s="62" t="s">
        <v>2185</v>
      </c>
      <c r="Q86" s="62" t="s">
        <v>1810</v>
      </c>
      <c r="R86" s="62">
        <v>24</v>
      </c>
      <c r="S86" s="64"/>
      <c r="T86" s="62" t="s">
        <v>897</v>
      </c>
      <c r="U86" s="62">
        <v>13</v>
      </c>
      <c r="V86" s="65" t="s">
        <v>1886</v>
      </c>
      <c r="W86" s="65">
        <v>0</v>
      </c>
      <c r="X86" s="62" t="str">
        <f>VLOOKUP(A86,'CQNs Merged_Split'!B:E,4,0)</f>
        <v>Global Compute English</v>
      </c>
      <c r="Y86" s="66"/>
      <c r="Z86" s="62"/>
      <c r="AA86" s="62" t="str">
        <f>IFERROR("Queue Got Merged in "&amp;VLOOKUP(A86,'CQNs Merged_Split'!$B$7:$D$103,3,FALSE),"")</f>
        <v>Queue Got Merged in GC21</v>
      </c>
      <c r="AB86" s="62" t="s">
        <v>2208</v>
      </c>
      <c r="AC86" s="62" t="e">
        <v>#N/A</v>
      </c>
    </row>
    <row r="87" spans="1:29" ht="15" customHeight="1" outlineLevel="1" x14ac:dyDescent="0.3">
      <c r="A87" s="62" t="s">
        <v>557</v>
      </c>
      <c r="B87" s="62" t="s">
        <v>558</v>
      </c>
      <c r="C87" s="62" t="s">
        <v>928</v>
      </c>
      <c r="D87" s="62" t="s">
        <v>439</v>
      </c>
      <c r="E87" s="62" t="s">
        <v>439</v>
      </c>
      <c r="F87" s="62" t="s">
        <v>8</v>
      </c>
      <c r="G87" s="62" t="s">
        <v>2249</v>
      </c>
      <c r="H87" s="62" t="s">
        <v>893</v>
      </c>
      <c r="I87" s="62" t="s">
        <v>894</v>
      </c>
      <c r="J87" s="63">
        <v>0.64800000000000002</v>
      </c>
      <c r="K87" s="63">
        <v>1.4175257731958763E-2</v>
      </c>
      <c r="L87" s="62"/>
      <c r="M87" s="62" t="s">
        <v>931</v>
      </c>
      <c r="N87" s="62" t="s">
        <v>916</v>
      </c>
      <c r="O87" s="62" t="str">
        <f t="shared" si="1"/>
        <v>NE02_Backup Solution HC US</v>
      </c>
      <c r="P87" s="62" t="s">
        <v>2185</v>
      </c>
      <c r="Q87" s="62" t="s">
        <v>1810</v>
      </c>
      <c r="R87" s="62">
        <v>8</v>
      </c>
      <c r="S87" s="64"/>
      <c r="T87" s="62" t="s">
        <v>897</v>
      </c>
      <c r="U87" s="62">
        <v>13</v>
      </c>
      <c r="V87" s="65" t="s">
        <v>1886</v>
      </c>
      <c r="W87" s="65">
        <v>0</v>
      </c>
      <c r="X87" s="62" t="str">
        <f>VLOOKUP(A87,'CQNs Merged_Split'!B:E,4,0)</f>
        <v>Global Compute English</v>
      </c>
      <c r="Y87" s="66" t="s">
        <v>2000</v>
      </c>
      <c r="Z87" s="62" t="s">
        <v>1974</v>
      </c>
      <c r="AA87" s="62" t="str">
        <f>IFERROR("Queue Got Merged in "&amp;VLOOKUP(A87,'CQNs Merged_Split'!$B$7:$D$103,3,FALSE),"")</f>
        <v>Queue Got Merged in GC21</v>
      </c>
      <c r="AB87" s="62" t="s">
        <v>2208</v>
      </c>
      <c r="AC87" s="62" t="e">
        <v>#N/A</v>
      </c>
    </row>
    <row r="88" spans="1:29" ht="15" customHeight="1" outlineLevel="1" x14ac:dyDescent="0.3">
      <c r="A88" s="62" t="s">
        <v>561</v>
      </c>
      <c r="B88" s="62" t="s">
        <v>562</v>
      </c>
      <c r="C88" s="62" t="s">
        <v>928</v>
      </c>
      <c r="D88" s="62" t="s">
        <v>439</v>
      </c>
      <c r="E88" s="62" t="s">
        <v>439</v>
      </c>
      <c r="F88" s="62" t="s">
        <v>8</v>
      </c>
      <c r="G88" s="62" t="s">
        <v>2249</v>
      </c>
      <c r="H88" s="62" t="s">
        <v>893</v>
      </c>
      <c r="I88" s="62" t="s">
        <v>894</v>
      </c>
      <c r="J88" s="63">
        <v>0.64800000000000002</v>
      </c>
      <c r="K88" s="63">
        <v>2.0441445869264104E-2</v>
      </c>
      <c r="L88" s="62"/>
      <c r="M88" s="62" t="s">
        <v>931</v>
      </c>
      <c r="N88" s="62" t="s">
        <v>916</v>
      </c>
      <c r="O88" s="62" t="str">
        <f t="shared" si="1"/>
        <v>NE06_PowerEdge After Hours US</v>
      </c>
      <c r="P88" s="62" t="s">
        <v>2185</v>
      </c>
      <c r="Q88" s="62" t="s">
        <v>1810</v>
      </c>
      <c r="R88" s="62">
        <v>8</v>
      </c>
      <c r="S88" s="64"/>
      <c r="T88" s="62" t="s">
        <v>897</v>
      </c>
      <c r="U88" s="62">
        <v>13</v>
      </c>
      <c r="V88" s="65" t="s">
        <v>1886</v>
      </c>
      <c r="W88" s="65">
        <v>0</v>
      </c>
      <c r="X88" s="62" t="str">
        <f>VLOOKUP(A88,'CQNs Merged_Split'!B:E,4,0)</f>
        <v>Global Compute English</v>
      </c>
      <c r="Y88" s="66" t="s">
        <v>2028</v>
      </c>
      <c r="Z88" s="62" t="s">
        <v>1974</v>
      </c>
      <c r="AA88" s="62" t="str">
        <f>IFERROR("Queue Got Merged in "&amp;VLOOKUP(A88,'CQNs Merged_Split'!$B$7:$D$103,3,FALSE),"")</f>
        <v>Queue Got Merged in GC21</v>
      </c>
      <c r="AB88" s="62" t="s">
        <v>2208</v>
      </c>
      <c r="AC88" s="62" t="e">
        <v>#N/A</v>
      </c>
    </row>
    <row r="89" spans="1:29" ht="15" customHeight="1" outlineLevel="1" x14ac:dyDescent="0.3">
      <c r="A89" s="62" t="s">
        <v>295</v>
      </c>
      <c r="B89" s="62" t="s">
        <v>296</v>
      </c>
      <c r="C89" s="62" t="s">
        <v>928</v>
      </c>
      <c r="D89" s="62" t="s">
        <v>266</v>
      </c>
      <c r="E89" s="62" t="s">
        <v>266</v>
      </c>
      <c r="F89" s="62" t="s">
        <v>8</v>
      </c>
      <c r="G89" s="62" t="s">
        <v>2249</v>
      </c>
      <c r="H89" s="62" t="s">
        <v>893</v>
      </c>
      <c r="I89" s="62" t="s">
        <v>894</v>
      </c>
      <c r="J89" s="63">
        <v>0.64800000000000002</v>
      </c>
      <c r="K89" s="63">
        <v>2.0441445869264104E-2</v>
      </c>
      <c r="L89" s="62"/>
      <c r="M89" s="62" t="s">
        <v>931</v>
      </c>
      <c r="N89" s="62" t="s">
        <v>916</v>
      </c>
      <c r="O89" s="62" t="str">
        <f t="shared" si="1"/>
        <v>NE20_Networking ProSupport US</v>
      </c>
      <c r="P89" s="62" t="s">
        <v>2185</v>
      </c>
      <c r="Q89" s="62" t="s">
        <v>1810</v>
      </c>
      <c r="R89" s="62">
        <v>8</v>
      </c>
      <c r="S89" s="64"/>
      <c r="T89" s="62" t="s">
        <v>897</v>
      </c>
      <c r="U89" s="62"/>
      <c r="V89" s="65" t="s">
        <v>1886</v>
      </c>
      <c r="W89" s="65">
        <v>0</v>
      </c>
      <c r="X89" s="62"/>
      <c r="Y89" s="66" t="s">
        <v>2000</v>
      </c>
      <c r="Z89" s="62" t="s">
        <v>1974</v>
      </c>
      <c r="AA89" s="62"/>
      <c r="AB89" s="62" t="s">
        <v>2208</v>
      </c>
      <c r="AC89" s="62" t="e">
        <v>#N/A</v>
      </c>
    </row>
    <row r="90" spans="1:29" ht="15" customHeight="1" outlineLevel="1" x14ac:dyDescent="0.3">
      <c r="A90" s="62" t="s">
        <v>577</v>
      </c>
      <c r="B90" s="62" t="s">
        <v>578</v>
      </c>
      <c r="C90" s="62" t="s">
        <v>928</v>
      </c>
      <c r="D90" s="62" t="s">
        <v>439</v>
      </c>
      <c r="E90" s="62" t="s">
        <v>439</v>
      </c>
      <c r="F90" s="62" t="s">
        <v>8</v>
      </c>
      <c r="G90" s="62" t="s">
        <v>2249</v>
      </c>
      <c r="H90" s="62" t="s">
        <v>893</v>
      </c>
      <c r="I90" s="62" t="s">
        <v>894</v>
      </c>
      <c r="J90" s="63">
        <v>0.64800000000000002</v>
      </c>
      <c r="K90" s="63">
        <v>1.7441860465116279E-2</v>
      </c>
      <c r="L90" s="62"/>
      <c r="M90" s="62" t="s">
        <v>931</v>
      </c>
      <c r="N90" s="62" t="s">
        <v>916</v>
      </c>
      <c r="O90" s="62" t="str">
        <f t="shared" si="1"/>
        <v>NE36_RT Microsoft US</v>
      </c>
      <c r="P90" s="62" t="s">
        <v>2185</v>
      </c>
      <c r="Q90" s="62" t="s">
        <v>1810</v>
      </c>
      <c r="R90" s="62">
        <v>8</v>
      </c>
      <c r="S90" s="64"/>
      <c r="T90" s="62" t="s">
        <v>897</v>
      </c>
      <c r="U90" s="62"/>
      <c r="V90" s="65" t="s">
        <v>1886</v>
      </c>
      <c r="W90" s="65">
        <v>0</v>
      </c>
      <c r="X90" s="62"/>
      <c r="Y90" s="66" t="s">
        <v>2000</v>
      </c>
      <c r="Z90" s="62" t="s">
        <v>1974</v>
      </c>
      <c r="AA90" s="62"/>
      <c r="AB90" s="62" t="s">
        <v>2208</v>
      </c>
      <c r="AC90" s="62" t="e">
        <v>#N/A</v>
      </c>
    </row>
    <row r="91" spans="1:29" ht="15" customHeight="1" outlineLevel="1" x14ac:dyDescent="0.3">
      <c r="A91" s="62" t="s">
        <v>579</v>
      </c>
      <c r="B91" s="62" t="s">
        <v>580</v>
      </c>
      <c r="C91" s="62" t="s">
        <v>928</v>
      </c>
      <c r="D91" s="62" t="s">
        <v>439</v>
      </c>
      <c r="E91" s="62" t="s">
        <v>439</v>
      </c>
      <c r="F91" s="62" t="s">
        <v>8</v>
      </c>
      <c r="G91" s="62" t="s">
        <v>2249</v>
      </c>
      <c r="H91" s="62" t="s">
        <v>893</v>
      </c>
      <c r="I91" s="62" t="s">
        <v>894</v>
      </c>
      <c r="J91" s="63">
        <v>0.64800000000000002</v>
      </c>
      <c r="K91" s="63">
        <v>2.0441445869264104E-2</v>
      </c>
      <c r="L91" s="62"/>
      <c r="M91" s="62"/>
      <c r="N91" s="62" t="s">
        <v>916</v>
      </c>
      <c r="O91" s="62" t="str">
        <f t="shared" si="1"/>
        <v>NE38_Compute High Complexity</v>
      </c>
      <c r="P91" s="62" t="s">
        <v>2185</v>
      </c>
      <c r="Q91" s="62" t="s">
        <v>1810</v>
      </c>
      <c r="R91" s="62">
        <v>24</v>
      </c>
      <c r="S91" s="64"/>
      <c r="T91" s="62" t="s">
        <v>897</v>
      </c>
      <c r="U91" s="62">
        <v>13</v>
      </c>
      <c r="V91" s="65" t="s">
        <v>1886</v>
      </c>
      <c r="W91" s="65">
        <v>0</v>
      </c>
      <c r="X91" s="62" t="str">
        <f>VLOOKUP(A91,'CQNs Merged_Split'!B:E,4,0)</f>
        <v>Global Compute English</v>
      </c>
      <c r="Y91" s="66" t="s">
        <v>2000</v>
      </c>
      <c r="Z91" s="62" t="s">
        <v>1974</v>
      </c>
      <c r="AA91" s="62" t="str">
        <f>IFERROR("Queue Got Merged in "&amp;VLOOKUP(A91,'CQNs Merged_Split'!$B$7:$D$103,3,FALSE),"")</f>
        <v>Queue Got Merged in GC21</v>
      </c>
      <c r="AB91" s="62" t="s">
        <v>2208</v>
      </c>
      <c r="AC91" s="62" t="e">
        <v>#N/A</v>
      </c>
    </row>
    <row r="92" spans="1:29" ht="15" customHeight="1" outlineLevel="1" x14ac:dyDescent="0.3">
      <c r="A92" s="62" t="s">
        <v>1807</v>
      </c>
      <c r="B92" s="62" t="s">
        <v>1808</v>
      </c>
      <c r="C92" s="62" t="s">
        <v>928</v>
      </c>
      <c r="D92" s="62" t="s">
        <v>439</v>
      </c>
      <c r="E92" s="62" t="s">
        <v>439</v>
      </c>
      <c r="F92" s="62" t="s">
        <v>8</v>
      </c>
      <c r="G92" s="62" t="s">
        <v>2249</v>
      </c>
      <c r="H92" s="62" t="s">
        <v>929</v>
      </c>
      <c r="I92" s="62"/>
      <c r="J92" s="63">
        <v>0.63300000000000001</v>
      </c>
      <c r="K92" s="63">
        <v>1.8670169726832081E-2</v>
      </c>
      <c r="L92" s="62"/>
      <c r="M92" s="62"/>
      <c r="N92" s="62" t="s">
        <v>916</v>
      </c>
      <c r="O92" s="62" t="str">
        <f t="shared" si="1"/>
        <v>NE39_Compute ProSupport Alt Channel</v>
      </c>
      <c r="P92" s="62" t="s">
        <v>2185</v>
      </c>
      <c r="Q92" s="62" t="s">
        <v>1810</v>
      </c>
      <c r="R92" s="62">
        <v>24</v>
      </c>
      <c r="S92" s="64"/>
      <c r="T92" s="62" t="s">
        <v>897</v>
      </c>
      <c r="U92" s="62">
        <v>13</v>
      </c>
      <c r="V92" s="65" t="s">
        <v>1886</v>
      </c>
      <c r="W92" s="65">
        <v>0</v>
      </c>
      <c r="X92" s="62" t="str">
        <f>VLOOKUP(A92,'CQNs Merged_Split'!B:E,4,0)</f>
        <v>Global Compute English</v>
      </c>
      <c r="Y92" s="66" t="s">
        <v>1971</v>
      </c>
      <c r="Z92" s="62" t="s">
        <v>1972</v>
      </c>
      <c r="AA92" s="62" t="str">
        <f>IFERROR("Queue Got Merged in "&amp;VLOOKUP(A92,'CQNs Merged_Split'!$B$7:$D$103,3,FALSE),"")</f>
        <v>Queue Got Merged in GC21</v>
      </c>
      <c r="AB92" s="62" t="s">
        <v>2208</v>
      </c>
      <c r="AC92" s="62" t="e">
        <v>#N/A</v>
      </c>
    </row>
    <row r="93" spans="1:29" ht="15" customHeight="1" outlineLevel="1" x14ac:dyDescent="0.3">
      <c r="A93" s="62" t="s">
        <v>595</v>
      </c>
      <c r="B93" s="62" t="s">
        <v>596</v>
      </c>
      <c r="C93" s="62" t="s">
        <v>928</v>
      </c>
      <c r="D93" s="62" t="s">
        <v>439</v>
      </c>
      <c r="E93" s="62" t="s">
        <v>439</v>
      </c>
      <c r="F93" s="62" t="s">
        <v>8</v>
      </c>
      <c r="G93" s="62" t="s">
        <v>2249</v>
      </c>
      <c r="H93" s="62" t="s">
        <v>903</v>
      </c>
      <c r="I93" s="62" t="s">
        <v>1064</v>
      </c>
      <c r="J93" s="63">
        <v>0.629</v>
      </c>
      <c r="K93" s="63">
        <v>2.278539874447803E-2</v>
      </c>
      <c r="L93" s="62"/>
      <c r="M93" s="62" t="s">
        <v>931</v>
      </c>
      <c r="N93" s="62" t="s">
        <v>916</v>
      </c>
      <c r="O93" s="62" t="str">
        <f t="shared" si="1"/>
        <v>SA10_Enterprise SA</v>
      </c>
      <c r="P93" s="62" t="s">
        <v>2178</v>
      </c>
      <c r="Q93" s="62" t="s">
        <v>1810</v>
      </c>
      <c r="R93" s="62">
        <v>8</v>
      </c>
      <c r="S93" s="64"/>
      <c r="T93" s="62" t="s">
        <v>897</v>
      </c>
      <c r="U93" s="62">
        <v>13</v>
      </c>
      <c r="V93" s="65" t="s">
        <v>1886</v>
      </c>
      <c r="W93" s="65">
        <v>0</v>
      </c>
      <c r="X93" s="62" t="str">
        <f>VLOOKUP(A93,'CQNs Merged_Split'!B:E,4,0)</f>
        <v>Global Compute English</v>
      </c>
      <c r="Y93" s="66" t="s">
        <v>1971</v>
      </c>
      <c r="Z93" s="62" t="s">
        <v>1972</v>
      </c>
      <c r="AA93" s="62" t="str">
        <f>IFERROR("Queue Got Merged in "&amp;VLOOKUP(A93,'CQNs Merged_Split'!$B$7:$D$103,3,FALSE),"")</f>
        <v>Queue Got Merged in GC21</v>
      </c>
      <c r="AB93" s="62" t="s">
        <v>2208</v>
      </c>
      <c r="AC93" s="62" t="e">
        <v>#N/A</v>
      </c>
    </row>
    <row r="94" spans="1:29" ht="15" customHeight="1" outlineLevel="1" x14ac:dyDescent="0.3">
      <c r="A94" s="62" t="s">
        <v>271</v>
      </c>
      <c r="B94" s="62" t="s">
        <v>272</v>
      </c>
      <c r="C94" s="62" t="s">
        <v>914</v>
      </c>
      <c r="D94" s="62" t="s">
        <v>266</v>
      </c>
      <c r="E94" s="62" t="s">
        <v>266</v>
      </c>
      <c r="F94" s="62" t="s">
        <v>8</v>
      </c>
      <c r="G94" s="62" t="s">
        <v>2249</v>
      </c>
      <c r="H94" s="62" t="s">
        <v>903</v>
      </c>
      <c r="I94" s="62" t="s">
        <v>904</v>
      </c>
      <c r="J94" s="63">
        <v>0.629</v>
      </c>
      <c r="K94" s="63">
        <v>2.278539874447803E-2</v>
      </c>
      <c r="L94" s="62"/>
      <c r="M94" s="62" t="s">
        <v>931</v>
      </c>
      <c r="N94" s="62" t="s">
        <v>916</v>
      </c>
      <c r="O94" s="62" t="str">
        <f t="shared" si="1"/>
        <v>AZ09_Networking ProSupport ANZ</v>
      </c>
      <c r="P94" s="62" t="s">
        <v>2178</v>
      </c>
      <c r="Q94" s="62" t="s">
        <v>917</v>
      </c>
      <c r="R94" s="62">
        <v>8</v>
      </c>
      <c r="S94" s="64"/>
      <c r="T94" s="62" t="s">
        <v>897</v>
      </c>
      <c r="U94" s="62">
        <v>13</v>
      </c>
      <c r="V94" s="65" t="s">
        <v>1886</v>
      </c>
      <c r="W94" s="65">
        <v>0</v>
      </c>
      <c r="X94" s="62"/>
      <c r="Y94" s="66" t="s">
        <v>2011</v>
      </c>
      <c r="Z94" s="62" t="s">
        <v>1986</v>
      </c>
      <c r="AA94" s="62"/>
      <c r="AB94" s="62" t="s">
        <v>2208</v>
      </c>
      <c r="AC94" s="62" t="e">
        <v>#N/A</v>
      </c>
    </row>
    <row r="95" spans="1:29" ht="15" customHeight="1" outlineLevel="1" x14ac:dyDescent="0.3">
      <c r="A95" s="62" t="s">
        <v>443</v>
      </c>
      <c r="B95" s="62" t="s">
        <v>444</v>
      </c>
      <c r="C95" s="62" t="s">
        <v>914</v>
      </c>
      <c r="D95" s="62" t="s">
        <v>439</v>
      </c>
      <c r="E95" s="62" t="s">
        <v>439</v>
      </c>
      <c r="F95" s="62" t="s">
        <v>8</v>
      </c>
      <c r="G95" s="62" t="s">
        <v>2249</v>
      </c>
      <c r="H95" s="62" t="s">
        <v>903</v>
      </c>
      <c r="I95" s="62" t="s">
        <v>904</v>
      </c>
      <c r="J95" s="63">
        <v>0.629</v>
      </c>
      <c r="K95" s="63">
        <v>1.676829268292683E-2</v>
      </c>
      <c r="L95" s="62"/>
      <c r="M95" s="62" t="s">
        <v>931</v>
      </c>
      <c r="N95" s="62" t="s">
        <v>916</v>
      </c>
      <c r="O95" s="62" t="str">
        <f t="shared" si="1"/>
        <v>AZ10_Server ProSupport ANZ</v>
      </c>
      <c r="P95" s="62" t="s">
        <v>2178</v>
      </c>
      <c r="Q95" s="62" t="s">
        <v>917</v>
      </c>
      <c r="R95" s="62">
        <v>8</v>
      </c>
      <c r="S95" s="64"/>
      <c r="T95" s="62" t="s">
        <v>897</v>
      </c>
      <c r="U95" s="62">
        <v>13</v>
      </c>
      <c r="V95" s="65" t="s">
        <v>1886</v>
      </c>
      <c r="W95" s="65">
        <v>0</v>
      </c>
      <c r="X95" s="62" t="str">
        <f>VLOOKUP(A95,'CQNs Merged_Split'!B:E,4,0)</f>
        <v>Global Compute English</v>
      </c>
      <c r="Y95" s="66" t="s">
        <v>2025</v>
      </c>
      <c r="Z95" s="62" t="s">
        <v>1986</v>
      </c>
      <c r="AA95" s="62" t="str">
        <f>IFERROR("Queue Got Merged in "&amp;VLOOKUP(A95,'CQNs Merged_Split'!$B$7:$D$103,3,FALSE),"")</f>
        <v>Queue Got Merged in GC21</v>
      </c>
      <c r="AB95" s="62" t="s">
        <v>2208</v>
      </c>
      <c r="AC95" s="62" t="e">
        <v>#N/A</v>
      </c>
    </row>
    <row r="96" spans="1:29" ht="15" customHeight="1" outlineLevel="1" x14ac:dyDescent="0.3">
      <c r="A96" s="62" t="s">
        <v>445</v>
      </c>
      <c r="B96" s="62" t="s">
        <v>446</v>
      </c>
      <c r="C96" s="62" t="s">
        <v>914</v>
      </c>
      <c r="D96" s="62" t="s">
        <v>439</v>
      </c>
      <c r="E96" s="62" t="s">
        <v>439</v>
      </c>
      <c r="F96" s="62" t="s">
        <v>8</v>
      </c>
      <c r="G96" s="62" t="s">
        <v>2249</v>
      </c>
      <c r="H96" s="62" t="s">
        <v>903</v>
      </c>
      <c r="I96" s="62" t="s">
        <v>906</v>
      </c>
      <c r="J96" s="63">
        <v>0.629</v>
      </c>
      <c r="K96" s="63">
        <v>2.278539874447803E-2</v>
      </c>
      <c r="L96" s="62"/>
      <c r="M96" s="62" t="s">
        <v>931</v>
      </c>
      <c r="N96" s="62" t="s">
        <v>916</v>
      </c>
      <c r="O96" s="62" t="str">
        <f t="shared" si="1"/>
        <v>AZ16_Enterprise ANZ AOH</v>
      </c>
      <c r="P96" s="62" t="s">
        <v>2178</v>
      </c>
      <c r="Q96" s="62" t="s">
        <v>917</v>
      </c>
      <c r="R96" s="62">
        <v>8</v>
      </c>
      <c r="S96" s="64"/>
      <c r="T96" s="62" t="s">
        <v>897</v>
      </c>
      <c r="U96" s="62">
        <v>13</v>
      </c>
      <c r="V96" s="65" t="s">
        <v>1886</v>
      </c>
      <c r="W96" s="65">
        <v>0</v>
      </c>
      <c r="X96" s="62" t="str">
        <f>VLOOKUP(A96,'CQNs Merged_Split'!B:E,4,0)</f>
        <v>Global Compute English</v>
      </c>
      <c r="Y96" s="66" t="s">
        <v>1971</v>
      </c>
      <c r="Z96" s="62" t="s">
        <v>1972</v>
      </c>
      <c r="AA96" s="62" t="str">
        <f>IFERROR("Queue Got Merged in "&amp;VLOOKUP(A96,'CQNs Merged_Split'!$B$7:$D$103,3,FALSE),"")</f>
        <v>Queue Got Merged in GC21</v>
      </c>
      <c r="AB96" s="62" t="s">
        <v>2208</v>
      </c>
      <c r="AC96" s="62" t="e">
        <v>#N/A</v>
      </c>
    </row>
    <row r="97" spans="1:29" ht="15" customHeight="1" outlineLevel="1" x14ac:dyDescent="0.3">
      <c r="A97" s="62" t="s">
        <v>275</v>
      </c>
      <c r="B97" s="62" t="s">
        <v>276</v>
      </c>
      <c r="C97" s="62" t="s">
        <v>892</v>
      </c>
      <c r="D97" s="62" t="s">
        <v>266</v>
      </c>
      <c r="E97" s="62" t="s">
        <v>266</v>
      </c>
      <c r="F97" s="62" t="s">
        <v>8</v>
      </c>
      <c r="G97" s="62" t="s">
        <v>2249</v>
      </c>
      <c r="H97" s="62" t="s">
        <v>903</v>
      </c>
      <c r="I97" s="62" t="s">
        <v>909</v>
      </c>
      <c r="J97" s="63">
        <v>0.629</v>
      </c>
      <c r="K97" s="63">
        <v>2.278539874447803E-2</v>
      </c>
      <c r="L97" s="62"/>
      <c r="M97" s="62" t="s">
        <v>931</v>
      </c>
      <c r="N97" s="62" t="s">
        <v>916</v>
      </c>
      <c r="O97" s="62" t="str">
        <f t="shared" si="1"/>
        <v>CC05_Networking CCC</v>
      </c>
      <c r="P97" s="62" t="s">
        <v>2178</v>
      </c>
      <c r="Q97" s="62" t="s">
        <v>917</v>
      </c>
      <c r="R97" s="62">
        <v>8</v>
      </c>
      <c r="S97" s="64"/>
      <c r="T97" s="62" t="s">
        <v>897</v>
      </c>
      <c r="U97" s="62"/>
      <c r="V97" s="65" t="s">
        <v>1886</v>
      </c>
      <c r="W97" s="65">
        <v>0</v>
      </c>
      <c r="X97" s="62"/>
      <c r="Y97" s="66" t="s">
        <v>1971</v>
      </c>
      <c r="Z97" s="62" t="s">
        <v>1972</v>
      </c>
      <c r="AA97" s="62"/>
      <c r="AB97" s="62" t="s">
        <v>2211</v>
      </c>
      <c r="AC97" s="62" t="e">
        <v>#N/A</v>
      </c>
    </row>
    <row r="98" spans="1:29" ht="15" customHeight="1" outlineLevel="1" x14ac:dyDescent="0.3">
      <c r="A98" s="62" t="s">
        <v>618</v>
      </c>
      <c r="B98" s="62" t="s">
        <v>619</v>
      </c>
      <c r="C98" s="62" t="s">
        <v>892</v>
      </c>
      <c r="D98" s="62" t="s">
        <v>609</v>
      </c>
      <c r="E98" s="62" t="s">
        <v>609</v>
      </c>
      <c r="F98" s="62" t="s">
        <v>8</v>
      </c>
      <c r="G98" s="62" t="s">
        <v>2249</v>
      </c>
      <c r="H98" s="62" t="s">
        <v>903</v>
      </c>
      <c r="I98" s="62" t="s">
        <v>909</v>
      </c>
      <c r="J98" s="63">
        <v>0.629</v>
      </c>
      <c r="K98" s="63">
        <v>2.278539874447803E-2</v>
      </c>
      <c r="L98" s="62"/>
      <c r="M98" s="62" t="s">
        <v>931</v>
      </c>
      <c r="N98" s="62" t="s">
        <v>916</v>
      </c>
      <c r="O98" s="62" t="str">
        <f t="shared" si="1"/>
        <v>CC10_Storage ProSupport CCC</v>
      </c>
      <c r="P98" s="62" t="s">
        <v>2178</v>
      </c>
      <c r="Q98" s="62" t="s">
        <v>917</v>
      </c>
      <c r="R98" s="62">
        <v>8</v>
      </c>
      <c r="S98" s="64"/>
      <c r="T98" s="62" t="s">
        <v>897</v>
      </c>
      <c r="U98" s="62"/>
      <c r="V98" s="65" t="s">
        <v>1886</v>
      </c>
      <c r="W98" s="65">
        <v>0</v>
      </c>
      <c r="X98" s="62"/>
      <c r="Y98" s="66" t="s">
        <v>1971</v>
      </c>
      <c r="Z98" s="62" t="s">
        <v>1972</v>
      </c>
      <c r="AA98" s="62"/>
      <c r="AB98" s="62" t="s">
        <v>2211</v>
      </c>
      <c r="AC98" s="62" t="e">
        <v>#N/A</v>
      </c>
    </row>
    <row r="99" spans="1:29" ht="15" customHeight="1" outlineLevel="1" x14ac:dyDescent="0.3">
      <c r="A99" s="62" t="s">
        <v>465</v>
      </c>
      <c r="B99" s="62" t="s">
        <v>466</v>
      </c>
      <c r="C99" s="62" t="s">
        <v>892</v>
      </c>
      <c r="D99" s="62" t="s">
        <v>439</v>
      </c>
      <c r="E99" s="62" t="s">
        <v>439</v>
      </c>
      <c r="F99" s="62" t="s">
        <v>8</v>
      </c>
      <c r="G99" s="62" t="s">
        <v>2249</v>
      </c>
      <c r="H99" s="62" t="s">
        <v>903</v>
      </c>
      <c r="I99" s="62" t="s">
        <v>909</v>
      </c>
      <c r="J99" s="63">
        <v>0.629</v>
      </c>
      <c r="K99" s="63">
        <v>2.278539874447803E-2</v>
      </c>
      <c r="L99" s="62"/>
      <c r="M99" s="62" t="s">
        <v>931</v>
      </c>
      <c r="N99" s="62" t="s">
        <v>916</v>
      </c>
      <c r="O99" s="62" t="str">
        <f t="shared" si="1"/>
        <v>CC27_Server Combined CCC</v>
      </c>
      <c r="P99" s="62" t="s">
        <v>2178</v>
      </c>
      <c r="Q99" s="62" t="s">
        <v>917</v>
      </c>
      <c r="R99" s="62">
        <v>8</v>
      </c>
      <c r="S99" s="64"/>
      <c r="T99" s="62" t="s">
        <v>897</v>
      </c>
      <c r="U99" s="62"/>
      <c r="V99" s="65" t="s">
        <v>1886</v>
      </c>
      <c r="W99" s="65">
        <v>0</v>
      </c>
      <c r="X99" s="62"/>
      <c r="Y99" s="66" t="s">
        <v>1971</v>
      </c>
      <c r="Z99" s="62" t="s">
        <v>1972</v>
      </c>
      <c r="AA99" s="62"/>
      <c r="AB99" s="62" t="s">
        <v>2211</v>
      </c>
      <c r="AC99" s="62" t="e">
        <v>#N/A</v>
      </c>
    </row>
    <row r="100" spans="1:29" ht="15" customHeight="1" outlineLevel="1" x14ac:dyDescent="0.3">
      <c r="A100" s="62" t="s">
        <v>620</v>
      </c>
      <c r="B100" s="62" t="s">
        <v>621</v>
      </c>
      <c r="C100" s="62" t="s">
        <v>892</v>
      </c>
      <c r="D100" s="62" t="s">
        <v>609</v>
      </c>
      <c r="E100" s="62" t="s">
        <v>609</v>
      </c>
      <c r="F100" s="62" t="s">
        <v>8</v>
      </c>
      <c r="G100" s="62" t="s">
        <v>2249</v>
      </c>
      <c r="H100" s="62" t="s">
        <v>903</v>
      </c>
      <c r="I100" s="62" t="s">
        <v>909</v>
      </c>
      <c r="J100" s="63">
        <v>0.629</v>
      </c>
      <c r="K100" s="63">
        <v>2.278539874447803E-2</v>
      </c>
      <c r="L100" s="62"/>
      <c r="M100" s="62" t="s">
        <v>931</v>
      </c>
      <c r="N100" s="62" t="s">
        <v>916</v>
      </c>
      <c r="O100" s="62" t="str">
        <f t="shared" si="1"/>
        <v>CE02_Storage Echannel CCC</v>
      </c>
      <c r="P100" s="62" t="s">
        <v>2178</v>
      </c>
      <c r="Q100" s="62" t="s">
        <v>917</v>
      </c>
      <c r="R100" s="62">
        <v>8</v>
      </c>
      <c r="S100" s="64"/>
      <c r="T100" s="62" t="s">
        <v>897</v>
      </c>
      <c r="U100" s="62"/>
      <c r="V100" s="65" t="s">
        <v>1886</v>
      </c>
      <c r="W100" s="65">
        <v>0</v>
      </c>
      <c r="X100" s="62"/>
      <c r="Y100" s="66" t="s">
        <v>1982</v>
      </c>
      <c r="Z100" s="62" t="s">
        <v>1972</v>
      </c>
      <c r="AA100" s="62"/>
      <c r="AB100" s="62" t="s">
        <v>2211</v>
      </c>
      <c r="AC100" s="62" t="e">
        <v>#N/A</v>
      </c>
    </row>
    <row r="101" spans="1:29" ht="15" customHeight="1" outlineLevel="1" x14ac:dyDescent="0.3">
      <c r="A101" s="62" t="s">
        <v>16</v>
      </c>
      <c r="B101" s="62" t="s">
        <v>17</v>
      </c>
      <c r="C101" s="62" t="s">
        <v>892</v>
      </c>
      <c r="D101" s="62" t="s">
        <v>13</v>
      </c>
      <c r="E101" s="62" t="s">
        <v>13</v>
      </c>
      <c r="F101" s="62" t="s">
        <v>8</v>
      </c>
      <c r="G101" s="62" t="s">
        <v>2250</v>
      </c>
      <c r="H101" s="62" t="s">
        <v>929</v>
      </c>
      <c r="I101" s="62" t="s">
        <v>929</v>
      </c>
      <c r="J101" s="63">
        <v>0.63300000000000001</v>
      </c>
      <c r="K101" s="63"/>
      <c r="L101" s="62"/>
      <c r="M101" s="62" t="s">
        <v>895</v>
      </c>
      <c r="N101" s="62" t="s">
        <v>13</v>
      </c>
      <c r="O101" s="62" t="str">
        <f t="shared" si="1"/>
        <v>CT13_CTE CCC</v>
      </c>
      <c r="P101" s="62" t="s">
        <v>2177</v>
      </c>
      <c r="Q101" s="62" t="s">
        <v>917</v>
      </c>
      <c r="R101" s="62">
        <v>14</v>
      </c>
      <c r="S101" s="64"/>
      <c r="T101" s="62" t="s">
        <v>897</v>
      </c>
      <c r="U101" s="62"/>
      <c r="V101" s="65" t="s">
        <v>1886</v>
      </c>
      <c r="W101" s="65">
        <v>0</v>
      </c>
      <c r="X101" s="62"/>
      <c r="Y101" s="66" t="s">
        <v>1983</v>
      </c>
      <c r="Z101" s="62">
        <v>0</v>
      </c>
      <c r="AA101" s="62"/>
      <c r="AB101" s="62" t="s">
        <v>2211</v>
      </c>
      <c r="AC101" s="62" t="e">
        <v>#N/A</v>
      </c>
    </row>
    <row r="102" spans="1:29" ht="15" customHeight="1" outlineLevel="1" x14ac:dyDescent="0.3">
      <c r="A102" s="62" t="s">
        <v>20</v>
      </c>
      <c r="B102" s="62" t="s">
        <v>21</v>
      </c>
      <c r="C102" s="62" t="s">
        <v>1847</v>
      </c>
      <c r="D102" s="62" t="s">
        <v>13</v>
      </c>
      <c r="E102" s="62" t="s">
        <v>13</v>
      </c>
      <c r="F102" s="62" t="s">
        <v>8</v>
      </c>
      <c r="G102" s="62" t="s">
        <v>2250</v>
      </c>
      <c r="H102" s="62" t="s">
        <v>929</v>
      </c>
      <c r="I102" s="62" t="s">
        <v>929</v>
      </c>
      <c r="J102" s="63">
        <v>0.63300000000000001</v>
      </c>
      <c r="K102" s="63"/>
      <c r="L102" s="62"/>
      <c r="M102" s="62" t="s">
        <v>895</v>
      </c>
      <c r="N102" s="62" t="s">
        <v>13</v>
      </c>
      <c r="O102" s="62" t="str">
        <f t="shared" si="1"/>
        <v>CT15_CTE JPN</v>
      </c>
      <c r="P102" s="62" t="s">
        <v>2177</v>
      </c>
      <c r="Q102" s="62" t="s">
        <v>917</v>
      </c>
      <c r="R102" s="62">
        <v>14</v>
      </c>
      <c r="S102" s="64"/>
      <c r="T102" s="62" t="s">
        <v>897</v>
      </c>
      <c r="U102" s="62"/>
      <c r="V102" s="65" t="s">
        <v>1886</v>
      </c>
      <c r="W102" s="65">
        <v>12</v>
      </c>
      <c r="X102" s="62"/>
      <c r="Y102" s="66" t="s">
        <v>1984</v>
      </c>
      <c r="Z102" s="62" t="s">
        <v>1790</v>
      </c>
      <c r="AA102" s="62"/>
      <c r="AB102" s="62" t="s">
        <v>2217</v>
      </c>
      <c r="AC102" s="62" t="e">
        <v>#N/A</v>
      </c>
    </row>
    <row r="103" spans="1:29" ht="15" customHeight="1" outlineLevel="1" x14ac:dyDescent="0.3">
      <c r="A103" s="62" t="s">
        <v>24</v>
      </c>
      <c r="B103" s="62" t="s">
        <v>25</v>
      </c>
      <c r="C103" s="62" t="s">
        <v>892</v>
      </c>
      <c r="D103" s="62" t="s">
        <v>13</v>
      </c>
      <c r="E103" s="62" t="s">
        <v>13</v>
      </c>
      <c r="F103" s="62" t="s">
        <v>8</v>
      </c>
      <c r="G103" s="62" t="s">
        <v>2250</v>
      </c>
      <c r="H103" s="62" t="s">
        <v>929</v>
      </c>
      <c r="I103" s="62" t="s">
        <v>929</v>
      </c>
      <c r="J103" s="63">
        <v>0.63300000000000001</v>
      </c>
      <c r="K103" s="63"/>
      <c r="L103" s="62"/>
      <c r="M103" s="62" t="s">
        <v>939</v>
      </c>
      <c r="N103" s="62" t="s">
        <v>13</v>
      </c>
      <c r="O103" s="62" t="str">
        <f t="shared" si="1"/>
        <v>CT18_CTE SA</v>
      </c>
      <c r="P103" s="62" t="s">
        <v>2178</v>
      </c>
      <c r="Q103" s="62" t="s">
        <v>917</v>
      </c>
      <c r="R103" s="62">
        <v>7</v>
      </c>
      <c r="S103" s="64"/>
      <c r="T103" s="62" t="s">
        <v>897</v>
      </c>
      <c r="U103" s="62"/>
      <c r="V103" s="65" t="s">
        <v>1886</v>
      </c>
      <c r="W103" s="65">
        <v>0</v>
      </c>
      <c r="X103" s="62"/>
      <c r="Y103" s="66" t="s">
        <v>1985</v>
      </c>
      <c r="Z103" s="62" t="s">
        <v>1986</v>
      </c>
      <c r="AA103" s="62"/>
      <c r="AB103" s="62" t="s">
        <v>2210</v>
      </c>
      <c r="AC103" s="62" t="e">
        <v>#N/A</v>
      </c>
    </row>
    <row r="104" spans="1:29" ht="15" customHeight="1" outlineLevel="1" x14ac:dyDescent="0.3">
      <c r="A104" s="62" t="s">
        <v>26</v>
      </c>
      <c r="B104" s="62" t="s">
        <v>27</v>
      </c>
      <c r="C104" s="62" t="s">
        <v>892</v>
      </c>
      <c r="D104" s="62" t="s">
        <v>13</v>
      </c>
      <c r="E104" s="62" t="s">
        <v>13</v>
      </c>
      <c r="F104" s="62" t="s">
        <v>8</v>
      </c>
      <c r="G104" s="62" t="s">
        <v>2250</v>
      </c>
      <c r="H104" s="62" t="s">
        <v>903</v>
      </c>
      <c r="I104" s="62" t="s">
        <v>906</v>
      </c>
      <c r="J104" s="63">
        <v>0.629</v>
      </c>
      <c r="K104" s="63"/>
      <c r="L104" s="62"/>
      <c r="M104" s="62" t="s">
        <v>895</v>
      </c>
      <c r="N104" s="62" t="s">
        <v>13</v>
      </c>
      <c r="O104" s="62" t="str">
        <f t="shared" si="1"/>
        <v>CT95_CTE NW IND</v>
      </c>
      <c r="P104" s="62" t="s">
        <v>2177</v>
      </c>
      <c r="Q104" s="62" t="s">
        <v>917</v>
      </c>
      <c r="R104" s="62">
        <v>14</v>
      </c>
      <c r="S104" s="64"/>
      <c r="T104" s="62" t="s">
        <v>897</v>
      </c>
      <c r="U104" s="62"/>
      <c r="V104" s="65" t="s">
        <v>1886</v>
      </c>
      <c r="W104" s="65">
        <v>0</v>
      </c>
      <c r="X104" s="62"/>
      <c r="Y104" s="66" t="s">
        <v>1987</v>
      </c>
      <c r="Z104" s="62" t="s">
        <v>1986</v>
      </c>
      <c r="AA104" s="62"/>
      <c r="AB104" s="62" t="s">
        <v>2208</v>
      </c>
      <c r="AC104" s="62" t="e">
        <v>#N/A</v>
      </c>
    </row>
    <row r="105" spans="1:29" ht="15" customHeight="1" outlineLevel="1" x14ac:dyDescent="0.3">
      <c r="A105" s="62" t="s">
        <v>28</v>
      </c>
      <c r="B105" s="62" t="s">
        <v>29</v>
      </c>
      <c r="C105" s="62" t="s">
        <v>892</v>
      </c>
      <c r="D105" s="62" t="s">
        <v>13</v>
      </c>
      <c r="E105" s="62" t="s">
        <v>13</v>
      </c>
      <c r="F105" s="62" t="s">
        <v>8</v>
      </c>
      <c r="G105" s="62" t="s">
        <v>2250</v>
      </c>
      <c r="H105" s="62" t="s">
        <v>903</v>
      </c>
      <c r="I105" s="62" t="s">
        <v>906</v>
      </c>
      <c r="J105" s="63">
        <v>0.629</v>
      </c>
      <c r="K105" s="63"/>
      <c r="L105" s="62"/>
      <c r="M105" s="62" t="s">
        <v>895</v>
      </c>
      <c r="N105" s="62" t="s">
        <v>13</v>
      </c>
      <c r="O105" s="62" t="str">
        <f t="shared" si="1"/>
        <v>CT96_CTE Storage IND</v>
      </c>
      <c r="P105" s="62" t="s">
        <v>2177</v>
      </c>
      <c r="Q105" s="62" t="s">
        <v>917</v>
      </c>
      <c r="R105" s="62">
        <v>14</v>
      </c>
      <c r="S105" s="64"/>
      <c r="T105" s="62" t="s">
        <v>897</v>
      </c>
      <c r="U105" s="62"/>
      <c r="V105" s="65" t="s">
        <v>1886</v>
      </c>
      <c r="W105" s="65">
        <v>0</v>
      </c>
      <c r="X105" s="62"/>
      <c r="Y105" s="66" t="s">
        <v>1988</v>
      </c>
      <c r="Z105" s="62" t="s">
        <v>1974</v>
      </c>
      <c r="AA105" s="62"/>
      <c r="AB105" s="62" t="s">
        <v>2208</v>
      </c>
      <c r="AC105" s="62" t="e">
        <v>#N/A</v>
      </c>
    </row>
    <row r="106" spans="1:29" ht="15" customHeight="1" outlineLevel="1" x14ac:dyDescent="0.3">
      <c r="A106" s="62" t="s">
        <v>993</v>
      </c>
      <c r="B106" s="62" t="s">
        <v>994</v>
      </c>
      <c r="C106" s="62" t="s">
        <v>892</v>
      </c>
      <c r="D106" s="62" t="s">
        <v>439</v>
      </c>
      <c r="E106" s="62" t="s">
        <v>995</v>
      </c>
      <c r="F106" s="62" t="s">
        <v>900</v>
      </c>
      <c r="G106" s="62" t="s">
        <v>2250</v>
      </c>
      <c r="H106" s="62" t="s">
        <v>996</v>
      </c>
      <c r="I106" s="62" t="s">
        <v>909</v>
      </c>
      <c r="J106" s="63"/>
      <c r="K106" s="63"/>
      <c r="L106" s="62"/>
      <c r="M106" s="62"/>
      <c r="N106" s="62" t="s">
        <v>13</v>
      </c>
      <c r="O106" s="62" t="str">
        <f t="shared" si="1"/>
        <v>CTA3_CTE Server/Networking CCC</v>
      </c>
      <c r="P106" s="62" t="s">
        <v>2178</v>
      </c>
      <c r="Q106" s="62" t="s">
        <v>917</v>
      </c>
      <c r="R106" s="62"/>
      <c r="S106" s="64"/>
      <c r="T106" s="62" t="s">
        <v>897</v>
      </c>
      <c r="U106" s="62"/>
      <c r="V106" s="65" t="s">
        <v>1886</v>
      </c>
      <c r="W106" s="65">
        <v>0</v>
      </c>
      <c r="X106" s="62"/>
      <c r="Y106" s="66" t="s">
        <v>1983</v>
      </c>
      <c r="Z106" s="62" t="s">
        <v>1790</v>
      </c>
      <c r="AA106" s="62"/>
      <c r="AB106" s="62" t="s">
        <v>2211</v>
      </c>
      <c r="AC106" s="62" t="e">
        <v>#N/A</v>
      </c>
    </row>
    <row r="107" spans="1:29" ht="15" customHeight="1" outlineLevel="1" x14ac:dyDescent="0.3">
      <c r="A107" s="62" t="s">
        <v>997</v>
      </c>
      <c r="B107" s="62" t="s">
        <v>998</v>
      </c>
      <c r="C107" s="62" t="s">
        <v>892</v>
      </c>
      <c r="D107" s="62" t="s">
        <v>609</v>
      </c>
      <c r="E107" s="62" t="s">
        <v>995</v>
      </c>
      <c r="F107" s="62" t="s">
        <v>900</v>
      </c>
      <c r="G107" s="62" t="s">
        <v>2250</v>
      </c>
      <c r="H107" s="62" t="s">
        <v>996</v>
      </c>
      <c r="I107" s="62" t="s">
        <v>909</v>
      </c>
      <c r="J107" s="63"/>
      <c r="K107" s="63"/>
      <c r="L107" s="62"/>
      <c r="M107" s="62"/>
      <c r="N107" s="62" t="s">
        <v>13</v>
      </c>
      <c r="O107" s="62" t="str">
        <f t="shared" si="1"/>
        <v>CTA4_CTE Storage CCC</v>
      </c>
      <c r="P107" s="62" t="s">
        <v>2178</v>
      </c>
      <c r="Q107" s="62" t="s">
        <v>917</v>
      </c>
      <c r="R107" s="62"/>
      <c r="S107" s="64"/>
      <c r="T107" s="62" t="s">
        <v>897</v>
      </c>
      <c r="U107" s="62"/>
      <c r="V107" s="65" t="s">
        <v>1886</v>
      </c>
      <c r="W107" s="65">
        <v>0</v>
      </c>
      <c r="X107" s="62"/>
      <c r="Y107" s="66" t="s">
        <v>1983</v>
      </c>
      <c r="Z107" s="62" t="s">
        <v>1790</v>
      </c>
      <c r="AA107" s="62"/>
      <c r="AB107" s="62" t="s">
        <v>2211</v>
      </c>
      <c r="AC107" s="62" t="e">
        <v>#N/A</v>
      </c>
    </row>
    <row r="108" spans="1:29" ht="15" customHeight="1" outlineLevel="1" x14ac:dyDescent="0.3">
      <c r="A108" s="62" t="s">
        <v>999</v>
      </c>
      <c r="B108" s="62" t="s">
        <v>1000</v>
      </c>
      <c r="C108" s="62" t="s">
        <v>914</v>
      </c>
      <c r="D108" s="62" t="s">
        <v>439</v>
      </c>
      <c r="E108" s="62" t="s">
        <v>995</v>
      </c>
      <c r="F108" s="62" t="s">
        <v>900</v>
      </c>
      <c r="G108" s="62" t="s">
        <v>2250</v>
      </c>
      <c r="H108" s="62" t="s">
        <v>996</v>
      </c>
      <c r="I108" s="62" t="s">
        <v>1001</v>
      </c>
      <c r="J108" s="63"/>
      <c r="K108" s="63"/>
      <c r="L108" s="62"/>
      <c r="M108" s="62"/>
      <c r="N108" s="62" t="s">
        <v>13</v>
      </c>
      <c r="O108" s="62" t="str">
        <f t="shared" si="1"/>
        <v>CTA5_CTE Server/Networking JPN</v>
      </c>
      <c r="P108" s="62" t="s">
        <v>2178</v>
      </c>
      <c r="Q108" s="62" t="s">
        <v>917</v>
      </c>
      <c r="R108" s="62"/>
      <c r="S108" s="64"/>
      <c r="T108" s="62" t="s">
        <v>897</v>
      </c>
      <c r="U108" s="62"/>
      <c r="V108" s="65" t="s">
        <v>1886</v>
      </c>
      <c r="W108" s="65">
        <v>0</v>
      </c>
      <c r="X108" s="62"/>
      <c r="Y108" s="66" t="s">
        <v>1989</v>
      </c>
      <c r="Z108" s="62" t="s">
        <v>1986</v>
      </c>
      <c r="AA108" s="62"/>
      <c r="AB108" s="62" t="s">
        <v>2217</v>
      </c>
      <c r="AC108" s="62" t="e">
        <v>#N/A</v>
      </c>
    </row>
    <row r="109" spans="1:29" ht="15" customHeight="1" outlineLevel="1" x14ac:dyDescent="0.3">
      <c r="A109" s="62" t="s">
        <v>1002</v>
      </c>
      <c r="B109" s="62" t="s">
        <v>1003</v>
      </c>
      <c r="C109" s="62" t="s">
        <v>914</v>
      </c>
      <c r="D109" s="62" t="s">
        <v>609</v>
      </c>
      <c r="E109" s="62" t="s">
        <v>995</v>
      </c>
      <c r="F109" s="62" t="s">
        <v>900</v>
      </c>
      <c r="G109" s="62" t="s">
        <v>2250</v>
      </c>
      <c r="H109" s="62" t="s">
        <v>996</v>
      </c>
      <c r="I109" s="62" t="s">
        <v>1001</v>
      </c>
      <c r="J109" s="63"/>
      <c r="K109" s="63"/>
      <c r="L109" s="62"/>
      <c r="M109" s="62"/>
      <c r="N109" s="62" t="s">
        <v>13</v>
      </c>
      <c r="O109" s="62" t="str">
        <f t="shared" si="1"/>
        <v>CTA6_CTE Storage JPN</v>
      </c>
      <c r="P109" s="62" t="s">
        <v>2178</v>
      </c>
      <c r="Q109" s="62" t="s">
        <v>917</v>
      </c>
      <c r="R109" s="62"/>
      <c r="S109" s="64"/>
      <c r="T109" s="62" t="s">
        <v>897</v>
      </c>
      <c r="U109" s="62"/>
      <c r="V109" s="65" t="s">
        <v>1886</v>
      </c>
      <c r="W109" s="65">
        <v>0</v>
      </c>
      <c r="X109" s="62"/>
      <c r="Y109" s="66" t="s">
        <v>1989</v>
      </c>
      <c r="Z109" s="62" t="s">
        <v>1986</v>
      </c>
      <c r="AA109" s="62"/>
      <c r="AB109" s="62" t="s">
        <v>2217</v>
      </c>
      <c r="AC109" s="62" t="e">
        <v>#N/A</v>
      </c>
    </row>
    <row r="110" spans="1:29" ht="15" customHeight="1" outlineLevel="1" x14ac:dyDescent="0.3">
      <c r="A110" s="62" t="s">
        <v>1004</v>
      </c>
      <c r="B110" s="62" t="s">
        <v>1005</v>
      </c>
      <c r="C110" s="62" t="s">
        <v>892</v>
      </c>
      <c r="D110" s="62" t="s">
        <v>440</v>
      </c>
      <c r="E110" s="62" t="s">
        <v>995</v>
      </c>
      <c r="F110" s="62" t="s">
        <v>900</v>
      </c>
      <c r="G110" s="62" t="s">
        <v>2250</v>
      </c>
      <c r="H110" s="62" t="s">
        <v>996</v>
      </c>
      <c r="I110" s="62" t="s">
        <v>1001</v>
      </c>
      <c r="J110" s="63"/>
      <c r="K110" s="63"/>
      <c r="L110" s="62"/>
      <c r="M110" s="62"/>
      <c r="N110" s="62" t="s">
        <v>13</v>
      </c>
      <c r="O110" s="62" t="str">
        <f t="shared" si="1"/>
        <v>CTA7_CTE Enterprise KOR</v>
      </c>
      <c r="P110" s="62" t="s">
        <v>2178</v>
      </c>
      <c r="Q110" s="62" t="s">
        <v>917</v>
      </c>
      <c r="R110" s="62"/>
      <c r="S110" s="64"/>
      <c r="T110" s="62" t="s">
        <v>897</v>
      </c>
      <c r="U110" s="62"/>
      <c r="V110" s="65" t="s">
        <v>1886</v>
      </c>
      <c r="W110" s="65">
        <v>0</v>
      </c>
      <c r="X110" s="62"/>
      <c r="Y110" s="66" t="s">
        <v>1990</v>
      </c>
      <c r="Z110" s="62" t="s">
        <v>1790</v>
      </c>
      <c r="AA110" s="62"/>
      <c r="AB110" s="62" t="s">
        <v>2212</v>
      </c>
      <c r="AC110" s="62" t="e">
        <v>#N/A</v>
      </c>
    </row>
    <row r="111" spans="1:29" ht="15" customHeight="1" outlineLevel="1" x14ac:dyDescent="0.3">
      <c r="A111" s="62" t="s">
        <v>487</v>
      </c>
      <c r="B111" s="62" t="s">
        <v>488</v>
      </c>
      <c r="C111" s="62" t="s">
        <v>914</v>
      </c>
      <c r="D111" s="62" t="s">
        <v>439</v>
      </c>
      <c r="E111" s="62" t="s">
        <v>439</v>
      </c>
      <c r="F111" s="62" t="s">
        <v>8</v>
      </c>
      <c r="G111" s="62" t="s">
        <v>2249</v>
      </c>
      <c r="H111" s="62" t="s">
        <v>903</v>
      </c>
      <c r="I111" s="62" t="s">
        <v>906</v>
      </c>
      <c r="J111" s="63">
        <v>0.629</v>
      </c>
      <c r="K111" s="63">
        <v>1.7647058823529412E-2</v>
      </c>
      <c r="L111" s="62"/>
      <c r="M111" s="62" t="s">
        <v>1010</v>
      </c>
      <c r="N111" s="62" t="s">
        <v>916</v>
      </c>
      <c r="O111" s="62" t="str">
        <f t="shared" si="1"/>
        <v>DP01_DSP OEM</v>
      </c>
      <c r="P111" s="62" t="s">
        <v>2185</v>
      </c>
      <c r="Q111" s="62" t="s">
        <v>917</v>
      </c>
      <c r="R111" s="62">
        <v>10</v>
      </c>
      <c r="S111" s="64"/>
      <c r="T111" s="62" t="s">
        <v>897</v>
      </c>
      <c r="U111" s="62"/>
      <c r="V111" s="65" t="s">
        <v>1886</v>
      </c>
      <c r="W111" s="65">
        <v>0</v>
      </c>
      <c r="X111" s="62"/>
      <c r="Y111" s="66" t="s">
        <v>1994</v>
      </c>
      <c r="Z111" s="62" t="s">
        <v>1986</v>
      </c>
      <c r="AA111" s="62"/>
      <c r="AB111" s="62" t="s">
        <v>2208</v>
      </c>
      <c r="AC111" s="62" t="e">
        <v>#N/A</v>
      </c>
    </row>
    <row r="112" spans="1:29" s="32" customFormat="1" ht="15" customHeight="1" outlineLevel="1" x14ac:dyDescent="0.3">
      <c r="A112" s="62" t="s">
        <v>291</v>
      </c>
      <c r="B112" s="62" t="s">
        <v>292</v>
      </c>
      <c r="C112" s="62" t="s">
        <v>914</v>
      </c>
      <c r="D112" s="62" t="s">
        <v>266</v>
      </c>
      <c r="E112" s="62" t="s">
        <v>266</v>
      </c>
      <c r="F112" s="62" t="s">
        <v>8</v>
      </c>
      <c r="G112" s="62" t="s">
        <v>2249</v>
      </c>
      <c r="H112" s="62" t="s">
        <v>903</v>
      </c>
      <c r="I112" s="62" t="s">
        <v>1064</v>
      </c>
      <c r="J112" s="63">
        <v>0.629</v>
      </c>
      <c r="K112" s="63">
        <v>2.278539874447803E-2</v>
      </c>
      <c r="L112" s="62"/>
      <c r="M112" s="62" t="s">
        <v>931</v>
      </c>
      <c r="N112" s="62" t="s">
        <v>916</v>
      </c>
      <c r="O112" s="62" t="str">
        <f t="shared" si="1"/>
        <v>MY11_Networking Pro Core SA</v>
      </c>
      <c r="P112" s="62" t="s">
        <v>2178</v>
      </c>
      <c r="Q112" s="62" t="s">
        <v>917</v>
      </c>
      <c r="R112" s="62">
        <v>8</v>
      </c>
      <c r="S112" s="64"/>
      <c r="T112" s="62" t="s">
        <v>897</v>
      </c>
      <c r="U112" s="62">
        <v>13</v>
      </c>
      <c r="V112" s="65" t="s">
        <v>1886</v>
      </c>
      <c r="W112" s="65">
        <v>0</v>
      </c>
      <c r="X112" s="62"/>
      <c r="Y112" s="66" t="s">
        <v>1971</v>
      </c>
      <c r="Z112" s="62" t="s">
        <v>1972</v>
      </c>
      <c r="AA112" s="62"/>
      <c r="AB112" s="62" t="s">
        <v>2208</v>
      </c>
      <c r="AC112" s="62" t="e">
        <v>#N/A</v>
      </c>
    </row>
    <row r="113" spans="1:29" s="32" customFormat="1" ht="15" customHeight="1" outlineLevel="1" x14ac:dyDescent="0.3">
      <c r="A113" s="62" t="s">
        <v>293</v>
      </c>
      <c r="B113" s="62" t="s">
        <v>294</v>
      </c>
      <c r="C113" s="62" t="s">
        <v>914</v>
      </c>
      <c r="D113" s="62" t="s">
        <v>266</v>
      </c>
      <c r="E113" s="62" t="s">
        <v>266</v>
      </c>
      <c r="F113" s="62" t="s">
        <v>8</v>
      </c>
      <c r="G113" s="62" t="s">
        <v>2249</v>
      </c>
      <c r="H113" s="62" t="s">
        <v>903</v>
      </c>
      <c r="I113" s="62" t="s">
        <v>906</v>
      </c>
      <c r="J113" s="63">
        <v>0.629</v>
      </c>
      <c r="K113" s="63">
        <v>2.278539874447803E-2</v>
      </c>
      <c r="L113" s="62"/>
      <c r="M113" s="62" t="s">
        <v>1087</v>
      </c>
      <c r="N113" s="62" t="s">
        <v>916</v>
      </c>
      <c r="O113" s="62" t="str">
        <f t="shared" si="1"/>
        <v>NE07_Networking Basic US</v>
      </c>
      <c r="P113" s="62" t="s">
        <v>2185</v>
      </c>
      <c r="Q113" s="62" t="s">
        <v>917</v>
      </c>
      <c r="R113" s="62">
        <v>12</v>
      </c>
      <c r="S113" s="64"/>
      <c r="T113" s="62" t="s">
        <v>897</v>
      </c>
      <c r="U113" s="62"/>
      <c r="V113" s="65" t="s">
        <v>1886</v>
      </c>
      <c r="W113" s="65">
        <v>0</v>
      </c>
      <c r="X113" s="62"/>
      <c r="Y113" s="66" t="s">
        <v>1999</v>
      </c>
      <c r="Z113" s="62" t="s">
        <v>1986</v>
      </c>
      <c r="AA113" s="62"/>
      <c r="AB113" s="62" t="s">
        <v>2208</v>
      </c>
      <c r="AC113" s="62" t="e">
        <v>#N/A</v>
      </c>
    </row>
    <row r="114" spans="1:29" s="32" customFormat="1" ht="15" customHeight="1" outlineLevel="1" x14ac:dyDescent="0.3">
      <c r="A114" s="62" t="s">
        <v>567</v>
      </c>
      <c r="B114" s="62" t="s">
        <v>568</v>
      </c>
      <c r="C114" s="62" t="s">
        <v>892</v>
      </c>
      <c r="D114" s="62" t="s">
        <v>439</v>
      </c>
      <c r="E114" s="62" t="s">
        <v>439</v>
      </c>
      <c r="F114" s="62" t="s">
        <v>8</v>
      </c>
      <c r="G114" s="62" t="s">
        <v>2249</v>
      </c>
      <c r="H114" s="62" t="s">
        <v>893</v>
      </c>
      <c r="I114" s="62" t="s">
        <v>894</v>
      </c>
      <c r="J114" s="63">
        <v>0.64800000000000002</v>
      </c>
      <c r="K114" s="63">
        <v>2.0441445869264104E-2</v>
      </c>
      <c r="L114" s="62"/>
      <c r="M114" s="62" t="s">
        <v>931</v>
      </c>
      <c r="N114" s="62" t="s">
        <v>916</v>
      </c>
      <c r="O114" s="62" t="str">
        <f t="shared" si="1"/>
        <v>NE13_PowerEdge Alternate Channel US</v>
      </c>
      <c r="P114" s="62" t="s">
        <v>2185</v>
      </c>
      <c r="Q114" s="62" t="s">
        <v>917</v>
      </c>
      <c r="R114" s="62">
        <v>8</v>
      </c>
      <c r="S114" s="64"/>
      <c r="T114" s="62" t="s">
        <v>897</v>
      </c>
      <c r="U114" s="62"/>
      <c r="V114" s="65" t="s">
        <v>1886</v>
      </c>
      <c r="W114" s="65">
        <v>0</v>
      </c>
      <c r="X114" s="62"/>
      <c r="Y114" s="66" t="s">
        <v>1790</v>
      </c>
      <c r="Z114" s="62" t="s">
        <v>1790</v>
      </c>
      <c r="AA114" s="62"/>
      <c r="AB114" s="62" t="s">
        <v>2208</v>
      </c>
      <c r="AC114" s="62" t="e">
        <v>#N/A</v>
      </c>
    </row>
    <row r="115" spans="1:29" s="32" customFormat="1" ht="15" customHeight="1" outlineLevel="1" x14ac:dyDescent="0.3">
      <c r="A115" s="62" t="s">
        <v>585</v>
      </c>
      <c r="B115" s="62" t="s">
        <v>586</v>
      </c>
      <c r="C115" s="62" t="s">
        <v>914</v>
      </c>
      <c r="D115" s="62" t="s">
        <v>439</v>
      </c>
      <c r="E115" s="62" t="s">
        <v>439</v>
      </c>
      <c r="F115" s="62" t="s">
        <v>8</v>
      </c>
      <c r="G115" s="62" t="s">
        <v>2249</v>
      </c>
      <c r="H115" s="62" t="s">
        <v>903</v>
      </c>
      <c r="I115" s="62" t="s">
        <v>1064</v>
      </c>
      <c r="J115" s="63">
        <v>0.629</v>
      </c>
      <c r="K115" s="63">
        <v>2.278539874447803E-2</v>
      </c>
      <c r="L115" s="62"/>
      <c r="M115" s="62" t="s">
        <v>1014</v>
      </c>
      <c r="N115" s="62" t="s">
        <v>916</v>
      </c>
      <c r="O115" s="62" t="str">
        <f t="shared" si="1"/>
        <v>PH08_Enterprise Pro/Core PH</v>
      </c>
      <c r="P115" s="62" t="s">
        <v>2178</v>
      </c>
      <c r="Q115" s="62" t="s">
        <v>917</v>
      </c>
      <c r="R115" s="62">
        <v>4</v>
      </c>
      <c r="S115" s="64"/>
      <c r="T115" s="62" t="s">
        <v>897</v>
      </c>
      <c r="U115" s="62">
        <v>13</v>
      </c>
      <c r="V115" s="65" t="s">
        <v>1886</v>
      </c>
      <c r="W115" s="65">
        <v>0</v>
      </c>
      <c r="X115" s="62"/>
      <c r="Y115" s="66" t="s">
        <v>1971</v>
      </c>
      <c r="Z115" s="62" t="s">
        <v>1972</v>
      </c>
      <c r="AA115" s="62" t="s">
        <v>2145</v>
      </c>
      <c r="AB115" s="62" t="s">
        <v>2208</v>
      </c>
      <c r="AC115" s="62" t="e">
        <v>#N/A</v>
      </c>
    </row>
    <row r="116" spans="1:29" s="32" customFormat="1" ht="15" customHeight="1" outlineLevel="1" x14ac:dyDescent="0.3">
      <c r="A116" s="62" t="s">
        <v>738</v>
      </c>
      <c r="B116" s="62" t="s">
        <v>739</v>
      </c>
      <c r="C116" s="62" t="s">
        <v>892</v>
      </c>
      <c r="D116" s="62"/>
      <c r="E116" s="62" t="s">
        <v>440</v>
      </c>
      <c r="F116" s="62" t="s">
        <v>8</v>
      </c>
      <c r="G116" s="62" t="s">
        <v>2249</v>
      </c>
      <c r="H116" s="62" t="s">
        <v>903</v>
      </c>
      <c r="I116" s="62" t="s">
        <v>1232</v>
      </c>
      <c r="J116" s="63">
        <v>0.629</v>
      </c>
      <c r="K116" s="63"/>
      <c r="L116" s="62"/>
      <c r="M116" s="62" t="s">
        <v>895</v>
      </c>
      <c r="N116" s="62"/>
      <c r="O116" s="62" t="str">
        <f t="shared" si="1"/>
        <v>SY01_Skytech Enterprise SA</v>
      </c>
      <c r="P116" s="62" t="s">
        <v>2177</v>
      </c>
      <c r="Q116" s="62" t="s">
        <v>917</v>
      </c>
      <c r="R116" s="62">
        <v>14</v>
      </c>
      <c r="S116" s="64"/>
      <c r="T116" s="62" t="s">
        <v>897</v>
      </c>
      <c r="U116" s="62"/>
      <c r="V116" s="65" t="s">
        <v>1886</v>
      </c>
      <c r="W116" s="65">
        <v>0</v>
      </c>
      <c r="X116" s="62"/>
      <c r="Y116" s="66" t="e">
        <v>#N/A</v>
      </c>
      <c r="Z116" s="62" t="e">
        <v>#N/A</v>
      </c>
      <c r="AA116" s="62"/>
      <c r="AB116" s="62" t="s">
        <v>2208</v>
      </c>
      <c r="AC116" s="62" t="e">
        <v>#N/A</v>
      </c>
    </row>
    <row r="117" spans="1:29" s="32" customFormat="1" ht="15" customHeight="1" outlineLevel="1" x14ac:dyDescent="0.3">
      <c r="A117" s="62" t="s">
        <v>612</v>
      </c>
      <c r="B117" s="62" t="s">
        <v>613</v>
      </c>
      <c r="C117" s="62" t="s">
        <v>892</v>
      </c>
      <c r="D117" s="62" t="s">
        <v>609</v>
      </c>
      <c r="E117" s="62" t="s">
        <v>609</v>
      </c>
      <c r="F117" s="62" t="s">
        <v>8</v>
      </c>
      <c r="G117" s="62" t="s">
        <v>2249</v>
      </c>
      <c r="H117" s="62" t="s">
        <v>935</v>
      </c>
      <c r="I117" s="62" t="s">
        <v>936</v>
      </c>
      <c r="J117" s="63">
        <v>0.57099999999999995</v>
      </c>
      <c r="K117" s="63">
        <v>1.5604681404421327E-2</v>
      </c>
      <c r="L117" s="62"/>
      <c r="M117" s="62" t="s">
        <v>931</v>
      </c>
      <c r="N117" s="62" t="s">
        <v>916</v>
      </c>
      <c r="O117" s="62" t="str">
        <f t="shared" si="1"/>
        <v>BPS1_Brazil Powerstore</v>
      </c>
      <c r="P117" s="62" t="s">
        <v>2185</v>
      </c>
      <c r="Q117" s="62" t="s">
        <v>937</v>
      </c>
      <c r="R117" s="62">
        <v>8</v>
      </c>
      <c r="S117" s="64"/>
      <c r="T117" s="62" t="s">
        <v>897</v>
      </c>
      <c r="U117" s="62"/>
      <c r="V117" s="65" t="s">
        <v>1886</v>
      </c>
      <c r="W117" s="65">
        <v>0</v>
      </c>
      <c r="X117" s="62"/>
      <c r="Y117" s="66" t="s">
        <v>1978</v>
      </c>
      <c r="Z117" s="62" t="s">
        <v>1979</v>
      </c>
      <c r="AA117" s="62"/>
      <c r="AB117" s="62" t="s">
        <v>2209</v>
      </c>
      <c r="AC117" s="62" t="e">
        <v>#N/A</v>
      </c>
    </row>
    <row r="118" spans="1:29" s="32" customFormat="1" ht="15" customHeight="1" outlineLevel="1" x14ac:dyDescent="0.3">
      <c r="A118" s="62" t="s">
        <v>455</v>
      </c>
      <c r="B118" s="62" t="s">
        <v>456</v>
      </c>
      <c r="C118" s="62" t="s">
        <v>892</v>
      </c>
      <c r="D118" s="62" t="s">
        <v>439</v>
      </c>
      <c r="E118" s="62" t="s">
        <v>439</v>
      </c>
      <c r="F118" s="62" t="s">
        <v>8</v>
      </c>
      <c r="G118" s="62" t="s">
        <v>2249</v>
      </c>
      <c r="H118" s="62" t="s">
        <v>935</v>
      </c>
      <c r="I118" s="62" t="s">
        <v>936</v>
      </c>
      <c r="J118" s="63">
        <v>0.57099999999999995</v>
      </c>
      <c r="K118" s="63">
        <v>1.5604681404421327E-2</v>
      </c>
      <c r="L118" s="62"/>
      <c r="M118" s="62" t="s">
        <v>931</v>
      </c>
      <c r="N118" s="62" t="s">
        <v>916</v>
      </c>
      <c r="O118" s="62" t="str">
        <f t="shared" si="1"/>
        <v>BZ10_BRZ HC Server Voice (EL)</v>
      </c>
      <c r="P118" s="62" t="s">
        <v>2185</v>
      </c>
      <c r="Q118" s="62" t="s">
        <v>937</v>
      </c>
      <c r="R118" s="62">
        <v>8</v>
      </c>
      <c r="S118" s="64"/>
      <c r="T118" s="62" t="s">
        <v>897</v>
      </c>
      <c r="U118" s="62"/>
      <c r="V118" s="65" t="s">
        <v>1886</v>
      </c>
      <c r="W118" s="65">
        <v>0</v>
      </c>
      <c r="X118" s="62"/>
      <c r="Y118" s="66" t="s">
        <v>1980</v>
      </c>
      <c r="Z118" s="62" t="s">
        <v>1981</v>
      </c>
      <c r="AA118" s="62"/>
      <c r="AB118" s="62" t="s">
        <v>2209</v>
      </c>
      <c r="AC118" s="62" t="e">
        <v>#N/A</v>
      </c>
    </row>
    <row r="119" spans="1:29" s="32" customFormat="1" ht="15" customHeight="1" outlineLevel="1" x14ac:dyDescent="0.3">
      <c r="A119" s="62" t="s">
        <v>614</v>
      </c>
      <c r="B119" s="62" t="s">
        <v>615</v>
      </c>
      <c r="C119" s="62" t="s">
        <v>892</v>
      </c>
      <c r="D119" s="62" t="s">
        <v>609</v>
      </c>
      <c r="E119" s="62" t="s">
        <v>609</v>
      </c>
      <c r="F119" s="62" t="s">
        <v>8</v>
      </c>
      <c r="G119" s="62" t="s">
        <v>2249</v>
      </c>
      <c r="H119" s="62" t="s">
        <v>935</v>
      </c>
      <c r="I119" s="62" t="s">
        <v>936</v>
      </c>
      <c r="J119" s="63">
        <v>0.57099999999999995</v>
      </c>
      <c r="K119" s="63">
        <v>1.5604681404421327E-2</v>
      </c>
      <c r="L119" s="62"/>
      <c r="M119" s="62" t="s">
        <v>931</v>
      </c>
      <c r="N119" s="62" t="s">
        <v>916</v>
      </c>
      <c r="O119" s="62" t="str">
        <f t="shared" si="1"/>
        <v>BZ11_BRZ HC Storage Voice (EL)</v>
      </c>
      <c r="P119" s="62" t="s">
        <v>2185</v>
      </c>
      <c r="Q119" s="62" t="s">
        <v>937</v>
      </c>
      <c r="R119" s="62">
        <v>8</v>
      </c>
      <c r="S119" s="64"/>
      <c r="T119" s="62" t="s">
        <v>897</v>
      </c>
      <c r="U119" s="62"/>
      <c r="V119" s="65" t="s">
        <v>1886</v>
      </c>
      <c r="W119" s="65">
        <v>0</v>
      </c>
      <c r="X119" s="62"/>
      <c r="Y119" s="66" t="s">
        <v>1978</v>
      </c>
      <c r="Z119" s="62" t="s">
        <v>1979</v>
      </c>
      <c r="AA119" s="62"/>
      <c r="AB119" s="62" t="s">
        <v>2209</v>
      </c>
      <c r="AC119" s="62" t="e">
        <v>#N/A</v>
      </c>
    </row>
    <row r="120" spans="1:29" ht="15" customHeight="1" outlineLevel="1" x14ac:dyDescent="0.3">
      <c r="A120" s="62" t="s">
        <v>457</v>
      </c>
      <c r="B120" s="62" t="s">
        <v>458</v>
      </c>
      <c r="C120" s="62" t="s">
        <v>892</v>
      </c>
      <c r="D120" s="62" t="s">
        <v>439</v>
      </c>
      <c r="E120" s="62" t="s">
        <v>439</v>
      </c>
      <c r="F120" s="62" t="s">
        <v>8</v>
      </c>
      <c r="G120" s="62" t="s">
        <v>2249</v>
      </c>
      <c r="H120" s="62" t="s">
        <v>935</v>
      </c>
      <c r="I120" s="62" t="s">
        <v>936</v>
      </c>
      <c r="J120" s="63">
        <v>0.57099999999999995</v>
      </c>
      <c r="K120" s="63">
        <v>1.5604681404421327E-2</v>
      </c>
      <c r="L120" s="62"/>
      <c r="M120" s="62" t="s">
        <v>931</v>
      </c>
      <c r="N120" s="62" t="s">
        <v>916</v>
      </c>
      <c r="O120" s="62" t="str">
        <f t="shared" si="1"/>
        <v>BZ13_BRZ LC Server Voice (EL)</v>
      </c>
      <c r="P120" s="62" t="s">
        <v>2185</v>
      </c>
      <c r="Q120" s="62" t="s">
        <v>937</v>
      </c>
      <c r="R120" s="62">
        <v>8</v>
      </c>
      <c r="S120" s="64"/>
      <c r="T120" s="62" t="s">
        <v>897</v>
      </c>
      <c r="U120" s="62"/>
      <c r="V120" s="65" t="s">
        <v>1886</v>
      </c>
      <c r="W120" s="65">
        <v>0</v>
      </c>
      <c r="X120" s="62"/>
      <c r="Y120" s="66" t="s">
        <v>1978</v>
      </c>
      <c r="Z120" s="62" t="s">
        <v>1979</v>
      </c>
      <c r="AA120" s="62"/>
      <c r="AB120" s="62" t="s">
        <v>2209</v>
      </c>
      <c r="AC120" s="62" t="e">
        <v>#N/A</v>
      </c>
    </row>
    <row r="121" spans="1:29" ht="15" customHeight="1" outlineLevel="1" x14ac:dyDescent="0.3">
      <c r="A121" s="62" t="s">
        <v>40</v>
      </c>
      <c r="B121" s="62" t="s">
        <v>41</v>
      </c>
      <c r="C121" s="62" t="s">
        <v>892</v>
      </c>
      <c r="D121" s="62" t="s">
        <v>13</v>
      </c>
      <c r="E121" s="62" t="s">
        <v>13</v>
      </c>
      <c r="F121" s="62" t="s">
        <v>8</v>
      </c>
      <c r="G121" s="62" t="s">
        <v>2250</v>
      </c>
      <c r="H121" s="62" t="s">
        <v>935</v>
      </c>
      <c r="I121" s="62" t="s">
        <v>936</v>
      </c>
      <c r="J121" s="63">
        <v>0.57099999999999995</v>
      </c>
      <c r="K121" s="63"/>
      <c r="L121" s="62"/>
      <c r="M121" s="62" t="s">
        <v>1015</v>
      </c>
      <c r="N121" s="62" t="s">
        <v>13</v>
      </c>
      <c r="O121" s="62" t="str">
        <f t="shared" si="1"/>
        <v>PS03_Brazil ESG CTE</v>
      </c>
      <c r="P121" s="62" t="s">
        <v>2185</v>
      </c>
      <c r="Q121" s="62" t="s">
        <v>937</v>
      </c>
      <c r="R121" s="62">
        <v>10</v>
      </c>
      <c r="S121" s="64"/>
      <c r="T121" s="62" t="s">
        <v>897</v>
      </c>
      <c r="U121" s="62"/>
      <c r="V121" s="65" t="s">
        <v>1886</v>
      </c>
      <c r="W121" s="65">
        <v>0</v>
      </c>
      <c r="X121" s="62"/>
      <c r="Y121" s="66" t="s">
        <v>1990</v>
      </c>
      <c r="Z121" s="62" t="s">
        <v>1790</v>
      </c>
      <c r="AA121" s="62"/>
      <c r="AB121" s="62" t="s">
        <v>2209</v>
      </c>
      <c r="AC121" s="62" t="e">
        <v>#N/A</v>
      </c>
    </row>
    <row r="122" spans="1:29" ht="15" customHeight="1" outlineLevel="1" x14ac:dyDescent="0.3">
      <c r="A122" s="62" t="s">
        <v>666</v>
      </c>
      <c r="B122" s="62" t="s">
        <v>667</v>
      </c>
      <c r="C122" s="62" t="s">
        <v>892</v>
      </c>
      <c r="D122" s="62" t="s">
        <v>609</v>
      </c>
      <c r="E122" s="62" t="s">
        <v>609</v>
      </c>
      <c r="F122" s="62" t="s">
        <v>8</v>
      </c>
      <c r="G122" s="62" t="s">
        <v>2249</v>
      </c>
      <c r="H122" s="62" t="s">
        <v>935</v>
      </c>
      <c r="I122" s="62" t="s">
        <v>1076</v>
      </c>
      <c r="J122" s="63">
        <v>0.626</v>
      </c>
      <c r="K122" s="63">
        <v>1.5604681404421327E-2</v>
      </c>
      <c r="L122" s="62"/>
      <c r="M122" s="62" t="s">
        <v>931</v>
      </c>
      <c r="N122" s="62" t="s">
        <v>916</v>
      </c>
      <c r="O122" s="62" t="str">
        <f t="shared" si="1"/>
        <v>RPS1_MMCLA Powerstore</v>
      </c>
      <c r="P122" s="62" t="s">
        <v>2185</v>
      </c>
      <c r="Q122" s="62" t="s">
        <v>937</v>
      </c>
      <c r="R122" s="62">
        <v>8</v>
      </c>
      <c r="S122" s="64"/>
      <c r="T122" s="62" t="s">
        <v>897</v>
      </c>
      <c r="U122" s="62"/>
      <c r="V122" s="65" t="s">
        <v>1886</v>
      </c>
      <c r="W122" s="65">
        <v>0</v>
      </c>
      <c r="X122" s="62"/>
      <c r="Y122" s="66" t="s">
        <v>2002</v>
      </c>
      <c r="Z122" s="62" t="s">
        <v>1974</v>
      </c>
      <c r="AA122" s="62"/>
      <c r="AB122" s="62" t="s">
        <v>2216</v>
      </c>
      <c r="AC122" s="62" t="e">
        <v>#N/A</v>
      </c>
    </row>
    <row r="123" spans="1:29" ht="15" customHeight="1" outlineLevel="1" x14ac:dyDescent="0.3">
      <c r="A123" s="62" t="s">
        <v>42</v>
      </c>
      <c r="B123" s="62" t="s">
        <v>43</v>
      </c>
      <c r="C123" s="62" t="s">
        <v>892</v>
      </c>
      <c r="D123" s="62" t="s">
        <v>13</v>
      </c>
      <c r="E123" s="62" t="s">
        <v>13</v>
      </c>
      <c r="F123" s="62" t="s">
        <v>8</v>
      </c>
      <c r="G123" s="62" t="s">
        <v>2250</v>
      </c>
      <c r="H123" s="62" t="s">
        <v>935</v>
      </c>
      <c r="I123" s="62" t="s">
        <v>1076</v>
      </c>
      <c r="J123" s="63">
        <v>0.626</v>
      </c>
      <c r="K123" s="63"/>
      <c r="L123" s="62"/>
      <c r="M123" s="62" t="s">
        <v>1015</v>
      </c>
      <c r="N123" s="62" t="s">
        <v>13</v>
      </c>
      <c r="O123" s="62" t="str">
        <f t="shared" si="1"/>
        <v>SS03_MMCLA ESG CTE</v>
      </c>
      <c r="P123" s="62" t="s">
        <v>2185</v>
      </c>
      <c r="Q123" s="62" t="s">
        <v>937</v>
      </c>
      <c r="R123" s="62">
        <v>10</v>
      </c>
      <c r="S123" s="64"/>
      <c r="T123" s="62" t="s">
        <v>897</v>
      </c>
      <c r="U123" s="62"/>
      <c r="V123" s="65" t="s">
        <v>1886</v>
      </c>
      <c r="W123" s="65">
        <v>0</v>
      </c>
      <c r="X123" s="62"/>
      <c r="Y123" s="66" t="s">
        <v>1990</v>
      </c>
      <c r="Z123" s="62" t="s">
        <v>1790</v>
      </c>
      <c r="AA123" s="62"/>
      <c r="AB123" s="62" t="s">
        <v>779</v>
      </c>
      <c r="AC123" s="62" t="e">
        <v>#N/A</v>
      </c>
    </row>
    <row r="124" spans="1:29" ht="15" customHeight="1" outlineLevel="1" x14ac:dyDescent="0.3">
      <c r="A124" s="62" t="s">
        <v>32</v>
      </c>
      <c r="B124" s="62" t="s">
        <v>33</v>
      </c>
      <c r="C124" s="62" t="s">
        <v>892</v>
      </c>
      <c r="D124" s="62" t="s">
        <v>13</v>
      </c>
      <c r="E124" s="62" t="s">
        <v>13</v>
      </c>
      <c r="F124" s="62" t="s">
        <v>8</v>
      </c>
      <c r="G124" s="62" t="s">
        <v>2250</v>
      </c>
      <c r="H124" s="62" t="s">
        <v>912</v>
      </c>
      <c r="I124" s="62" t="s">
        <v>1006</v>
      </c>
      <c r="J124" s="63">
        <v>0.61699999999999999</v>
      </c>
      <c r="K124" s="63"/>
      <c r="L124" s="62"/>
      <c r="M124" s="62" t="s">
        <v>1007</v>
      </c>
      <c r="N124" s="62" t="s">
        <v>13</v>
      </c>
      <c r="O124" s="62" t="str">
        <f t="shared" si="1"/>
        <v>CTE3_EMEA SERVER CTE</v>
      </c>
      <c r="P124" s="62" t="s">
        <v>2184</v>
      </c>
      <c r="Q124" s="62" t="s">
        <v>930</v>
      </c>
      <c r="R124" s="62">
        <v>8</v>
      </c>
      <c r="S124" s="64"/>
      <c r="T124" s="62" t="s">
        <v>897</v>
      </c>
      <c r="U124" s="62"/>
      <c r="V124" s="65" t="s">
        <v>1886</v>
      </c>
      <c r="W124" s="65">
        <v>0</v>
      </c>
      <c r="X124" s="62"/>
      <c r="Y124" s="66" t="s">
        <v>1992</v>
      </c>
      <c r="Z124" s="62" t="s">
        <v>1986</v>
      </c>
      <c r="AA124" s="62"/>
      <c r="AB124" s="62" t="s">
        <v>2210</v>
      </c>
      <c r="AC124" s="62" t="e">
        <v>#N/A</v>
      </c>
    </row>
    <row r="125" spans="1:29" ht="15" customHeight="1" outlineLevel="1" x14ac:dyDescent="0.3">
      <c r="A125" s="62" t="s">
        <v>34</v>
      </c>
      <c r="B125" s="62" t="s">
        <v>35</v>
      </c>
      <c r="C125" s="62" t="s">
        <v>892</v>
      </c>
      <c r="D125" s="62" t="s">
        <v>13</v>
      </c>
      <c r="E125" s="62" t="s">
        <v>13</v>
      </c>
      <c r="F125" s="62" t="s">
        <v>8</v>
      </c>
      <c r="G125" s="62" t="s">
        <v>2250</v>
      </c>
      <c r="H125" s="62" t="s">
        <v>912</v>
      </c>
      <c r="I125" s="62" t="s">
        <v>1006</v>
      </c>
      <c r="J125" s="63">
        <v>0.61699999999999999</v>
      </c>
      <c r="K125" s="63"/>
      <c r="L125" s="62"/>
      <c r="M125" s="62" t="s">
        <v>1007</v>
      </c>
      <c r="N125" s="62" t="s">
        <v>13</v>
      </c>
      <c r="O125" s="62" t="str">
        <f t="shared" si="1"/>
        <v>CTE4_EMEA MODULAR CTE</v>
      </c>
      <c r="P125" s="62" t="s">
        <v>2184</v>
      </c>
      <c r="Q125" s="62" t="s">
        <v>930</v>
      </c>
      <c r="R125" s="62">
        <v>8</v>
      </c>
      <c r="S125" s="64"/>
      <c r="T125" s="62" t="s">
        <v>897</v>
      </c>
      <c r="U125" s="62"/>
      <c r="V125" s="65" t="s">
        <v>1886</v>
      </c>
      <c r="W125" s="65">
        <v>0</v>
      </c>
      <c r="X125" s="62"/>
      <c r="Y125" s="66" t="s">
        <v>1992</v>
      </c>
      <c r="Z125" s="62" t="s">
        <v>1986</v>
      </c>
      <c r="AA125" s="62"/>
      <c r="AB125" s="62" t="s">
        <v>2210</v>
      </c>
      <c r="AC125" s="62" t="e">
        <v>#N/A</v>
      </c>
    </row>
    <row r="126" spans="1:29" ht="15" customHeight="1" outlineLevel="1" x14ac:dyDescent="0.3">
      <c r="A126" s="62" t="s">
        <v>36</v>
      </c>
      <c r="B126" s="62" t="s">
        <v>37</v>
      </c>
      <c r="C126" s="62" t="s">
        <v>892</v>
      </c>
      <c r="D126" s="62" t="s">
        <v>13</v>
      </c>
      <c r="E126" s="62" t="s">
        <v>13</v>
      </c>
      <c r="F126" s="62" t="s">
        <v>8</v>
      </c>
      <c r="G126" s="62" t="s">
        <v>2250</v>
      </c>
      <c r="H126" s="62" t="s">
        <v>893</v>
      </c>
      <c r="I126" s="62" t="s">
        <v>894</v>
      </c>
      <c r="J126" s="63">
        <v>0.64800000000000002</v>
      </c>
      <c r="K126" s="63"/>
      <c r="L126" s="62"/>
      <c r="M126" s="62" t="s">
        <v>931</v>
      </c>
      <c r="N126" s="62" t="s">
        <v>13</v>
      </c>
      <c r="O126" s="62" t="str">
        <f t="shared" si="1"/>
        <v>CTE6_NA CTE Storage</v>
      </c>
      <c r="P126" s="62" t="s">
        <v>2185</v>
      </c>
      <c r="Q126" s="62" t="s">
        <v>930</v>
      </c>
      <c r="R126" s="62">
        <v>8</v>
      </c>
      <c r="S126" s="64"/>
      <c r="T126" s="62" t="s">
        <v>897</v>
      </c>
      <c r="U126" s="62"/>
      <c r="V126" s="65" t="s">
        <v>1886</v>
      </c>
      <c r="W126" s="65">
        <v>0</v>
      </c>
      <c r="X126" s="62"/>
      <c r="Y126" s="66" t="e">
        <v>#N/A</v>
      </c>
      <c r="Z126" s="62" t="e">
        <v>#N/A</v>
      </c>
      <c r="AA126" s="62"/>
      <c r="AB126" s="62" t="s">
        <v>2208</v>
      </c>
      <c r="AC126" s="62" t="e">
        <v>#N/A</v>
      </c>
    </row>
    <row r="127" spans="1:29" ht="15" customHeight="1" outlineLevel="1" x14ac:dyDescent="0.3">
      <c r="A127" s="62" t="s">
        <v>497</v>
      </c>
      <c r="B127" s="62" t="s">
        <v>498</v>
      </c>
      <c r="C127" s="62" t="s">
        <v>892</v>
      </c>
      <c r="D127" s="62" t="s">
        <v>439</v>
      </c>
      <c r="E127" s="62" t="s">
        <v>439</v>
      </c>
      <c r="F127" s="62" t="s">
        <v>8</v>
      </c>
      <c r="G127" s="62" t="s">
        <v>2249</v>
      </c>
      <c r="H127" s="62" t="s">
        <v>912</v>
      </c>
      <c r="I127" s="62" t="s">
        <v>1008</v>
      </c>
      <c r="J127" s="63">
        <v>0.61699999999999999</v>
      </c>
      <c r="K127" s="63">
        <v>3.8967379973253502E-2</v>
      </c>
      <c r="L127" s="62"/>
      <c r="M127" s="62" t="s">
        <v>939</v>
      </c>
      <c r="N127" s="62" t="s">
        <v>916</v>
      </c>
      <c r="O127" s="62" t="str">
        <f t="shared" si="1"/>
        <v>EC21_EC RUS Enterprise (HAL)</v>
      </c>
      <c r="P127" s="62" t="s">
        <v>2186</v>
      </c>
      <c r="Q127" s="62" t="s">
        <v>930</v>
      </c>
      <c r="R127" s="62">
        <v>7</v>
      </c>
      <c r="S127" s="64"/>
      <c r="T127" s="62" t="s">
        <v>897</v>
      </c>
      <c r="U127" s="62"/>
      <c r="V127" s="65" t="s">
        <v>1886</v>
      </c>
      <c r="W127" s="65">
        <v>0</v>
      </c>
      <c r="X127" s="62"/>
      <c r="Y127" s="66" t="s">
        <v>1995</v>
      </c>
      <c r="Z127" s="62" t="s">
        <v>1986</v>
      </c>
      <c r="AA127" s="62"/>
      <c r="AB127" s="62" t="s">
        <v>2221</v>
      </c>
      <c r="AC127" s="62" t="e">
        <v>#N/A</v>
      </c>
    </row>
    <row r="128" spans="1:29" ht="15" customHeight="1" outlineLevel="1" x14ac:dyDescent="0.3">
      <c r="A128" s="62" t="s">
        <v>505</v>
      </c>
      <c r="B128" s="62" t="s">
        <v>506</v>
      </c>
      <c r="C128" s="62" t="s">
        <v>892</v>
      </c>
      <c r="D128" s="62" t="s">
        <v>439</v>
      </c>
      <c r="E128" s="62" t="s">
        <v>439</v>
      </c>
      <c r="F128" s="62" t="s">
        <v>8</v>
      </c>
      <c r="G128" s="62" t="s">
        <v>2249</v>
      </c>
      <c r="H128" s="62" t="s">
        <v>912</v>
      </c>
      <c r="I128" s="62" t="s">
        <v>1008</v>
      </c>
      <c r="J128" s="63">
        <v>0.61699999999999999</v>
      </c>
      <c r="K128" s="63">
        <v>3.8967379973253502E-2</v>
      </c>
      <c r="L128" s="62"/>
      <c r="M128" s="62" t="s">
        <v>931</v>
      </c>
      <c r="N128" s="62" t="s">
        <v>916</v>
      </c>
      <c r="O128" s="62" t="str">
        <f t="shared" si="1"/>
        <v>EC34_EC ProSupp Server CEE (HAL)</v>
      </c>
      <c r="P128" s="62" t="s">
        <v>2184</v>
      </c>
      <c r="Q128" s="62" t="s">
        <v>930</v>
      </c>
      <c r="R128" s="62">
        <v>8</v>
      </c>
      <c r="S128" s="64"/>
      <c r="T128" s="62" t="s">
        <v>897</v>
      </c>
      <c r="U128" s="62"/>
      <c r="V128" s="65" t="s">
        <v>1886</v>
      </c>
      <c r="W128" s="65">
        <v>0</v>
      </c>
      <c r="X128" s="62"/>
      <c r="Y128" s="66" t="s">
        <v>1996</v>
      </c>
      <c r="Z128" s="62" t="s">
        <v>1986</v>
      </c>
      <c r="AA128" s="62"/>
      <c r="AB128" s="62" t="s">
        <v>2210</v>
      </c>
      <c r="AC128" s="62" t="e">
        <v>#N/A</v>
      </c>
    </row>
    <row r="129" spans="1:29" ht="15" customHeight="1" outlineLevel="1" x14ac:dyDescent="0.3">
      <c r="A129" s="62" t="s">
        <v>515</v>
      </c>
      <c r="B129" s="62" t="s">
        <v>516</v>
      </c>
      <c r="C129" s="62" t="s">
        <v>892</v>
      </c>
      <c r="D129" s="62" t="s">
        <v>439</v>
      </c>
      <c r="E129" s="62" t="s">
        <v>439</v>
      </c>
      <c r="F129" s="62" t="s">
        <v>8</v>
      </c>
      <c r="G129" s="62" t="s">
        <v>2249</v>
      </c>
      <c r="H129" s="62" t="s">
        <v>912</v>
      </c>
      <c r="I129" s="62" t="s">
        <v>1006</v>
      </c>
      <c r="J129" s="63">
        <v>0.61699999999999999</v>
      </c>
      <c r="K129" s="63">
        <v>3.8967379973253502E-2</v>
      </c>
      <c r="L129" s="62"/>
      <c r="M129" s="62" t="s">
        <v>939</v>
      </c>
      <c r="N129" s="62" t="s">
        <v>916</v>
      </c>
      <c r="O129" s="62" t="str">
        <f t="shared" si="1"/>
        <v>FR09_FRA ProSupport Server (CAS)</v>
      </c>
      <c r="P129" s="62" t="s">
        <v>2184</v>
      </c>
      <c r="Q129" s="62" t="s">
        <v>930</v>
      </c>
      <c r="R129" s="62">
        <v>7</v>
      </c>
      <c r="S129" s="64"/>
      <c r="T129" s="62" t="s">
        <v>897</v>
      </c>
      <c r="U129" s="62"/>
      <c r="V129" s="65" t="s">
        <v>1886</v>
      </c>
      <c r="W129" s="65">
        <v>0</v>
      </c>
      <c r="X129" s="62"/>
      <c r="Y129" s="66" t="s">
        <v>1993</v>
      </c>
      <c r="Z129" s="62" t="s">
        <v>1986</v>
      </c>
      <c r="AA129" s="62"/>
      <c r="AB129" s="62" t="s">
        <v>2215</v>
      </c>
      <c r="AC129" s="62" t="e">
        <v>#N/A</v>
      </c>
    </row>
    <row r="130" spans="1:29" ht="15" customHeight="1" outlineLevel="1" x14ac:dyDescent="0.3">
      <c r="A130" s="62" t="s">
        <v>517</v>
      </c>
      <c r="B130" s="62" t="s">
        <v>518</v>
      </c>
      <c r="C130" s="62" t="s">
        <v>892</v>
      </c>
      <c r="D130" s="62" t="s">
        <v>439</v>
      </c>
      <c r="E130" s="62" t="s">
        <v>439</v>
      </c>
      <c r="F130" s="62" t="s">
        <v>8</v>
      </c>
      <c r="G130" s="62" t="s">
        <v>2249</v>
      </c>
      <c r="H130" s="62" t="s">
        <v>912</v>
      </c>
      <c r="I130" s="62" t="s">
        <v>1006</v>
      </c>
      <c r="J130" s="63">
        <v>0.61699999999999999</v>
      </c>
      <c r="K130" s="63">
        <v>3.8967379973253502E-2</v>
      </c>
      <c r="L130" s="62"/>
      <c r="M130" s="62" t="s">
        <v>939</v>
      </c>
      <c r="N130" s="62" t="s">
        <v>916</v>
      </c>
      <c r="O130" s="62" t="str">
        <f t="shared" ref="O130:O192" si="2">A130&amp;"_"&amp;B130</f>
        <v>FR11_FRA ProSupport Plus Server (MTP)</v>
      </c>
      <c r="P130" s="62" t="s">
        <v>2184</v>
      </c>
      <c r="Q130" s="62" t="s">
        <v>930</v>
      </c>
      <c r="R130" s="62">
        <v>7</v>
      </c>
      <c r="S130" s="64"/>
      <c r="T130" s="62" t="s">
        <v>897</v>
      </c>
      <c r="U130" s="62"/>
      <c r="V130" s="65" t="s">
        <v>1886</v>
      </c>
      <c r="W130" s="65">
        <v>0</v>
      </c>
      <c r="X130" s="62"/>
      <c r="Y130" s="66" t="s">
        <v>1993</v>
      </c>
      <c r="Z130" s="62" t="s">
        <v>1986</v>
      </c>
      <c r="AA130" s="62"/>
      <c r="AB130" s="62" t="s">
        <v>2215</v>
      </c>
      <c r="AC130" s="62" t="e">
        <v>#N/A</v>
      </c>
    </row>
    <row r="131" spans="1:29" ht="15" customHeight="1" outlineLevel="1" x14ac:dyDescent="0.3">
      <c r="A131" s="62" t="s">
        <v>529</v>
      </c>
      <c r="B131" s="62" t="s">
        <v>530</v>
      </c>
      <c r="C131" s="62" t="s">
        <v>892</v>
      </c>
      <c r="D131" s="62" t="s">
        <v>439</v>
      </c>
      <c r="E131" s="62" t="s">
        <v>439</v>
      </c>
      <c r="F131" s="62" t="s">
        <v>8</v>
      </c>
      <c r="G131" s="62" t="s">
        <v>2249</v>
      </c>
      <c r="H131" s="62" t="s">
        <v>912</v>
      </c>
      <c r="I131" s="62" t="s">
        <v>1006</v>
      </c>
      <c r="J131" s="63">
        <v>0.61699999999999999</v>
      </c>
      <c r="K131" s="63">
        <v>3.8967379973253502E-2</v>
      </c>
      <c r="L131" s="62"/>
      <c r="M131" s="62" t="s">
        <v>1007</v>
      </c>
      <c r="N131" s="62" t="s">
        <v>916</v>
      </c>
      <c r="O131" s="62" t="str">
        <f t="shared" si="2"/>
        <v>GB18_ENG ProSupp Server</v>
      </c>
      <c r="P131" s="62" t="s">
        <v>2184</v>
      </c>
      <c r="Q131" s="62" t="s">
        <v>930</v>
      </c>
      <c r="R131" s="62">
        <v>8</v>
      </c>
      <c r="S131" s="64"/>
      <c r="T131" s="62" t="s">
        <v>897</v>
      </c>
      <c r="U131" s="62"/>
      <c r="V131" s="65" t="s">
        <v>1886</v>
      </c>
      <c r="W131" s="65">
        <v>0</v>
      </c>
      <c r="X131" s="62"/>
      <c r="Y131" s="66" t="s">
        <v>1998</v>
      </c>
      <c r="Z131" s="62" t="s">
        <v>1986</v>
      </c>
      <c r="AA131" s="62"/>
      <c r="AB131" s="62" t="s">
        <v>2208</v>
      </c>
      <c r="AC131" s="62" t="e">
        <v>#N/A</v>
      </c>
    </row>
    <row r="132" spans="1:29" ht="15" customHeight="1" outlineLevel="1" x14ac:dyDescent="0.3">
      <c r="A132" s="62" t="s">
        <v>569</v>
      </c>
      <c r="B132" s="62" t="s">
        <v>570</v>
      </c>
      <c r="C132" s="62" t="s">
        <v>892</v>
      </c>
      <c r="D132" s="62" t="s">
        <v>439</v>
      </c>
      <c r="E132" s="62" t="s">
        <v>439</v>
      </c>
      <c r="F132" s="62" t="s">
        <v>8</v>
      </c>
      <c r="G132" s="62" t="s">
        <v>2249</v>
      </c>
      <c r="H132" s="62" t="s">
        <v>893</v>
      </c>
      <c r="I132" s="62" t="s">
        <v>894</v>
      </c>
      <c r="J132" s="63">
        <v>0.64800000000000002</v>
      </c>
      <c r="K132" s="63">
        <v>2.0441445869264104E-2</v>
      </c>
      <c r="L132" s="62"/>
      <c r="M132" s="62" t="s">
        <v>1029</v>
      </c>
      <c r="N132" s="62" t="s">
        <v>916</v>
      </c>
      <c r="O132" s="62" t="str">
        <f t="shared" si="2"/>
        <v>NE25_Server ProSupport Chat US</v>
      </c>
      <c r="P132" s="62" t="s">
        <v>2185</v>
      </c>
      <c r="Q132" s="62" t="s">
        <v>930</v>
      </c>
      <c r="R132" s="62">
        <v>10</v>
      </c>
      <c r="S132" s="64"/>
      <c r="T132" s="62" t="s">
        <v>897</v>
      </c>
      <c r="U132" s="62"/>
      <c r="V132" s="65" t="s">
        <v>1886</v>
      </c>
      <c r="W132" s="65">
        <v>0</v>
      </c>
      <c r="X132" s="62"/>
      <c r="Y132" s="66" t="s">
        <v>1790</v>
      </c>
      <c r="Z132" s="62" t="s">
        <v>1790</v>
      </c>
      <c r="AA132" s="62"/>
      <c r="AB132" s="62" t="s">
        <v>2208</v>
      </c>
      <c r="AC132" s="62" t="e">
        <v>#N/A</v>
      </c>
    </row>
    <row r="133" spans="1:29" ht="15" customHeight="1" outlineLevel="1" x14ac:dyDescent="0.3">
      <c r="A133" s="62" t="s">
        <v>573</v>
      </c>
      <c r="B133" s="62" t="s">
        <v>574</v>
      </c>
      <c r="C133" s="62" t="s">
        <v>892</v>
      </c>
      <c r="D133" s="62" t="s">
        <v>439</v>
      </c>
      <c r="E133" s="62" t="s">
        <v>439</v>
      </c>
      <c r="F133" s="62" t="s">
        <v>8</v>
      </c>
      <c r="G133" s="62" t="s">
        <v>2249</v>
      </c>
      <c r="H133" s="62" t="s">
        <v>893</v>
      </c>
      <c r="I133" s="62" t="s">
        <v>894</v>
      </c>
      <c r="J133" s="63">
        <v>0.64800000000000002</v>
      </c>
      <c r="K133" s="63">
        <v>2.0441445869264104E-2</v>
      </c>
      <c r="L133" s="62"/>
      <c r="M133" s="62" t="s">
        <v>931</v>
      </c>
      <c r="N133" s="62" t="s">
        <v>916</v>
      </c>
      <c r="O133" s="62" t="str">
        <f t="shared" si="2"/>
        <v>NE33_Modular US</v>
      </c>
      <c r="P133" s="62" t="s">
        <v>2185</v>
      </c>
      <c r="Q133" s="62" t="s">
        <v>930</v>
      </c>
      <c r="R133" s="62">
        <v>8</v>
      </c>
      <c r="S133" s="64"/>
      <c r="T133" s="62" t="s">
        <v>897</v>
      </c>
      <c r="U133" s="62"/>
      <c r="V133" s="65" t="s">
        <v>1886</v>
      </c>
      <c r="W133" s="65">
        <v>0</v>
      </c>
      <c r="X133" s="62"/>
      <c r="Y133" s="66" t="e">
        <v>#N/A</v>
      </c>
      <c r="Z133" s="62" t="e">
        <v>#N/A</v>
      </c>
      <c r="AA133" s="62"/>
      <c r="AB133" s="62" t="s">
        <v>2208</v>
      </c>
      <c r="AC133" s="62" t="e">
        <v>#N/A</v>
      </c>
    </row>
    <row r="134" spans="1:29" ht="15" customHeight="1" outlineLevel="1" x14ac:dyDescent="0.3">
      <c r="A134" s="62" t="s">
        <v>575</v>
      </c>
      <c r="B134" s="62" t="s">
        <v>576</v>
      </c>
      <c r="C134" s="62" t="s">
        <v>892</v>
      </c>
      <c r="D134" s="62" t="s">
        <v>439</v>
      </c>
      <c r="E134" s="62" t="s">
        <v>439</v>
      </c>
      <c r="F134" s="62" t="s">
        <v>8</v>
      </c>
      <c r="G134" s="62" t="s">
        <v>2249</v>
      </c>
      <c r="H134" s="62" t="s">
        <v>893</v>
      </c>
      <c r="I134" s="62" t="s">
        <v>894</v>
      </c>
      <c r="J134" s="63">
        <v>0.64800000000000002</v>
      </c>
      <c r="K134" s="63">
        <v>2.0441445869264104E-2</v>
      </c>
      <c r="L134" s="62"/>
      <c r="M134" s="62" t="s">
        <v>931</v>
      </c>
      <c r="N134" s="62" t="s">
        <v>916</v>
      </c>
      <c r="O134" s="62" t="str">
        <f t="shared" si="2"/>
        <v>NE35_RT Linux / Virtualization US</v>
      </c>
      <c r="P134" s="62" t="s">
        <v>2185</v>
      </c>
      <c r="Q134" s="62" t="s">
        <v>930</v>
      </c>
      <c r="R134" s="62">
        <v>8</v>
      </c>
      <c r="S134" s="64"/>
      <c r="T134" s="62" t="s">
        <v>897</v>
      </c>
      <c r="U134" s="62"/>
      <c r="V134" s="65" t="s">
        <v>1886</v>
      </c>
      <c r="W134" s="65">
        <v>0</v>
      </c>
      <c r="X134" s="62"/>
      <c r="Y134" s="66" t="e">
        <v>#N/A</v>
      </c>
      <c r="Z134" s="62" t="e">
        <v>#N/A</v>
      </c>
      <c r="AA134" s="62"/>
      <c r="AB134" s="62" t="s">
        <v>2208</v>
      </c>
      <c r="AC134" s="62" t="e">
        <v>#N/A</v>
      </c>
    </row>
    <row r="135" spans="1:29" ht="15" customHeight="1" outlineLevel="1" x14ac:dyDescent="0.3">
      <c r="A135" s="62" t="s">
        <v>583</v>
      </c>
      <c r="B135" s="62" t="s">
        <v>584</v>
      </c>
      <c r="C135" s="62" t="s">
        <v>892</v>
      </c>
      <c r="D135" s="62" t="s">
        <v>439</v>
      </c>
      <c r="E135" s="62" t="s">
        <v>439</v>
      </c>
      <c r="F135" s="62" t="s">
        <v>8</v>
      </c>
      <c r="G135" s="62" t="s">
        <v>2249</v>
      </c>
      <c r="H135" s="62" t="s">
        <v>912</v>
      </c>
      <c r="I135" s="62" t="s">
        <v>1006</v>
      </c>
      <c r="J135" s="63">
        <v>0.61699999999999999</v>
      </c>
      <c r="K135" s="63">
        <v>3.8967379973253502E-2</v>
      </c>
      <c r="L135" s="62"/>
      <c r="M135" s="62" t="s">
        <v>992</v>
      </c>
      <c r="N135" s="62" t="s">
        <v>916</v>
      </c>
      <c r="O135" s="62" t="str">
        <f t="shared" si="2"/>
        <v>PG01_POR ProSupp Server (MTP)</v>
      </c>
      <c r="P135" s="62" t="s">
        <v>2186</v>
      </c>
      <c r="Q135" s="62" t="s">
        <v>930</v>
      </c>
      <c r="R135" s="62">
        <v>4</v>
      </c>
      <c r="S135" s="64"/>
      <c r="T135" s="62" t="s">
        <v>897</v>
      </c>
      <c r="U135" s="62"/>
      <c r="V135" s="65" t="s">
        <v>1886</v>
      </c>
      <c r="W135" s="65">
        <v>0</v>
      </c>
      <c r="X135" s="62"/>
      <c r="Y135" s="66" t="s">
        <v>2001</v>
      </c>
      <c r="Z135" s="62" t="s">
        <v>1986</v>
      </c>
      <c r="AA135" s="62"/>
      <c r="AB135" s="62" t="s">
        <v>2209</v>
      </c>
      <c r="AC135" s="62" t="e">
        <v>#N/A</v>
      </c>
    </row>
    <row r="136" spans="1:29" ht="15" customHeight="1" outlineLevel="1" x14ac:dyDescent="0.3">
      <c r="A136" s="62" t="s">
        <v>597</v>
      </c>
      <c r="B136" s="62" t="s">
        <v>598</v>
      </c>
      <c r="C136" s="62" t="s">
        <v>892</v>
      </c>
      <c r="D136" s="62" t="s">
        <v>439</v>
      </c>
      <c r="E136" s="62" t="s">
        <v>439</v>
      </c>
      <c r="F136" s="62" t="s">
        <v>8</v>
      </c>
      <c r="G136" s="62" t="s">
        <v>2249</v>
      </c>
      <c r="H136" s="62" t="s">
        <v>912</v>
      </c>
      <c r="I136" s="62" t="s">
        <v>1006</v>
      </c>
      <c r="J136" s="63">
        <v>0.61699999999999999</v>
      </c>
      <c r="K136" s="63">
        <v>3.8967379973253502E-2</v>
      </c>
      <c r="L136" s="62"/>
      <c r="M136" s="62" t="s">
        <v>1014</v>
      </c>
      <c r="N136" s="62" t="s">
        <v>916</v>
      </c>
      <c r="O136" s="62" t="str">
        <f t="shared" si="2"/>
        <v>SP04_SPA Basic Enterprise (CAS)</v>
      </c>
      <c r="P136" s="62" t="s">
        <v>2186</v>
      </c>
      <c r="Q136" s="62" t="s">
        <v>930</v>
      </c>
      <c r="R136" s="62">
        <v>4</v>
      </c>
      <c r="S136" s="64"/>
      <c r="T136" s="62" t="s">
        <v>897</v>
      </c>
      <c r="U136" s="62"/>
      <c r="V136" s="65" t="s">
        <v>1886</v>
      </c>
      <c r="W136" s="65">
        <v>0</v>
      </c>
      <c r="X136" s="62"/>
      <c r="Y136" s="66" t="s">
        <v>2003</v>
      </c>
      <c r="Z136" s="62" t="s">
        <v>1986</v>
      </c>
      <c r="AA136" s="62"/>
      <c r="AB136" s="62" t="s">
        <v>779</v>
      </c>
      <c r="AC136" s="62" t="e">
        <v>#N/A</v>
      </c>
    </row>
    <row r="137" spans="1:29" ht="15" customHeight="1" outlineLevel="1" x14ac:dyDescent="0.3">
      <c r="A137" s="62" t="s">
        <v>599</v>
      </c>
      <c r="B137" s="62" t="s">
        <v>600</v>
      </c>
      <c r="C137" s="62" t="s">
        <v>892</v>
      </c>
      <c r="D137" s="62" t="s">
        <v>439</v>
      </c>
      <c r="E137" s="62" t="s">
        <v>439</v>
      </c>
      <c r="F137" s="62" t="s">
        <v>8</v>
      </c>
      <c r="G137" s="62" t="s">
        <v>2249</v>
      </c>
      <c r="H137" s="62" t="s">
        <v>912</v>
      </c>
      <c r="I137" s="62" t="s">
        <v>1006</v>
      </c>
      <c r="J137" s="63">
        <v>0.61699999999999999</v>
      </c>
      <c r="K137" s="63">
        <v>3.8967379973253502E-2</v>
      </c>
      <c r="L137" s="62"/>
      <c r="M137" s="62" t="s">
        <v>1014</v>
      </c>
      <c r="N137" s="62" t="s">
        <v>916</v>
      </c>
      <c r="O137" s="62" t="str">
        <f t="shared" si="2"/>
        <v>SP09_SPA ProSupp Server (MTP)</v>
      </c>
      <c r="P137" s="62" t="s">
        <v>2186</v>
      </c>
      <c r="Q137" s="62" t="s">
        <v>930</v>
      </c>
      <c r="R137" s="62">
        <v>4</v>
      </c>
      <c r="S137" s="64"/>
      <c r="T137" s="62" t="s">
        <v>897</v>
      </c>
      <c r="U137" s="62"/>
      <c r="V137" s="65" t="s">
        <v>1886</v>
      </c>
      <c r="W137" s="65">
        <v>0</v>
      </c>
      <c r="X137" s="62"/>
      <c r="Y137" s="66" t="s">
        <v>2003</v>
      </c>
      <c r="Z137" s="62" t="s">
        <v>1986</v>
      </c>
      <c r="AA137" s="62"/>
      <c r="AB137" s="62" t="s">
        <v>779</v>
      </c>
      <c r="AC137" s="62" t="e">
        <v>#N/A</v>
      </c>
    </row>
    <row r="138" spans="1:29" ht="15" customHeight="1" outlineLevel="1" x14ac:dyDescent="0.3">
      <c r="A138" s="62" t="s">
        <v>605</v>
      </c>
      <c r="B138" s="62" t="s">
        <v>606</v>
      </c>
      <c r="C138" s="62" t="s">
        <v>892</v>
      </c>
      <c r="D138" s="62" t="s">
        <v>439</v>
      </c>
      <c r="E138" s="62" t="s">
        <v>439</v>
      </c>
      <c r="F138" s="62" t="s">
        <v>8</v>
      </c>
      <c r="G138" s="62" t="s">
        <v>2249</v>
      </c>
      <c r="H138" s="62" t="s">
        <v>912</v>
      </c>
      <c r="I138" s="62" t="s">
        <v>938</v>
      </c>
      <c r="J138" s="63">
        <v>0.61699999999999999</v>
      </c>
      <c r="K138" s="63">
        <v>3.8967379973253502E-2</v>
      </c>
      <c r="L138" s="62"/>
      <c r="M138" s="62" t="s">
        <v>1007</v>
      </c>
      <c r="N138" s="62" t="s">
        <v>916</v>
      </c>
      <c r="O138" s="62" t="str">
        <f t="shared" si="2"/>
        <v>UPP1_ENG ProSupport Plus Server</v>
      </c>
      <c r="P138" s="62" t="s">
        <v>2184</v>
      </c>
      <c r="Q138" s="62" t="s">
        <v>930</v>
      </c>
      <c r="R138" s="62">
        <v>8</v>
      </c>
      <c r="S138" s="64"/>
      <c r="T138" s="62" t="s">
        <v>897</v>
      </c>
      <c r="U138" s="62"/>
      <c r="V138" s="65" t="s">
        <v>1886</v>
      </c>
      <c r="W138" s="65">
        <v>0</v>
      </c>
      <c r="X138" s="62"/>
      <c r="Y138" s="66" t="s">
        <v>1998</v>
      </c>
      <c r="Z138" s="62" t="s">
        <v>1986</v>
      </c>
      <c r="AA138" s="62"/>
      <c r="AB138" s="62" t="s">
        <v>2208</v>
      </c>
      <c r="AC138" s="62" t="e">
        <v>#N/A</v>
      </c>
    </row>
    <row r="139" spans="1:29" ht="15" customHeight="1" outlineLevel="1" x14ac:dyDescent="0.3">
      <c r="A139" s="62" t="s">
        <v>616</v>
      </c>
      <c r="B139" s="62" t="s">
        <v>617</v>
      </c>
      <c r="C139" s="62" t="s">
        <v>973</v>
      </c>
      <c r="D139" s="62" t="s">
        <v>609</v>
      </c>
      <c r="E139" s="62" t="s">
        <v>609</v>
      </c>
      <c r="F139" s="62" t="s">
        <v>8</v>
      </c>
      <c r="G139" s="62" t="s">
        <v>2249</v>
      </c>
      <c r="H139" s="62" t="s">
        <v>935</v>
      </c>
      <c r="I139" s="62" t="s">
        <v>936</v>
      </c>
      <c r="J139" s="63">
        <v>0.57099999999999995</v>
      </c>
      <c r="K139" s="63">
        <v>1.5604681404421327E-2</v>
      </c>
      <c r="L139" s="62"/>
      <c r="M139" s="62" t="s">
        <v>931</v>
      </c>
      <c r="N139" s="62" t="s">
        <v>916</v>
      </c>
      <c r="O139" s="62" t="str">
        <f t="shared" si="2"/>
        <v>BZ14_BRZ LC Storage Voice (EL)</v>
      </c>
      <c r="P139" s="62" t="s">
        <v>2185</v>
      </c>
      <c r="Q139" s="62" t="s">
        <v>1885</v>
      </c>
      <c r="R139" s="62">
        <v>8</v>
      </c>
      <c r="S139" s="64"/>
      <c r="T139" s="62" t="s">
        <v>897</v>
      </c>
      <c r="U139" s="62"/>
      <c r="V139" s="65" t="s">
        <v>1886</v>
      </c>
      <c r="W139" s="65">
        <v>0</v>
      </c>
      <c r="X139" s="62"/>
      <c r="Y139" s="66" t="s">
        <v>2009</v>
      </c>
      <c r="Z139" s="62" t="s">
        <v>1981</v>
      </c>
      <c r="AA139" s="62"/>
      <c r="AB139" s="62" t="s">
        <v>2209</v>
      </c>
      <c r="AC139" s="62" t="e">
        <v>#N/A</v>
      </c>
    </row>
    <row r="140" spans="1:29" ht="15" customHeight="1" outlineLevel="1" x14ac:dyDescent="0.3">
      <c r="A140" s="62" t="s">
        <v>664</v>
      </c>
      <c r="B140" s="62" t="s">
        <v>665</v>
      </c>
      <c r="C140" s="62" t="s">
        <v>973</v>
      </c>
      <c r="D140" s="62" t="s">
        <v>609</v>
      </c>
      <c r="E140" s="62" t="s">
        <v>609</v>
      </c>
      <c r="F140" s="62" t="s">
        <v>8</v>
      </c>
      <c r="G140" s="62" t="s">
        <v>2249</v>
      </c>
      <c r="H140" s="62" t="s">
        <v>935</v>
      </c>
      <c r="I140" s="62" t="s">
        <v>1076</v>
      </c>
      <c r="J140" s="63">
        <v>0.626</v>
      </c>
      <c r="K140" s="63">
        <v>1.5604681404421327E-2</v>
      </c>
      <c r="L140" s="62"/>
      <c r="M140" s="62" t="s">
        <v>931</v>
      </c>
      <c r="N140" s="62" t="s">
        <v>916</v>
      </c>
      <c r="O140" s="62" t="str">
        <f t="shared" si="2"/>
        <v>RL05_Storage ROLA</v>
      </c>
      <c r="P140" s="62" t="s">
        <v>2185</v>
      </c>
      <c r="Q140" s="62" t="s">
        <v>1885</v>
      </c>
      <c r="R140" s="62">
        <v>8</v>
      </c>
      <c r="S140" s="64"/>
      <c r="T140" s="62" t="s">
        <v>897</v>
      </c>
      <c r="U140" s="62"/>
      <c r="V140" s="65" t="s">
        <v>1886</v>
      </c>
      <c r="W140" s="65">
        <v>0</v>
      </c>
      <c r="X140" s="62"/>
      <c r="Y140" s="66" t="s">
        <v>2010</v>
      </c>
      <c r="Z140" s="62" t="s">
        <v>1974</v>
      </c>
      <c r="AA140" s="62"/>
      <c r="AB140" s="62" t="s">
        <v>2216</v>
      </c>
      <c r="AC140" s="62" t="e">
        <v>#N/A</v>
      </c>
    </row>
    <row r="141" spans="1:29" ht="15" customHeight="1" outlineLevel="1" x14ac:dyDescent="0.3">
      <c r="A141" s="62" t="s">
        <v>610</v>
      </c>
      <c r="B141" s="62" t="s">
        <v>611</v>
      </c>
      <c r="C141" s="62" t="s">
        <v>973</v>
      </c>
      <c r="D141" s="62" t="s">
        <v>609</v>
      </c>
      <c r="E141" s="62" t="s">
        <v>609</v>
      </c>
      <c r="F141" s="62" t="s">
        <v>8</v>
      </c>
      <c r="G141" s="62" t="s">
        <v>2249</v>
      </c>
      <c r="H141" s="62" t="s">
        <v>903</v>
      </c>
      <c r="I141" s="62" t="s">
        <v>904</v>
      </c>
      <c r="J141" s="63">
        <v>0.629</v>
      </c>
      <c r="K141" s="63">
        <v>2.278539874447803E-2</v>
      </c>
      <c r="L141" s="62"/>
      <c r="M141" s="62" t="s">
        <v>931</v>
      </c>
      <c r="N141" s="62" t="s">
        <v>916</v>
      </c>
      <c r="O141" s="62" t="str">
        <f t="shared" si="2"/>
        <v>AZ11_Storage ProSupport ANZ</v>
      </c>
      <c r="P141" s="62" t="s">
        <v>2178</v>
      </c>
      <c r="Q141" s="62" t="s">
        <v>972</v>
      </c>
      <c r="R141" s="62">
        <v>8</v>
      </c>
      <c r="S141" s="64"/>
      <c r="T141" s="62" t="s">
        <v>897</v>
      </c>
      <c r="U141" s="62">
        <v>13</v>
      </c>
      <c r="V141" s="65" t="s">
        <v>1886</v>
      </c>
      <c r="W141" s="65">
        <v>0</v>
      </c>
      <c r="X141" s="62" t="s">
        <v>2150</v>
      </c>
      <c r="Y141" s="66" t="s">
        <v>2011</v>
      </c>
      <c r="Z141" s="62" t="s">
        <v>1986</v>
      </c>
      <c r="AA141" s="62" t="str">
        <f>IFERROR("Queue Got Merged in "&amp;VLOOKUP(A141,'CQNs Merged_Split'!$B$7:$D$103,3,FALSE),"")</f>
        <v/>
      </c>
      <c r="AB141" s="62" t="s">
        <v>2208</v>
      </c>
      <c r="AC141" s="62" t="e">
        <v>#N/A</v>
      </c>
    </row>
    <row r="142" spans="1:29" ht="15" customHeight="1" outlineLevel="1" x14ac:dyDescent="0.3">
      <c r="A142" s="62" t="s">
        <v>624</v>
      </c>
      <c r="B142" s="62" t="s">
        <v>625</v>
      </c>
      <c r="C142" s="62" t="s">
        <v>892</v>
      </c>
      <c r="D142" s="62" t="s">
        <v>609</v>
      </c>
      <c r="E142" s="62" t="s">
        <v>609</v>
      </c>
      <c r="F142" s="62" t="s">
        <v>8</v>
      </c>
      <c r="G142" s="62" t="s">
        <v>2249</v>
      </c>
      <c r="H142" s="62" t="s">
        <v>912</v>
      </c>
      <c r="I142" s="62" t="s">
        <v>1006</v>
      </c>
      <c r="J142" s="63">
        <v>0.61699999999999999</v>
      </c>
      <c r="K142" s="63">
        <v>3.8967379973253502E-2</v>
      </c>
      <c r="L142" s="62"/>
      <c r="M142" s="62" t="s">
        <v>939</v>
      </c>
      <c r="N142" s="62" t="s">
        <v>916</v>
      </c>
      <c r="O142" s="62" t="str">
        <f t="shared" si="2"/>
        <v>EC39_EC ProSupp Storage</v>
      </c>
      <c r="P142" s="62" t="s">
        <v>2184</v>
      </c>
      <c r="Q142" s="62" t="s">
        <v>972</v>
      </c>
      <c r="R142" s="62">
        <v>7</v>
      </c>
      <c r="S142" s="64"/>
      <c r="T142" s="62" t="s">
        <v>897</v>
      </c>
      <c r="U142" s="62"/>
      <c r="V142" s="65" t="s">
        <v>1886</v>
      </c>
      <c r="W142" s="65">
        <v>0</v>
      </c>
      <c r="X142" s="62"/>
      <c r="Y142" s="66" t="e">
        <v>#N/A</v>
      </c>
      <c r="Z142" s="62" t="e">
        <v>#N/A</v>
      </c>
      <c r="AA142" s="62"/>
      <c r="AB142" s="62" t="s">
        <v>2210</v>
      </c>
      <c r="AC142" s="62" t="e">
        <v>#N/A</v>
      </c>
    </row>
    <row r="143" spans="1:29" ht="15" customHeight="1" outlineLevel="1" x14ac:dyDescent="0.3">
      <c r="A143" s="62" t="s">
        <v>638</v>
      </c>
      <c r="B143" s="62" t="s">
        <v>639</v>
      </c>
      <c r="C143" s="62" t="s">
        <v>973</v>
      </c>
      <c r="D143" s="62" t="s">
        <v>609</v>
      </c>
      <c r="E143" s="62" t="s">
        <v>609</v>
      </c>
      <c r="F143" s="62" t="s">
        <v>8</v>
      </c>
      <c r="G143" s="62" t="s">
        <v>2249</v>
      </c>
      <c r="H143" s="62" t="s">
        <v>912</v>
      </c>
      <c r="I143" s="62" t="s">
        <v>938</v>
      </c>
      <c r="J143" s="63">
        <v>0.61699999999999999</v>
      </c>
      <c r="K143" s="63">
        <v>3.8967379973253502E-2</v>
      </c>
      <c r="L143" s="62"/>
      <c r="M143" s="62" t="s">
        <v>931</v>
      </c>
      <c r="N143" s="62" t="s">
        <v>916</v>
      </c>
      <c r="O143" s="62" t="str">
        <f t="shared" si="2"/>
        <v>GB21_ProSupp Storage 247 (CWD)</v>
      </c>
      <c r="P143" s="62" t="s">
        <v>2184</v>
      </c>
      <c r="Q143" s="62" t="s">
        <v>972</v>
      </c>
      <c r="R143" s="62">
        <v>8</v>
      </c>
      <c r="S143" s="64"/>
      <c r="T143" s="62" t="s">
        <v>897</v>
      </c>
      <c r="U143" s="62"/>
      <c r="V143" s="65" t="s">
        <v>1886</v>
      </c>
      <c r="W143" s="65">
        <v>0</v>
      </c>
      <c r="X143" s="62"/>
      <c r="Y143" s="66" t="s">
        <v>1971</v>
      </c>
      <c r="Z143" s="62" t="s">
        <v>1972</v>
      </c>
      <c r="AA143" s="62"/>
      <c r="AB143" s="62" t="s">
        <v>2208</v>
      </c>
      <c r="AC143" s="62" t="e">
        <v>#N/A</v>
      </c>
    </row>
    <row r="144" spans="1:29" ht="15" customHeight="1" outlineLevel="1" x14ac:dyDescent="0.3">
      <c r="A144" s="62" t="s">
        <v>642</v>
      </c>
      <c r="B144" s="62" t="s">
        <v>643</v>
      </c>
      <c r="C144" s="62" t="s">
        <v>892</v>
      </c>
      <c r="D144" s="62" t="s">
        <v>609</v>
      </c>
      <c r="E144" s="62" t="s">
        <v>609</v>
      </c>
      <c r="F144" s="62" t="s">
        <v>8</v>
      </c>
      <c r="G144" s="62" t="s">
        <v>2249</v>
      </c>
      <c r="H144" s="62" t="s">
        <v>912</v>
      </c>
      <c r="I144" s="62" t="s">
        <v>938</v>
      </c>
      <c r="J144" s="63">
        <v>0.61699999999999999</v>
      </c>
      <c r="K144" s="63">
        <v>3.8967379973253502E-2</v>
      </c>
      <c r="L144" s="62"/>
      <c r="M144" s="62" t="s">
        <v>1007</v>
      </c>
      <c r="N144" s="62" t="s">
        <v>916</v>
      </c>
      <c r="O144" s="62" t="str">
        <f t="shared" si="2"/>
        <v>GB31_UKI Storage</v>
      </c>
      <c r="P144" s="62" t="s">
        <v>2184</v>
      </c>
      <c r="Q144" s="62" t="s">
        <v>972</v>
      </c>
      <c r="R144" s="62">
        <v>8</v>
      </c>
      <c r="S144" s="64"/>
      <c r="T144" s="62" t="s">
        <v>897</v>
      </c>
      <c r="U144" s="62"/>
      <c r="V144" s="65" t="s">
        <v>1886</v>
      </c>
      <c r="W144" s="65">
        <v>0</v>
      </c>
      <c r="X144" s="62"/>
      <c r="Y144" s="66" t="e">
        <v>#N/A</v>
      </c>
      <c r="Z144" s="62" t="e">
        <v>#N/A</v>
      </c>
      <c r="AA144" s="62"/>
      <c r="AB144" s="62" t="s">
        <v>2208</v>
      </c>
      <c r="AC144" s="62" t="e">
        <v>#N/A</v>
      </c>
    </row>
    <row r="145" spans="1:29" ht="15" customHeight="1" outlineLevel="1" x14ac:dyDescent="0.3">
      <c r="A145" s="62" t="s">
        <v>654</v>
      </c>
      <c r="B145" s="62" t="s">
        <v>655</v>
      </c>
      <c r="C145" s="62" t="s">
        <v>973</v>
      </c>
      <c r="D145" s="62" t="s">
        <v>609</v>
      </c>
      <c r="E145" s="62" t="s">
        <v>609</v>
      </c>
      <c r="F145" s="62" t="s">
        <v>8</v>
      </c>
      <c r="G145" s="62" t="s">
        <v>2249</v>
      </c>
      <c r="H145" s="62" t="s">
        <v>903</v>
      </c>
      <c r="I145" s="62" t="s">
        <v>1064</v>
      </c>
      <c r="J145" s="63">
        <v>0.629</v>
      </c>
      <c r="K145" s="63">
        <v>2.278539874447803E-2</v>
      </c>
      <c r="L145" s="62"/>
      <c r="M145" s="62" t="s">
        <v>931</v>
      </c>
      <c r="N145" s="62" t="s">
        <v>916</v>
      </c>
      <c r="O145" s="62" t="str">
        <f t="shared" si="2"/>
        <v>MY14_Storage ProSupport SA</v>
      </c>
      <c r="P145" s="62" t="s">
        <v>2178</v>
      </c>
      <c r="Q145" s="62" t="s">
        <v>972</v>
      </c>
      <c r="R145" s="62">
        <v>8</v>
      </c>
      <c r="S145" s="64"/>
      <c r="T145" s="62" t="s">
        <v>897</v>
      </c>
      <c r="U145" s="62">
        <v>13</v>
      </c>
      <c r="V145" s="65" t="s">
        <v>1886</v>
      </c>
      <c r="W145" s="65">
        <v>0</v>
      </c>
      <c r="X145" s="62" t="s">
        <v>2150</v>
      </c>
      <c r="Y145" s="66" t="s">
        <v>1971</v>
      </c>
      <c r="Z145" s="62" t="s">
        <v>1972</v>
      </c>
      <c r="AA145" s="62" t="str">
        <f>IFERROR("Queue Got Merged in "&amp;VLOOKUP(A145,'CQNs Merged_Split'!$B$7:$D$103,3,FALSE),"")</f>
        <v/>
      </c>
      <c r="AB145" s="62" t="s">
        <v>2208</v>
      </c>
      <c r="AC145" s="62" t="e">
        <v>#N/A</v>
      </c>
    </row>
    <row r="146" spans="1:29" ht="15" customHeight="1" outlineLevel="1" x14ac:dyDescent="0.3">
      <c r="A146" s="62" t="s">
        <v>656</v>
      </c>
      <c r="B146" s="62" t="s">
        <v>657</v>
      </c>
      <c r="C146" s="62" t="s">
        <v>973</v>
      </c>
      <c r="D146" s="62" t="s">
        <v>609</v>
      </c>
      <c r="E146" s="62" t="s">
        <v>609</v>
      </c>
      <c r="F146" s="62" t="s">
        <v>8</v>
      </c>
      <c r="G146" s="62" t="s">
        <v>2249</v>
      </c>
      <c r="H146" s="62" t="s">
        <v>893</v>
      </c>
      <c r="I146" s="62" t="s">
        <v>894</v>
      </c>
      <c r="J146" s="63">
        <v>0.64800000000000002</v>
      </c>
      <c r="K146" s="63">
        <v>2.0441445869264104E-2</v>
      </c>
      <c r="L146" s="62"/>
      <c r="M146" s="62" t="s">
        <v>931</v>
      </c>
      <c r="N146" s="62" t="s">
        <v>916</v>
      </c>
      <c r="O146" s="62" t="str">
        <f t="shared" si="2"/>
        <v>NE05_Storage PS MD US</v>
      </c>
      <c r="P146" s="62" t="s">
        <v>2185</v>
      </c>
      <c r="Q146" s="62" t="s">
        <v>972</v>
      </c>
      <c r="R146" s="62">
        <v>8</v>
      </c>
      <c r="S146" s="64"/>
      <c r="T146" s="62" t="s">
        <v>897</v>
      </c>
      <c r="U146" s="62"/>
      <c r="V146" s="65" t="s">
        <v>1886</v>
      </c>
      <c r="W146" s="65">
        <v>0</v>
      </c>
      <c r="X146" s="62"/>
      <c r="Y146" s="66" t="s">
        <v>1971</v>
      </c>
      <c r="Z146" s="62" t="s">
        <v>1972</v>
      </c>
      <c r="AA146" s="62"/>
      <c r="AB146" s="62" t="s">
        <v>2208</v>
      </c>
      <c r="AC146" s="62" t="e">
        <v>#N/A</v>
      </c>
    </row>
    <row r="147" spans="1:29" ht="15" customHeight="1" outlineLevel="1" x14ac:dyDescent="0.3">
      <c r="A147" s="62" t="s">
        <v>658</v>
      </c>
      <c r="B147" s="62" t="s">
        <v>659</v>
      </c>
      <c r="C147" s="62" t="s">
        <v>973</v>
      </c>
      <c r="D147" s="62" t="s">
        <v>609</v>
      </c>
      <c r="E147" s="62" t="s">
        <v>609</v>
      </c>
      <c r="F147" s="62" t="s">
        <v>8</v>
      </c>
      <c r="G147" s="62" t="s">
        <v>2249</v>
      </c>
      <c r="H147" s="62" t="s">
        <v>893</v>
      </c>
      <c r="I147" s="62" t="s">
        <v>894</v>
      </c>
      <c r="J147" s="63">
        <v>0.64800000000000002</v>
      </c>
      <c r="K147" s="63">
        <v>5.5970149253731349E-3</v>
      </c>
      <c r="L147" s="62"/>
      <c r="M147" s="62" t="s">
        <v>931</v>
      </c>
      <c r="N147" s="62" t="s">
        <v>916</v>
      </c>
      <c r="O147" s="62" t="str">
        <f t="shared" si="2"/>
        <v>NE14_Compellent Copilot US</v>
      </c>
      <c r="P147" s="62" t="s">
        <v>2185</v>
      </c>
      <c r="Q147" s="62" t="s">
        <v>972</v>
      </c>
      <c r="R147" s="62">
        <v>8</v>
      </c>
      <c r="S147" s="64"/>
      <c r="T147" s="62" t="s">
        <v>897</v>
      </c>
      <c r="U147" s="62"/>
      <c r="V147" s="65" t="s">
        <v>1886</v>
      </c>
      <c r="W147" s="65">
        <v>0</v>
      </c>
      <c r="X147" s="62"/>
      <c r="Y147" s="66" t="s">
        <v>1971</v>
      </c>
      <c r="Z147" s="62" t="s">
        <v>1972</v>
      </c>
      <c r="AA147" s="62"/>
      <c r="AB147" s="62" t="s">
        <v>2208</v>
      </c>
      <c r="AC147" s="62" t="e">
        <v>#N/A</v>
      </c>
    </row>
    <row r="148" spans="1:29" ht="15" customHeight="1" outlineLevel="1" x14ac:dyDescent="0.3">
      <c r="A148" s="62" t="s">
        <v>660</v>
      </c>
      <c r="B148" s="62" t="s">
        <v>661</v>
      </c>
      <c r="C148" s="62" t="s">
        <v>973</v>
      </c>
      <c r="D148" s="62" t="s">
        <v>609</v>
      </c>
      <c r="E148" s="62" t="s">
        <v>609</v>
      </c>
      <c r="F148" s="62" t="s">
        <v>8</v>
      </c>
      <c r="G148" s="62" t="s">
        <v>2249</v>
      </c>
      <c r="H148" s="62" t="s">
        <v>893</v>
      </c>
      <c r="I148" s="62" t="s">
        <v>894</v>
      </c>
      <c r="J148" s="63">
        <v>0.64800000000000002</v>
      </c>
      <c r="K148" s="63">
        <v>2.0441445869264104E-2</v>
      </c>
      <c r="L148" s="62"/>
      <c r="M148" s="62" t="s">
        <v>931</v>
      </c>
      <c r="N148" s="62" t="s">
        <v>916</v>
      </c>
      <c r="O148" s="62" t="str">
        <f t="shared" si="2"/>
        <v>NE27_NA ProSupp Storage eSupport</v>
      </c>
      <c r="P148" s="62" t="s">
        <v>2185</v>
      </c>
      <c r="Q148" s="62" t="s">
        <v>972</v>
      </c>
      <c r="R148" s="62">
        <v>8</v>
      </c>
      <c r="S148" s="64"/>
      <c r="T148" s="62" t="s">
        <v>897</v>
      </c>
      <c r="U148" s="62"/>
      <c r="V148" s="65" t="s">
        <v>1886</v>
      </c>
      <c r="W148" s="65">
        <v>0</v>
      </c>
      <c r="X148" s="62"/>
      <c r="Y148" s="66" t="s">
        <v>1994</v>
      </c>
      <c r="Z148" s="62" t="s">
        <v>1986</v>
      </c>
      <c r="AA148" s="62"/>
      <c r="AB148" s="62" t="s">
        <v>2208</v>
      </c>
      <c r="AC148" s="62" t="e">
        <v>#N/A</v>
      </c>
    </row>
    <row r="149" spans="1:29" ht="15" customHeight="1" outlineLevel="1" x14ac:dyDescent="0.3">
      <c r="A149" s="62" t="s">
        <v>668</v>
      </c>
      <c r="B149" s="62" t="s">
        <v>669</v>
      </c>
      <c r="C149" s="62" t="s">
        <v>973</v>
      </c>
      <c r="D149" s="62" t="s">
        <v>609</v>
      </c>
      <c r="E149" s="62" t="s">
        <v>609</v>
      </c>
      <c r="F149" s="62" t="s">
        <v>8</v>
      </c>
      <c r="G149" s="62" t="s">
        <v>2249</v>
      </c>
      <c r="H149" s="62" t="s">
        <v>912</v>
      </c>
      <c r="I149" s="62" t="s">
        <v>938</v>
      </c>
      <c r="J149" s="63">
        <v>0.61699999999999999</v>
      </c>
      <c r="K149" s="63">
        <v>3.8967379973253502E-2</v>
      </c>
      <c r="L149" s="62"/>
      <c r="M149" s="62" t="s">
        <v>1068</v>
      </c>
      <c r="N149" s="62" t="s">
        <v>916</v>
      </c>
      <c r="O149" s="62" t="str">
        <f t="shared" si="2"/>
        <v>UK06_EMEA ProSupport Compellent</v>
      </c>
      <c r="P149" s="62" t="s">
        <v>2184</v>
      </c>
      <c r="Q149" s="62" t="s">
        <v>972</v>
      </c>
      <c r="R149" s="62"/>
      <c r="S149" s="64"/>
      <c r="T149" s="62" t="s">
        <v>897</v>
      </c>
      <c r="U149" s="62"/>
      <c r="V149" s="65" t="s">
        <v>1886</v>
      </c>
      <c r="W149" s="65">
        <v>0</v>
      </c>
      <c r="X149" s="62"/>
      <c r="Y149" s="66" t="s">
        <v>2004</v>
      </c>
      <c r="Z149" s="62" t="s">
        <v>1986</v>
      </c>
      <c r="AA149" s="62"/>
      <c r="AB149" s="62" t="s">
        <v>2208</v>
      </c>
      <c r="AC149" s="62" t="e">
        <v>#N/A</v>
      </c>
    </row>
    <row r="150" spans="1:29" ht="15" customHeight="1" outlineLevel="1" x14ac:dyDescent="0.3">
      <c r="A150" s="62" t="s">
        <v>670</v>
      </c>
      <c r="B150" s="62" t="s">
        <v>671</v>
      </c>
      <c r="C150" s="62" t="s">
        <v>973</v>
      </c>
      <c r="D150" s="62" t="s">
        <v>609</v>
      </c>
      <c r="E150" s="62" t="s">
        <v>609</v>
      </c>
      <c r="F150" s="62" t="s">
        <v>8</v>
      </c>
      <c r="G150" s="62" t="s">
        <v>2249</v>
      </c>
      <c r="H150" s="62" t="s">
        <v>912</v>
      </c>
      <c r="I150" s="62" t="s">
        <v>938</v>
      </c>
      <c r="J150" s="63">
        <v>0.61699999999999999</v>
      </c>
      <c r="K150" s="63">
        <v>3.8967379973253502E-2</v>
      </c>
      <c r="L150" s="62"/>
      <c r="M150" s="62" t="s">
        <v>1068</v>
      </c>
      <c r="N150" s="62" t="s">
        <v>916</v>
      </c>
      <c r="O150" s="62" t="str">
        <f t="shared" si="2"/>
        <v>UK07_EMEA ProSupport Powervault</v>
      </c>
      <c r="P150" s="62" t="s">
        <v>2184</v>
      </c>
      <c r="Q150" s="62" t="s">
        <v>972</v>
      </c>
      <c r="R150" s="62"/>
      <c r="S150" s="64"/>
      <c r="T150" s="62" t="s">
        <v>897</v>
      </c>
      <c r="U150" s="62"/>
      <c r="V150" s="65" t="s">
        <v>1886</v>
      </c>
      <c r="W150" s="65">
        <v>0</v>
      </c>
      <c r="X150" s="62"/>
      <c r="Y150" s="66" t="s">
        <v>2005</v>
      </c>
      <c r="Z150" s="62" t="s">
        <v>1986</v>
      </c>
      <c r="AA150" s="62"/>
      <c r="AB150" s="62" t="s">
        <v>2208</v>
      </c>
      <c r="AC150" s="62" t="e">
        <v>#N/A</v>
      </c>
    </row>
    <row r="151" spans="1:29" ht="15" customHeight="1" outlineLevel="1" x14ac:dyDescent="0.3">
      <c r="A151" s="62" t="s">
        <v>547</v>
      </c>
      <c r="B151" s="62" t="s">
        <v>1966</v>
      </c>
      <c r="C151" s="62" t="s">
        <v>914</v>
      </c>
      <c r="D151" s="62" t="s">
        <v>439</v>
      </c>
      <c r="E151" s="62" t="s">
        <v>439</v>
      </c>
      <c r="F151" s="62" t="s">
        <v>8</v>
      </c>
      <c r="G151" s="62" t="s">
        <v>2249</v>
      </c>
      <c r="H151" s="62" t="s">
        <v>903</v>
      </c>
      <c r="I151" s="62" t="s">
        <v>1063</v>
      </c>
      <c r="J151" s="63">
        <v>0.629</v>
      </c>
      <c r="K151" s="63">
        <v>2.278539874447803E-2</v>
      </c>
      <c r="L151" s="62"/>
      <c r="M151" s="62" t="s">
        <v>931</v>
      </c>
      <c r="N151" s="62" t="s">
        <v>916</v>
      </c>
      <c r="O151" s="62" t="str">
        <f t="shared" si="2"/>
        <v>KR05_KOR Compute Basic Korean</v>
      </c>
      <c r="P151" s="62" t="s">
        <v>2195</v>
      </c>
      <c r="Q151" s="62" t="s">
        <v>1883</v>
      </c>
      <c r="R151" s="62">
        <v>8</v>
      </c>
      <c r="S151" s="64"/>
      <c r="T151" s="62" t="s">
        <v>897</v>
      </c>
      <c r="U151" s="62">
        <v>13</v>
      </c>
      <c r="V151" s="65" t="s">
        <v>1886</v>
      </c>
      <c r="W151" s="65">
        <v>0</v>
      </c>
      <c r="X151" s="62" t="s">
        <v>2151</v>
      </c>
      <c r="Y151" s="66" t="s">
        <v>2037</v>
      </c>
      <c r="Z151" s="62" t="s">
        <v>1986</v>
      </c>
      <c r="AA151" s="62" t="str">
        <f>IFERROR("Queue Got Merged in "&amp;VLOOKUP(A151,'CQNs Merged_Split'!$B$7:$D$103,3,FALSE),"")</f>
        <v/>
      </c>
      <c r="AB151" s="62" t="s">
        <v>2212</v>
      </c>
      <c r="AC151" s="62" t="e">
        <v>#N/A</v>
      </c>
    </row>
    <row r="152" spans="1:29" ht="15" customHeight="1" outlineLevel="1" x14ac:dyDescent="0.3">
      <c r="A152" s="62" t="s">
        <v>549</v>
      </c>
      <c r="B152" s="62" t="s">
        <v>1964</v>
      </c>
      <c r="C152" s="62" t="s">
        <v>914</v>
      </c>
      <c r="D152" s="62" t="s">
        <v>439</v>
      </c>
      <c r="E152" s="62" t="s">
        <v>439</v>
      </c>
      <c r="F152" s="62" t="s">
        <v>8</v>
      </c>
      <c r="G152" s="62" t="s">
        <v>2249</v>
      </c>
      <c r="H152" s="62" t="s">
        <v>903</v>
      </c>
      <c r="I152" s="62" t="s">
        <v>1063</v>
      </c>
      <c r="J152" s="63">
        <v>0.629</v>
      </c>
      <c r="K152" s="63">
        <v>2.278539874447803E-2</v>
      </c>
      <c r="L152" s="62"/>
      <c r="M152" s="62" t="s">
        <v>931</v>
      </c>
      <c r="N152" s="62" t="s">
        <v>916</v>
      </c>
      <c r="O152" s="62" t="str">
        <f t="shared" si="2"/>
        <v>KR12_KOR Compute Upsell Korean</v>
      </c>
      <c r="P152" s="62" t="s">
        <v>2195</v>
      </c>
      <c r="Q152" s="62" t="s">
        <v>1883</v>
      </c>
      <c r="R152" s="62">
        <v>8</v>
      </c>
      <c r="S152" s="64"/>
      <c r="T152" s="62" t="s">
        <v>897</v>
      </c>
      <c r="U152" s="62">
        <v>13</v>
      </c>
      <c r="V152" s="65" t="s">
        <v>1886</v>
      </c>
      <c r="W152" s="65">
        <v>0</v>
      </c>
      <c r="X152" s="62" t="s">
        <v>2151</v>
      </c>
      <c r="Y152" s="66" t="s">
        <v>1971</v>
      </c>
      <c r="Z152" s="62" t="s">
        <v>1972</v>
      </c>
      <c r="AA152" s="62" t="str">
        <f>IFERROR("Queue Got Merged in "&amp;VLOOKUP(A152,'CQNs Merged_Split'!$B$7:$D$103,3,FALSE),"")</f>
        <v/>
      </c>
      <c r="AB152" s="62" t="s">
        <v>2212</v>
      </c>
      <c r="AC152" s="62" t="e">
        <v>#N/A</v>
      </c>
    </row>
    <row r="153" spans="1:29" ht="15" customHeight="1" outlineLevel="1" x14ac:dyDescent="0.3">
      <c r="A153" s="62" t="s">
        <v>289</v>
      </c>
      <c r="B153" s="62" t="s">
        <v>1967</v>
      </c>
      <c r="C153" s="62" t="s">
        <v>914</v>
      </c>
      <c r="D153" s="62" t="s">
        <v>266</v>
      </c>
      <c r="E153" s="62" t="s">
        <v>266</v>
      </c>
      <c r="F153" s="62" t="s">
        <v>8</v>
      </c>
      <c r="G153" s="62" t="s">
        <v>2249</v>
      </c>
      <c r="H153" s="62" t="s">
        <v>903</v>
      </c>
      <c r="I153" s="62" t="s">
        <v>1063</v>
      </c>
      <c r="J153" s="63">
        <v>0.629</v>
      </c>
      <c r="K153" s="63">
        <v>2.278539874447803E-2</v>
      </c>
      <c r="L153" s="62"/>
      <c r="M153" s="62" t="s">
        <v>931</v>
      </c>
      <c r="N153" s="62" t="s">
        <v>916</v>
      </c>
      <c r="O153" s="62" t="str">
        <f t="shared" si="2"/>
        <v>KR13_KOR Networking Upsell Korean</v>
      </c>
      <c r="P153" s="62" t="s">
        <v>2195</v>
      </c>
      <c r="Q153" s="62" t="s">
        <v>1883</v>
      </c>
      <c r="R153" s="62">
        <v>8</v>
      </c>
      <c r="S153" s="64"/>
      <c r="T153" s="62" t="s">
        <v>897</v>
      </c>
      <c r="U153" s="62">
        <v>13</v>
      </c>
      <c r="V153" s="65" t="s">
        <v>1886</v>
      </c>
      <c r="W153" s="65">
        <v>0</v>
      </c>
      <c r="X153" s="62" t="s">
        <v>2151</v>
      </c>
      <c r="Y153" s="66" t="s">
        <v>1971</v>
      </c>
      <c r="Z153" s="62" t="s">
        <v>1972</v>
      </c>
      <c r="AA153" s="62" t="str">
        <f>IFERROR("Queue Got Merged in "&amp;VLOOKUP(A153,'CQNs Merged_Split'!$B$7:$D$103,3,FALSE),"")</f>
        <v/>
      </c>
      <c r="AB153" s="62" t="s">
        <v>2212</v>
      </c>
      <c r="AC153" s="62" t="e">
        <v>#N/A</v>
      </c>
    </row>
    <row r="154" spans="1:29" ht="15" customHeight="1" outlineLevel="1" x14ac:dyDescent="0.3">
      <c r="A154" s="62" t="s">
        <v>751</v>
      </c>
      <c r="B154" s="62" t="s">
        <v>752</v>
      </c>
      <c r="C154" s="62" t="s">
        <v>892</v>
      </c>
      <c r="D154" s="62"/>
      <c r="E154" s="62" t="s">
        <v>229</v>
      </c>
      <c r="F154" s="62" t="s">
        <v>8</v>
      </c>
      <c r="G154" s="62" t="e">
        <v>#N/A</v>
      </c>
      <c r="H154" s="62" t="s">
        <v>903</v>
      </c>
      <c r="I154" s="62" t="s">
        <v>904</v>
      </c>
      <c r="J154" s="63">
        <v>0.629</v>
      </c>
      <c r="K154" s="63"/>
      <c r="L154" s="62"/>
      <c r="M154" s="62" t="s">
        <v>895</v>
      </c>
      <c r="N154" s="62"/>
      <c r="O154" s="62" t="str">
        <f t="shared" si="2"/>
        <v>AN02_ANZ Midrange Storage VNX/e</v>
      </c>
      <c r="P154" s="62" t="s">
        <v>2177</v>
      </c>
      <c r="Q154" s="62" t="s">
        <v>896</v>
      </c>
      <c r="R154" s="62">
        <v>14</v>
      </c>
      <c r="S154" s="64"/>
      <c r="T154" s="62" t="s">
        <v>905</v>
      </c>
      <c r="U154" s="62">
        <v>13</v>
      </c>
      <c r="V154" s="65" t="s">
        <v>1886</v>
      </c>
      <c r="W154" s="65">
        <v>0</v>
      </c>
      <c r="X154" s="62"/>
      <c r="Y154" s="66" t="e">
        <v>#N/A</v>
      </c>
      <c r="Z154" s="62" t="e">
        <v>#N/A</v>
      </c>
      <c r="AA154" s="62"/>
      <c r="AB154" s="62" t="s">
        <v>2208</v>
      </c>
      <c r="AC154" s="62" t="e">
        <v>#N/A</v>
      </c>
    </row>
    <row r="155" spans="1:29" ht="15" customHeight="1" outlineLevel="1" x14ac:dyDescent="0.3">
      <c r="A155" s="62" t="s">
        <v>741</v>
      </c>
      <c r="B155" s="62" t="s">
        <v>742</v>
      </c>
      <c r="C155" s="62" t="s">
        <v>892</v>
      </c>
      <c r="D155" s="62"/>
      <c r="E155" s="62" t="s">
        <v>740</v>
      </c>
      <c r="F155" s="62" t="s">
        <v>8</v>
      </c>
      <c r="G155" s="62" t="e">
        <v>#N/A</v>
      </c>
      <c r="H155" s="62" t="s">
        <v>903</v>
      </c>
      <c r="I155" s="62" t="s">
        <v>904</v>
      </c>
      <c r="J155" s="63"/>
      <c r="K155" s="63"/>
      <c r="L155" s="62"/>
      <c r="M155" s="62" t="s">
        <v>895</v>
      </c>
      <c r="N155" s="62"/>
      <c r="O155" s="62" t="str">
        <f t="shared" si="2"/>
        <v>AN03_ANZ VX Rail Storage</v>
      </c>
      <c r="P155" s="62" t="s">
        <v>2177</v>
      </c>
      <c r="Q155" s="62" t="s">
        <v>896</v>
      </c>
      <c r="R155" s="62">
        <v>14</v>
      </c>
      <c r="S155" s="64"/>
      <c r="T155" s="62" t="s">
        <v>905</v>
      </c>
      <c r="U155" s="62"/>
      <c r="V155" s="65" t="s">
        <v>1886</v>
      </c>
      <c r="W155" s="65">
        <v>0</v>
      </c>
      <c r="X155" s="62"/>
      <c r="Y155" s="66" t="e">
        <v>#N/A</v>
      </c>
      <c r="Z155" s="62" t="e">
        <v>#N/A</v>
      </c>
      <c r="AA155" s="62"/>
      <c r="AB155" s="62" t="s">
        <v>2208</v>
      </c>
      <c r="AC155" s="62" t="e">
        <v>#N/A</v>
      </c>
    </row>
    <row r="156" spans="1:29" ht="15" customHeight="1" outlineLevel="1" x14ac:dyDescent="0.3">
      <c r="A156" s="62" t="s">
        <v>753</v>
      </c>
      <c r="B156" s="62" t="s">
        <v>754</v>
      </c>
      <c r="C156" s="62" t="s">
        <v>892</v>
      </c>
      <c r="D156" s="62"/>
      <c r="E156" s="62" t="s">
        <v>229</v>
      </c>
      <c r="F156" s="62" t="s">
        <v>8</v>
      </c>
      <c r="G156" s="62" t="e">
        <v>#N/A</v>
      </c>
      <c r="H156" s="62" t="s">
        <v>935</v>
      </c>
      <c r="I156" s="62" t="e">
        <v>#N/A</v>
      </c>
      <c r="J156" s="63">
        <v>0.626</v>
      </c>
      <c r="K156" s="63"/>
      <c r="L156" s="62"/>
      <c r="M156" s="62" t="e">
        <v>#N/A</v>
      </c>
      <c r="N156" s="62"/>
      <c r="O156" s="62" t="str">
        <f t="shared" si="2"/>
        <v>BZ21_POR Midrange Storage VNX/e</v>
      </c>
      <c r="P156" s="62" t="s">
        <v>930</v>
      </c>
      <c r="Q156" s="62" t="s">
        <v>896</v>
      </c>
      <c r="R156" s="62"/>
      <c r="S156" s="64"/>
      <c r="T156" s="62" t="s">
        <v>905</v>
      </c>
      <c r="U156" s="62">
        <v>13</v>
      </c>
      <c r="V156" s="65" t="s">
        <v>1886</v>
      </c>
      <c r="W156" s="65">
        <v>0</v>
      </c>
      <c r="X156" s="62"/>
      <c r="Y156" s="66" t="e">
        <v>#N/A</v>
      </c>
      <c r="Z156" s="62" t="e">
        <v>#N/A</v>
      </c>
      <c r="AA156" s="62"/>
      <c r="AB156" s="62" t="s">
        <v>2209</v>
      </c>
      <c r="AC156" s="62" t="e">
        <v>#N/A</v>
      </c>
    </row>
    <row r="157" spans="1:29" ht="15" customHeight="1" outlineLevel="1" x14ac:dyDescent="0.3">
      <c r="A157" s="62" t="s">
        <v>755</v>
      </c>
      <c r="B157" s="62" t="s">
        <v>756</v>
      </c>
      <c r="C157" s="62" t="s">
        <v>892</v>
      </c>
      <c r="D157" s="62"/>
      <c r="E157" s="62" t="s">
        <v>229</v>
      </c>
      <c r="F157" s="62" t="s">
        <v>8</v>
      </c>
      <c r="G157" s="62" t="e">
        <v>#N/A</v>
      </c>
      <c r="H157" s="62" t="s">
        <v>903</v>
      </c>
      <c r="I157" s="62" t="s">
        <v>909</v>
      </c>
      <c r="J157" s="63">
        <v>0.629</v>
      </c>
      <c r="K157" s="63"/>
      <c r="L157" s="62"/>
      <c r="M157" s="62" t="e">
        <v>#N/A</v>
      </c>
      <c r="N157" s="62"/>
      <c r="O157" s="62" t="str">
        <f t="shared" si="2"/>
        <v>CM01_CCC Midrange Storage VNX/e</v>
      </c>
      <c r="P157" s="62" t="s">
        <v>930</v>
      </c>
      <c r="Q157" s="62" t="s">
        <v>896</v>
      </c>
      <c r="R157" s="62"/>
      <c r="S157" s="64"/>
      <c r="T157" s="62" t="s">
        <v>905</v>
      </c>
      <c r="U157" s="62">
        <v>13</v>
      </c>
      <c r="V157" s="65" t="s">
        <v>1886</v>
      </c>
      <c r="W157" s="65">
        <v>0</v>
      </c>
      <c r="X157" s="62"/>
      <c r="Y157" s="66" t="e">
        <v>#N/A</v>
      </c>
      <c r="Z157" s="62" t="e">
        <v>#N/A</v>
      </c>
      <c r="AA157" s="62"/>
      <c r="AB157" s="62" t="s">
        <v>2211</v>
      </c>
      <c r="AC157" s="62" t="e">
        <v>#N/A</v>
      </c>
    </row>
    <row r="158" spans="1:29" ht="15" customHeight="1" outlineLevel="1" x14ac:dyDescent="0.3">
      <c r="A158" s="62" t="s">
        <v>163</v>
      </c>
      <c r="B158" s="62" t="s">
        <v>164</v>
      </c>
      <c r="C158" s="62" t="s">
        <v>892</v>
      </c>
      <c r="D158" s="62" t="s">
        <v>158</v>
      </c>
      <c r="E158" s="62" t="s">
        <v>162</v>
      </c>
      <c r="F158" s="62" t="s">
        <v>8</v>
      </c>
      <c r="G158" s="62" t="s">
        <v>2250</v>
      </c>
      <c r="H158" s="62" t="s">
        <v>929</v>
      </c>
      <c r="I158" s="62" t="s">
        <v>929</v>
      </c>
      <c r="J158" s="63">
        <v>0.63300000000000001</v>
      </c>
      <c r="K158" s="63">
        <v>1.8670169726832081E-2</v>
      </c>
      <c r="L158" s="62"/>
      <c r="M158" s="62" t="s">
        <v>895</v>
      </c>
      <c r="N158" s="62" t="s">
        <v>916</v>
      </c>
      <c r="O158" s="62" t="str">
        <f t="shared" si="2"/>
        <v>CT19_HCS Global Converged</v>
      </c>
      <c r="P158" s="62" t="s">
        <v>2177</v>
      </c>
      <c r="Q158" s="62" t="s">
        <v>896</v>
      </c>
      <c r="R158" s="62">
        <v>14</v>
      </c>
      <c r="S158" s="64"/>
      <c r="T158" s="62" t="s">
        <v>905</v>
      </c>
      <c r="U158" s="62">
        <v>13</v>
      </c>
      <c r="V158" s="65" t="s">
        <v>1886</v>
      </c>
      <c r="W158" s="65">
        <v>0</v>
      </c>
      <c r="X158" s="62"/>
      <c r="Y158" s="66" t="e">
        <v>#N/A</v>
      </c>
      <c r="Z158" s="62" t="e">
        <v>#N/A</v>
      </c>
      <c r="AA158" s="62"/>
      <c r="AB158" s="62" t="s">
        <v>2208</v>
      </c>
      <c r="AC158" s="62" t="e">
        <v>#N/A</v>
      </c>
    </row>
    <row r="159" spans="1:29" ht="15" customHeight="1" outlineLevel="1" x14ac:dyDescent="0.3">
      <c r="A159" s="62" t="s">
        <v>678</v>
      </c>
      <c r="B159" s="62" t="s">
        <v>1900</v>
      </c>
      <c r="C159" s="62" t="s">
        <v>892</v>
      </c>
      <c r="D159" s="62" t="s">
        <v>672</v>
      </c>
      <c r="E159" s="62" t="s">
        <v>2203</v>
      </c>
      <c r="F159" s="62" t="s">
        <v>8</v>
      </c>
      <c r="G159" s="62" t="e">
        <v>#N/A</v>
      </c>
      <c r="H159" s="62" t="s">
        <v>912</v>
      </c>
      <c r="I159" s="62" t="s">
        <v>966</v>
      </c>
      <c r="J159" s="63">
        <v>0.61699999999999999</v>
      </c>
      <c r="K159" s="63"/>
      <c r="L159" s="62"/>
      <c r="M159" s="62" t="s">
        <v>992</v>
      </c>
      <c r="N159" s="62" t="s">
        <v>13</v>
      </c>
      <c r="O159" s="62" t="str">
        <f t="shared" si="2"/>
        <v>CT91_EMEA PowerScale CTE</v>
      </c>
      <c r="P159" s="62" t="s">
        <v>2187</v>
      </c>
      <c r="Q159" s="62" t="s">
        <v>896</v>
      </c>
      <c r="R159" s="62">
        <v>4</v>
      </c>
      <c r="S159" s="64"/>
      <c r="T159" s="62" t="s">
        <v>905</v>
      </c>
      <c r="U159" s="62">
        <v>13</v>
      </c>
      <c r="V159" s="65" t="s">
        <v>1886</v>
      </c>
      <c r="W159" s="65">
        <v>0</v>
      </c>
      <c r="X159" s="62"/>
      <c r="Y159" s="66" t="e">
        <v>#N/A</v>
      </c>
      <c r="Z159" s="62" t="e">
        <v>#N/A</v>
      </c>
      <c r="AA159" s="62"/>
      <c r="AB159" s="62" t="s">
        <v>2210</v>
      </c>
      <c r="AC159" s="62" t="e">
        <v>#N/A</v>
      </c>
    </row>
    <row r="160" spans="1:29" ht="15" customHeight="1" outlineLevel="1" x14ac:dyDescent="0.3">
      <c r="A160" s="62" t="s">
        <v>743</v>
      </c>
      <c r="B160" s="62" t="s">
        <v>744</v>
      </c>
      <c r="C160" s="62" t="s">
        <v>892</v>
      </c>
      <c r="D160" s="62"/>
      <c r="E160" s="62" t="s">
        <v>173</v>
      </c>
      <c r="F160" s="62" t="s">
        <v>8</v>
      </c>
      <c r="G160" s="62" t="e">
        <v>#N/A</v>
      </c>
      <c r="H160" s="62" t="s">
        <v>903</v>
      </c>
      <c r="I160" s="62" t="s">
        <v>909</v>
      </c>
      <c r="J160" s="63">
        <v>0.629</v>
      </c>
      <c r="K160" s="63"/>
      <c r="L160" s="62"/>
      <c r="M160" s="62" t="e">
        <v>#N/A</v>
      </c>
      <c r="N160" s="62"/>
      <c r="O160" s="62" t="str">
        <f t="shared" si="2"/>
        <v>CV01_CCC VX Rail Storage</v>
      </c>
      <c r="P160" s="62" t="s">
        <v>930</v>
      </c>
      <c r="Q160" s="62" t="s">
        <v>896</v>
      </c>
      <c r="R160" s="62"/>
      <c r="S160" s="64"/>
      <c r="T160" s="62" t="s">
        <v>905</v>
      </c>
      <c r="U160" s="62">
        <v>13</v>
      </c>
      <c r="V160" s="65" t="s">
        <v>1886</v>
      </c>
      <c r="W160" s="65">
        <v>0</v>
      </c>
      <c r="X160" s="62"/>
      <c r="Y160" s="66" t="e">
        <v>#N/A</v>
      </c>
      <c r="Z160" s="62" t="e">
        <v>#N/A</v>
      </c>
      <c r="AA160" s="62"/>
      <c r="AB160" s="62" t="s">
        <v>2211</v>
      </c>
      <c r="AC160" s="62" t="e">
        <v>#N/A</v>
      </c>
    </row>
    <row r="161" spans="1:29" ht="15" customHeight="1" outlineLevel="1" x14ac:dyDescent="0.3">
      <c r="A161" s="62" t="s">
        <v>100</v>
      </c>
      <c r="B161" s="62" t="s">
        <v>101</v>
      </c>
      <c r="C161" s="62" t="s">
        <v>892</v>
      </c>
      <c r="D161" s="62" t="s">
        <v>44</v>
      </c>
      <c r="E161" s="62" t="s">
        <v>99</v>
      </c>
      <c r="F161" s="62" t="s">
        <v>8</v>
      </c>
      <c r="G161" s="62" t="s">
        <v>2250</v>
      </c>
      <c r="H161" s="62" t="s">
        <v>929</v>
      </c>
      <c r="I161" s="62" t="s">
        <v>909</v>
      </c>
      <c r="J161" s="63">
        <v>0.63300000000000001</v>
      </c>
      <c r="K161" s="63"/>
      <c r="L161" s="62"/>
      <c r="M161" s="62" t="s">
        <v>1046</v>
      </c>
      <c r="N161" s="62" t="s">
        <v>916</v>
      </c>
      <c r="O161" s="62" t="str">
        <f t="shared" si="2"/>
        <v>GH05_GLOBAL DPD DPADSRT</v>
      </c>
      <c r="P161" s="62" t="s">
        <v>930</v>
      </c>
      <c r="Q161" s="62" t="s">
        <v>896</v>
      </c>
      <c r="R161" s="62">
        <v>14</v>
      </c>
      <c r="S161" s="64"/>
      <c r="T161" s="62" t="s">
        <v>905</v>
      </c>
      <c r="U161" s="62">
        <v>13</v>
      </c>
      <c r="V161" s="65" t="s">
        <v>1886</v>
      </c>
      <c r="W161" s="65">
        <v>0</v>
      </c>
      <c r="X161" s="62"/>
      <c r="Y161" s="66" t="e">
        <v>#N/A</v>
      </c>
      <c r="Z161" s="62" t="e">
        <v>#N/A</v>
      </c>
      <c r="AA161" s="62"/>
      <c r="AB161" s="62" t="s">
        <v>2208</v>
      </c>
      <c r="AC161" s="62" t="e">
        <v>#N/A</v>
      </c>
    </row>
    <row r="162" spans="1:29" ht="15" customHeight="1" outlineLevel="1" x14ac:dyDescent="0.3">
      <c r="A162" s="62" t="s">
        <v>219</v>
      </c>
      <c r="B162" s="62" t="s">
        <v>220</v>
      </c>
      <c r="C162" s="62" t="s">
        <v>892</v>
      </c>
      <c r="D162" s="62" t="s">
        <v>158</v>
      </c>
      <c r="E162" s="62" t="s">
        <v>218</v>
      </c>
      <c r="F162" s="62" t="s">
        <v>8</v>
      </c>
      <c r="G162" s="62" t="s">
        <v>2250</v>
      </c>
      <c r="H162" s="62" t="s">
        <v>929</v>
      </c>
      <c r="I162" s="62" t="s">
        <v>904</v>
      </c>
      <c r="J162" s="63">
        <v>0.63300000000000001</v>
      </c>
      <c r="K162" s="63"/>
      <c r="L162" s="62"/>
      <c r="M162" s="62" t="s">
        <v>922</v>
      </c>
      <c r="N162" s="62" t="s">
        <v>1016</v>
      </c>
      <c r="O162" s="62" t="str">
        <f t="shared" si="2"/>
        <v>GH14_HCS Global PowerFlex</v>
      </c>
      <c r="P162" s="62" t="s">
        <v>930</v>
      </c>
      <c r="Q162" s="62" t="s">
        <v>896</v>
      </c>
      <c r="R162" s="62">
        <v>24</v>
      </c>
      <c r="S162" s="64"/>
      <c r="T162" s="62" t="s">
        <v>905</v>
      </c>
      <c r="U162" s="62">
        <v>13</v>
      </c>
      <c r="V162" s="65" t="s">
        <v>1886</v>
      </c>
      <c r="W162" s="65">
        <v>0</v>
      </c>
      <c r="X162" s="62"/>
      <c r="Y162" s="66" t="e">
        <v>#N/A</v>
      </c>
      <c r="Z162" s="62" t="e">
        <v>#N/A</v>
      </c>
      <c r="AA162" s="62"/>
      <c r="AB162" s="62" t="s">
        <v>2208</v>
      </c>
      <c r="AC162" s="62" t="e">
        <v>#N/A</v>
      </c>
    </row>
    <row r="163" spans="1:29" ht="15" customHeight="1" outlineLevel="1" x14ac:dyDescent="0.3">
      <c r="A163" s="62" t="s">
        <v>868</v>
      </c>
      <c r="B163" s="62" t="s">
        <v>869</v>
      </c>
      <c r="C163" s="62" t="s">
        <v>892</v>
      </c>
      <c r="D163" s="62" t="s">
        <v>865</v>
      </c>
      <c r="E163" s="62" t="s">
        <v>865</v>
      </c>
      <c r="F163" s="62" t="s">
        <v>8</v>
      </c>
      <c r="G163" s="62" t="s">
        <v>2250</v>
      </c>
      <c r="H163" s="62" t="s">
        <v>912</v>
      </c>
      <c r="I163" s="62" t="s">
        <v>966</v>
      </c>
      <c r="J163" s="63">
        <v>0.61699999999999999</v>
      </c>
      <c r="K163" s="63"/>
      <c r="L163" s="62"/>
      <c r="M163" s="62" t="s">
        <v>895</v>
      </c>
      <c r="N163" s="62" t="s">
        <v>952</v>
      </c>
      <c r="O163" s="62" t="str">
        <f t="shared" si="2"/>
        <v>HE01_HES Global CST Chat</v>
      </c>
      <c r="P163" s="62" t="s">
        <v>2177</v>
      </c>
      <c r="Q163" s="62" t="s">
        <v>896</v>
      </c>
      <c r="R163" s="62">
        <v>14</v>
      </c>
      <c r="S163" s="64"/>
      <c r="T163" s="62" t="s">
        <v>905</v>
      </c>
      <c r="U163" s="62">
        <v>13</v>
      </c>
      <c r="V163" s="65" t="s">
        <v>1886</v>
      </c>
      <c r="W163" s="65">
        <v>0</v>
      </c>
      <c r="X163" s="62"/>
      <c r="Y163" s="66" t="e">
        <v>#N/A</v>
      </c>
      <c r="Z163" s="62" t="e">
        <v>#N/A</v>
      </c>
      <c r="AA163" s="62"/>
      <c r="AB163" s="62" t="s">
        <v>2208</v>
      </c>
      <c r="AC163" s="62" t="e">
        <v>#N/A</v>
      </c>
    </row>
    <row r="164" spans="1:29" ht="15" customHeight="1" outlineLevel="1" x14ac:dyDescent="0.3">
      <c r="A164" s="62" t="s">
        <v>682</v>
      </c>
      <c r="B164" s="62" t="s">
        <v>1904</v>
      </c>
      <c r="C164" s="62" t="s">
        <v>892</v>
      </c>
      <c r="D164" s="62" t="s">
        <v>672</v>
      </c>
      <c r="E164" s="62" t="s">
        <v>2203</v>
      </c>
      <c r="F164" s="62" t="s">
        <v>8</v>
      </c>
      <c r="G164" s="62" t="s">
        <v>2250</v>
      </c>
      <c r="H164" s="62" t="s">
        <v>929</v>
      </c>
      <c r="I164" s="62"/>
      <c r="J164" s="63">
        <v>0.63300000000000001</v>
      </c>
      <c r="K164" s="63"/>
      <c r="L164" s="62"/>
      <c r="M164" s="62" t="s">
        <v>895</v>
      </c>
      <c r="N164" s="62"/>
      <c r="O164" s="62" t="str">
        <f t="shared" si="2"/>
        <v>HE06_HES Global PowerScale Support</v>
      </c>
      <c r="P164" s="62" t="s">
        <v>930</v>
      </c>
      <c r="Q164" s="62" t="s">
        <v>896</v>
      </c>
      <c r="R164" s="62">
        <v>14</v>
      </c>
      <c r="S164" s="64"/>
      <c r="T164" s="62" t="s">
        <v>905</v>
      </c>
      <c r="U164" s="62">
        <v>13</v>
      </c>
      <c r="V164" s="65" t="s">
        <v>1886</v>
      </c>
      <c r="W164" s="65">
        <v>0</v>
      </c>
      <c r="X164" s="62"/>
      <c r="Y164" s="66" t="e">
        <v>#N/A</v>
      </c>
      <c r="Z164" s="62" t="e">
        <v>#N/A</v>
      </c>
      <c r="AA164" s="62"/>
      <c r="AB164" s="62" t="s">
        <v>2208</v>
      </c>
      <c r="AC164" s="62" t="e">
        <v>#N/A</v>
      </c>
    </row>
    <row r="165" spans="1:29" ht="15" customHeight="1" outlineLevel="1" x14ac:dyDescent="0.3">
      <c r="A165" s="62" t="s">
        <v>186</v>
      </c>
      <c r="B165" s="62" t="s">
        <v>187</v>
      </c>
      <c r="C165" s="62" t="s">
        <v>892</v>
      </c>
      <c r="D165" s="62" t="s">
        <v>158</v>
      </c>
      <c r="E165" s="62" t="s">
        <v>173</v>
      </c>
      <c r="F165" s="62" t="s">
        <v>8</v>
      </c>
      <c r="G165" s="62" t="s">
        <v>2250</v>
      </c>
      <c r="H165" s="62" t="s">
        <v>929</v>
      </c>
      <c r="I165" s="62" t="e">
        <v>#N/A</v>
      </c>
      <c r="J165" s="63">
        <v>0.63300000000000001</v>
      </c>
      <c r="K165" s="63"/>
      <c r="L165" s="62"/>
      <c r="M165" s="62" t="s">
        <v>895</v>
      </c>
      <c r="N165" s="62" t="s">
        <v>1016</v>
      </c>
      <c r="O165" s="62" t="str">
        <f t="shared" si="2"/>
        <v>HE20_HES Global Hyperconverged</v>
      </c>
      <c r="P165" s="62" t="s">
        <v>2187</v>
      </c>
      <c r="Q165" s="62" t="s">
        <v>896</v>
      </c>
      <c r="R165" s="62">
        <v>14</v>
      </c>
      <c r="S165" s="64"/>
      <c r="T165" s="62" t="s">
        <v>905</v>
      </c>
      <c r="U165" s="62">
        <v>13</v>
      </c>
      <c r="V165" s="65" t="s">
        <v>1886</v>
      </c>
      <c r="W165" s="65">
        <v>0</v>
      </c>
      <c r="X165" s="62"/>
      <c r="Y165" s="66" t="e">
        <v>#N/A</v>
      </c>
      <c r="Z165" s="62" t="e">
        <v>#N/A</v>
      </c>
      <c r="AA165" s="62"/>
      <c r="AB165" s="62" t="s">
        <v>2210</v>
      </c>
      <c r="AC165" s="62" t="e">
        <v>#N/A</v>
      </c>
    </row>
    <row r="166" spans="1:29" ht="15" customHeight="1" outlineLevel="1" x14ac:dyDescent="0.3">
      <c r="A166" s="62" t="s">
        <v>364</v>
      </c>
      <c r="B166" s="62" t="s">
        <v>1905</v>
      </c>
      <c r="C166" s="62" t="s">
        <v>892</v>
      </c>
      <c r="D166" s="62" t="s">
        <v>301</v>
      </c>
      <c r="E166" s="62" t="s">
        <v>357</v>
      </c>
      <c r="F166" s="62" t="s">
        <v>8</v>
      </c>
      <c r="G166" s="62" t="s">
        <v>2250</v>
      </c>
      <c r="H166" s="62" t="s">
        <v>929</v>
      </c>
      <c r="I166" s="62" t="e">
        <v>#N/A</v>
      </c>
      <c r="J166" s="63">
        <v>0.63300000000000001</v>
      </c>
      <c r="K166" s="63"/>
      <c r="L166" s="62"/>
      <c r="M166" s="62" t="s">
        <v>895</v>
      </c>
      <c r="N166" s="62" t="s">
        <v>1016</v>
      </c>
      <c r="O166" s="62" t="str">
        <f t="shared" si="2"/>
        <v>HE22_HES Global VMAX</v>
      </c>
      <c r="P166" s="62" t="s">
        <v>2187</v>
      </c>
      <c r="Q166" s="62" t="s">
        <v>896</v>
      </c>
      <c r="R166" s="62">
        <v>14</v>
      </c>
      <c r="S166" s="64"/>
      <c r="T166" s="62" t="s">
        <v>905</v>
      </c>
      <c r="U166" s="62">
        <v>13</v>
      </c>
      <c r="V166" s="65" t="s">
        <v>1886</v>
      </c>
      <c r="W166" s="65">
        <v>0</v>
      </c>
      <c r="X166" s="62"/>
      <c r="Y166" s="66" t="e">
        <v>#N/A</v>
      </c>
      <c r="Z166" s="62" t="e">
        <v>#N/A</v>
      </c>
      <c r="AA166" s="62"/>
      <c r="AB166" s="62" t="s">
        <v>2210</v>
      </c>
      <c r="AC166" s="62" t="e">
        <v>#N/A</v>
      </c>
    </row>
    <row r="167" spans="1:29" ht="15" customHeight="1" outlineLevel="1" x14ac:dyDescent="0.3">
      <c r="A167" s="62" t="s">
        <v>391</v>
      </c>
      <c r="B167" s="62" t="s">
        <v>392</v>
      </c>
      <c r="C167" s="62" t="s">
        <v>892</v>
      </c>
      <c r="D167" s="62" t="s">
        <v>301</v>
      </c>
      <c r="E167" s="62" t="s">
        <v>1047</v>
      </c>
      <c r="F167" s="62" t="s">
        <v>8</v>
      </c>
      <c r="G167" s="62" t="s">
        <v>2250</v>
      </c>
      <c r="H167" s="62" t="s">
        <v>929</v>
      </c>
      <c r="I167" s="62" t="e">
        <v>#N/A</v>
      </c>
      <c r="J167" s="63">
        <v>0.63300000000000001</v>
      </c>
      <c r="K167" s="63"/>
      <c r="L167" s="62"/>
      <c r="M167" s="62" t="s">
        <v>895</v>
      </c>
      <c r="N167" s="62" t="s">
        <v>1016</v>
      </c>
      <c r="O167" s="62" t="str">
        <f t="shared" si="2"/>
        <v>HE23_HES Global SymmSW</v>
      </c>
      <c r="P167" s="62" t="s">
        <v>930</v>
      </c>
      <c r="Q167" s="62" t="s">
        <v>896</v>
      </c>
      <c r="R167" s="62">
        <v>14</v>
      </c>
      <c r="S167" s="64"/>
      <c r="T167" s="62" t="s">
        <v>905</v>
      </c>
      <c r="U167" s="62">
        <v>13</v>
      </c>
      <c r="V167" s="65" t="s">
        <v>1886</v>
      </c>
      <c r="W167" s="65">
        <v>0</v>
      </c>
      <c r="X167" s="62"/>
      <c r="Y167" s="66" t="e">
        <v>#N/A</v>
      </c>
      <c r="Z167" s="62" t="e">
        <v>#N/A</v>
      </c>
      <c r="AA167" s="62"/>
      <c r="AB167" s="62" t="s">
        <v>2210</v>
      </c>
      <c r="AC167" s="62" t="e">
        <v>#N/A</v>
      </c>
    </row>
    <row r="168" spans="1:29" ht="15" customHeight="1" outlineLevel="1" x14ac:dyDescent="0.3">
      <c r="A168" s="62" t="s">
        <v>408</v>
      </c>
      <c r="B168" s="62" t="s">
        <v>409</v>
      </c>
      <c r="C168" s="62" t="s">
        <v>892</v>
      </c>
      <c r="D168" s="62" t="s">
        <v>301</v>
      </c>
      <c r="E168" s="62" t="s">
        <v>403</v>
      </c>
      <c r="F168" s="62" t="s">
        <v>8</v>
      </c>
      <c r="G168" s="62" t="s">
        <v>2250</v>
      </c>
      <c r="H168" s="62" t="s">
        <v>929</v>
      </c>
      <c r="I168" s="62" t="e">
        <v>#N/A</v>
      </c>
      <c r="J168" s="63">
        <v>0.63300000000000001</v>
      </c>
      <c r="K168" s="63"/>
      <c r="L168" s="62"/>
      <c r="M168" s="62" t="s">
        <v>895</v>
      </c>
      <c r="N168" s="62" t="s">
        <v>1016</v>
      </c>
      <c r="O168" s="62" t="str">
        <f t="shared" si="2"/>
        <v>HE24_HES Global Vplex</v>
      </c>
      <c r="P168" s="62" t="s">
        <v>930</v>
      </c>
      <c r="Q168" s="62" t="s">
        <v>896</v>
      </c>
      <c r="R168" s="62">
        <v>14</v>
      </c>
      <c r="S168" s="64"/>
      <c r="T168" s="62" t="s">
        <v>905</v>
      </c>
      <c r="U168" s="62">
        <v>13</v>
      </c>
      <c r="V168" s="65" t="s">
        <v>1886</v>
      </c>
      <c r="W168" s="65">
        <v>0</v>
      </c>
      <c r="X168" s="62"/>
      <c r="Y168" s="66" t="e">
        <v>#N/A</v>
      </c>
      <c r="Z168" s="62" t="e">
        <v>#N/A</v>
      </c>
      <c r="AA168" s="62"/>
      <c r="AB168" s="62" t="s">
        <v>2210</v>
      </c>
      <c r="AC168" s="62" t="e">
        <v>#N/A</v>
      </c>
    </row>
    <row r="169" spans="1:29" ht="15" customHeight="1" outlineLevel="1" x14ac:dyDescent="0.3">
      <c r="A169" s="62" t="s">
        <v>355</v>
      </c>
      <c r="B169" s="62" t="s">
        <v>356</v>
      </c>
      <c r="C169" s="62" t="s">
        <v>892</v>
      </c>
      <c r="D169" s="62" t="s">
        <v>301</v>
      </c>
      <c r="E169" s="62" t="s">
        <v>352</v>
      </c>
      <c r="F169" s="62" t="s">
        <v>8</v>
      </c>
      <c r="G169" s="62" t="s">
        <v>2250</v>
      </c>
      <c r="H169" s="62" t="s">
        <v>929</v>
      </c>
      <c r="I169" s="62" t="e">
        <v>#N/A</v>
      </c>
      <c r="J169" s="63">
        <v>0.63300000000000001</v>
      </c>
      <c r="K169" s="63"/>
      <c r="L169" s="62"/>
      <c r="M169" s="62" t="s">
        <v>895</v>
      </c>
      <c r="N169" s="62" t="s">
        <v>1016</v>
      </c>
      <c r="O169" s="62" t="str">
        <f t="shared" si="2"/>
        <v>HE25_HES Global Mainframe</v>
      </c>
      <c r="P169" s="62" t="s">
        <v>930</v>
      </c>
      <c r="Q169" s="62" t="s">
        <v>896</v>
      </c>
      <c r="R169" s="62">
        <v>14</v>
      </c>
      <c r="S169" s="64"/>
      <c r="T169" s="62" t="s">
        <v>905</v>
      </c>
      <c r="U169" s="62">
        <v>13</v>
      </c>
      <c r="V169" s="65" t="s">
        <v>1886</v>
      </c>
      <c r="W169" s="65">
        <v>0</v>
      </c>
      <c r="X169" s="62"/>
      <c r="Y169" s="66" t="e">
        <v>#N/A</v>
      </c>
      <c r="Z169" s="62" t="e">
        <v>#N/A</v>
      </c>
      <c r="AA169" s="62"/>
      <c r="AB169" s="62" t="s">
        <v>2210</v>
      </c>
      <c r="AC169" s="62" t="e">
        <v>#N/A</v>
      </c>
    </row>
    <row r="170" spans="1:29" ht="15" customHeight="1" outlineLevel="1" x14ac:dyDescent="0.3">
      <c r="A170" s="62" t="s">
        <v>328</v>
      </c>
      <c r="B170" s="62" t="s">
        <v>329</v>
      </c>
      <c r="C170" s="62" t="s">
        <v>892</v>
      </c>
      <c r="D170" s="62" t="s">
        <v>301</v>
      </c>
      <c r="E170" s="62" t="s">
        <v>325</v>
      </c>
      <c r="F170" s="62" t="s">
        <v>8</v>
      </c>
      <c r="G170" s="62" t="s">
        <v>2250</v>
      </c>
      <c r="H170" s="62" t="s">
        <v>929</v>
      </c>
      <c r="I170" s="62" t="e">
        <v>#N/A</v>
      </c>
      <c r="J170" s="63">
        <v>0.63300000000000001</v>
      </c>
      <c r="K170" s="63"/>
      <c r="L170" s="62"/>
      <c r="M170" s="62" t="s">
        <v>895</v>
      </c>
      <c r="N170" s="62" t="s">
        <v>1016</v>
      </c>
      <c r="O170" s="62" t="str">
        <f t="shared" si="2"/>
        <v>HE26_HES Global DLM</v>
      </c>
      <c r="P170" s="62" t="s">
        <v>930</v>
      </c>
      <c r="Q170" s="62" t="s">
        <v>896</v>
      </c>
      <c r="R170" s="62">
        <v>14</v>
      </c>
      <c r="S170" s="64"/>
      <c r="T170" s="62" t="s">
        <v>905</v>
      </c>
      <c r="U170" s="62">
        <v>13</v>
      </c>
      <c r="V170" s="65" t="s">
        <v>1886</v>
      </c>
      <c r="W170" s="65">
        <v>0</v>
      </c>
      <c r="X170" s="62"/>
      <c r="Y170" s="66" t="e">
        <v>#N/A</v>
      </c>
      <c r="Z170" s="62" t="e">
        <v>#N/A</v>
      </c>
      <c r="AA170" s="62"/>
      <c r="AB170" s="62" t="s">
        <v>2208</v>
      </c>
      <c r="AC170" s="62" t="e">
        <v>#N/A</v>
      </c>
    </row>
    <row r="171" spans="1:29" ht="15" customHeight="1" outlineLevel="1" x14ac:dyDescent="0.3">
      <c r="A171" s="62" t="s">
        <v>422</v>
      </c>
      <c r="B171" s="62" t="s">
        <v>423</v>
      </c>
      <c r="C171" s="62" t="s">
        <v>892</v>
      </c>
      <c r="D171" s="62" t="s">
        <v>301</v>
      </c>
      <c r="E171" s="62" t="s">
        <v>419</v>
      </c>
      <c r="F171" s="62" t="s">
        <v>8</v>
      </c>
      <c r="G171" s="62" t="s">
        <v>2250</v>
      </c>
      <c r="H171" s="62" t="s">
        <v>929</v>
      </c>
      <c r="I171" s="62" t="e">
        <v>#N/A</v>
      </c>
      <c r="J171" s="63">
        <v>0.63300000000000001</v>
      </c>
      <c r="K171" s="63"/>
      <c r="L171" s="62"/>
      <c r="M171" s="62" t="s">
        <v>895</v>
      </c>
      <c r="N171" s="62" t="s">
        <v>1016</v>
      </c>
      <c r="O171" s="62" t="str">
        <f t="shared" si="2"/>
        <v>HE28_HES Global XtremIO</v>
      </c>
      <c r="P171" s="62" t="s">
        <v>930</v>
      </c>
      <c r="Q171" s="62" t="s">
        <v>896</v>
      </c>
      <c r="R171" s="62">
        <v>14</v>
      </c>
      <c r="S171" s="64"/>
      <c r="T171" s="62" t="s">
        <v>905</v>
      </c>
      <c r="U171" s="62">
        <v>13</v>
      </c>
      <c r="V171" s="65" t="s">
        <v>1886</v>
      </c>
      <c r="W171" s="65">
        <v>0</v>
      </c>
      <c r="X171" s="62"/>
      <c r="Y171" s="66" t="e">
        <v>#N/A</v>
      </c>
      <c r="Z171" s="62" t="e">
        <v>#N/A</v>
      </c>
      <c r="AA171" s="62"/>
      <c r="AB171" s="62" t="s">
        <v>2210</v>
      </c>
      <c r="AC171" s="62" t="e">
        <v>#N/A</v>
      </c>
    </row>
    <row r="172" spans="1:29" ht="15" customHeight="1" outlineLevel="1" x14ac:dyDescent="0.3">
      <c r="A172" s="62" t="s">
        <v>310</v>
      </c>
      <c r="B172" s="62" t="s">
        <v>311</v>
      </c>
      <c r="C172" s="62" t="s">
        <v>892</v>
      </c>
      <c r="D172" s="62" t="s">
        <v>301</v>
      </c>
      <c r="E172" s="62" t="s">
        <v>305</v>
      </c>
      <c r="F172" s="62" t="s">
        <v>8</v>
      </c>
      <c r="G172" s="62" t="s">
        <v>2250</v>
      </c>
      <c r="H172" s="62" t="s">
        <v>929</v>
      </c>
      <c r="I172" s="62" t="e">
        <v>#N/A</v>
      </c>
      <c r="J172" s="63">
        <v>0.63300000000000001</v>
      </c>
      <c r="K172" s="63"/>
      <c r="L172" s="62"/>
      <c r="M172" s="62" t="s">
        <v>895</v>
      </c>
      <c r="N172" s="62" t="s">
        <v>1016</v>
      </c>
      <c r="O172" s="62" t="str">
        <f t="shared" si="2"/>
        <v>HE29_HES Global Connectivity</v>
      </c>
      <c r="P172" s="62" t="s">
        <v>930</v>
      </c>
      <c r="Q172" s="62" t="s">
        <v>896</v>
      </c>
      <c r="R172" s="62">
        <v>14</v>
      </c>
      <c r="S172" s="64"/>
      <c r="T172" s="62" t="s">
        <v>905</v>
      </c>
      <c r="U172" s="62">
        <v>13</v>
      </c>
      <c r="V172" s="65" t="s">
        <v>1886</v>
      </c>
      <c r="W172" s="65">
        <v>0</v>
      </c>
      <c r="X172" s="62"/>
      <c r="Y172" s="66" t="e">
        <v>#N/A</v>
      </c>
      <c r="Z172" s="62" t="e">
        <v>#N/A</v>
      </c>
      <c r="AA172" s="62"/>
      <c r="AB172" s="62" t="s">
        <v>2210</v>
      </c>
      <c r="AC172" s="62" t="e">
        <v>#N/A</v>
      </c>
    </row>
    <row r="173" spans="1:29" ht="15" customHeight="1" outlineLevel="1" x14ac:dyDescent="0.3">
      <c r="A173" s="62" t="s">
        <v>227</v>
      </c>
      <c r="B173" s="62" t="s">
        <v>228</v>
      </c>
      <c r="C173" s="62" t="s">
        <v>892</v>
      </c>
      <c r="D173" s="62" t="s">
        <v>158</v>
      </c>
      <c r="E173" s="62" t="s">
        <v>224</v>
      </c>
      <c r="F173" s="62" t="s">
        <v>8</v>
      </c>
      <c r="G173" s="62" t="s">
        <v>2250</v>
      </c>
      <c r="H173" s="62" t="s">
        <v>929</v>
      </c>
      <c r="I173" s="62" t="e">
        <v>#N/A</v>
      </c>
      <c r="J173" s="63">
        <v>0.63300000000000001</v>
      </c>
      <c r="K173" s="63"/>
      <c r="L173" s="62"/>
      <c r="M173" s="62" t="s">
        <v>895</v>
      </c>
      <c r="N173" s="62" t="s">
        <v>1016</v>
      </c>
      <c r="O173" s="62" t="str">
        <f t="shared" si="2"/>
        <v>HE30_HES Global Solutions</v>
      </c>
      <c r="P173" s="62" t="s">
        <v>2187</v>
      </c>
      <c r="Q173" s="62" t="s">
        <v>896</v>
      </c>
      <c r="R173" s="62">
        <v>14</v>
      </c>
      <c r="S173" s="64"/>
      <c r="T173" s="62" t="s">
        <v>905</v>
      </c>
      <c r="U173" s="62">
        <v>13</v>
      </c>
      <c r="V173" s="65" t="s">
        <v>1886</v>
      </c>
      <c r="W173" s="65">
        <v>0</v>
      </c>
      <c r="X173" s="62"/>
      <c r="Y173" s="66" t="e">
        <v>#N/A</v>
      </c>
      <c r="Z173" s="62" t="e">
        <v>#N/A</v>
      </c>
      <c r="AA173" s="62"/>
      <c r="AB173" s="62" t="s">
        <v>2208</v>
      </c>
      <c r="AC173" s="62" t="e">
        <v>#N/A</v>
      </c>
    </row>
    <row r="174" spans="1:29" ht="15" customHeight="1" outlineLevel="1" x14ac:dyDescent="0.3">
      <c r="A174" s="62" t="s">
        <v>783</v>
      </c>
      <c r="B174" s="62" t="s">
        <v>784</v>
      </c>
      <c r="C174" s="62" t="s">
        <v>892</v>
      </c>
      <c r="D174" s="62"/>
      <c r="E174" s="62" t="s">
        <v>782</v>
      </c>
      <c r="F174" s="62" t="s">
        <v>8</v>
      </c>
      <c r="G174" s="62" t="s">
        <v>2250</v>
      </c>
      <c r="H174" s="62" t="s">
        <v>929</v>
      </c>
      <c r="I174" s="62" t="e">
        <v>#N/A</v>
      </c>
      <c r="J174" s="63">
        <v>0.63300000000000001</v>
      </c>
      <c r="K174" s="63"/>
      <c r="L174" s="62"/>
      <c r="M174" s="62" t="s">
        <v>895</v>
      </c>
      <c r="N174" s="62" t="s">
        <v>1016</v>
      </c>
      <c r="O174" s="62" t="str">
        <f t="shared" si="2"/>
        <v>HE32_HES Global SSG</v>
      </c>
      <c r="P174" s="62" t="s">
        <v>930</v>
      </c>
      <c r="Q174" s="62" t="s">
        <v>896</v>
      </c>
      <c r="R174" s="62">
        <v>14</v>
      </c>
      <c r="S174" s="64"/>
      <c r="T174" s="62" t="s">
        <v>905</v>
      </c>
      <c r="U174" s="62">
        <v>13</v>
      </c>
      <c r="V174" s="65" t="s">
        <v>1886</v>
      </c>
      <c r="W174" s="65">
        <v>0</v>
      </c>
      <c r="X174" s="62"/>
      <c r="Y174" s="66" t="e">
        <v>#N/A</v>
      </c>
      <c r="Z174" s="62" t="e">
        <v>#N/A</v>
      </c>
      <c r="AA174" s="62"/>
      <c r="AB174" s="62" t="s">
        <v>2210</v>
      </c>
      <c r="AC174" s="62" t="e">
        <v>#N/A</v>
      </c>
    </row>
    <row r="175" spans="1:29" ht="15" customHeight="1" outlineLevel="1" x14ac:dyDescent="0.3">
      <c r="A175" s="62" t="s">
        <v>50</v>
      </c>
      <c r="B175" s="62" t="s">
        <v>51</v>
      </c>
      <c r="C175" s="62" t="s">
        <v>892</v>
      </c>
      <c r="D175" s="62" t="s">
        <v>44</v>
      </c>
      <c r="E175" s="62" t="s">
        <v>45</v>
      </c>
      <c r="F175" s="62" t="s">
        <v>8</v>
      </c>
      <c r="G175" s="62" t="s">
        <v>2250</v>
      </c>
      <c r="H175" s="62" t="s">
        <v>929</v>
      </c>
      <c r="I175" s="62" t="e">
        <v>#N/A</v>
      </c>
      <c r="J175" s="63">
        <v>0.63300000000000001</v>
      </c>
      <c r="K175" s="63"/>
      <c r="L175" s="62"/>
      <c r="M175" s="62" t="s">
        <v>895</v>
      </c>
      <c r="N175" s="62" t="s">
        <v>1016</v>
      </c>
      <c r="O175" s="62" t="str">
        <f t="shared" si="2"/>
        <v>HE36_HES Global AVAMAR</v>
      </c>
      <c r="P175" s="62" t="s">
        <v>930</v>
      </c>
      <c r="Q175" s="62" t="s">
        <v>896</v>
      </c>
      <c r="R175" s="62">
        <v>14</v>
      </c>
      <c r="S175" s="64"/>
      <c r="T175" s="62" t="s">
        <v>905</v>
      </c>
      <c r="U175" s="62">
        <v>13</v>
      </c>
      <c r="V175" s="65" t="s">
        <v>1886</v>
      </c>
      <c r="W175" s="65">
        <v>0</v>
      </c>
      <c r="X175" s="62"/>
      <c r="Y175" s="66" t="e">
        <v>#N/A</v>
      </c>
      <c r="Z175" s="62" t="e">
        <v>#N/A</v>
      </c>
      <c r="AA175" s="62"/>
      <c r="AB175" s="62" t="s">
        <v>2210</v>
      </c>
      <c r="AC175" s="62" t="e">
        <v>#N/A</v>
      </c>
    </row>
    <row r="176" spans="1:29" ht="15" customHeight="1" outlineLevel="1" x14ac:dyDescent="0.3">
      <c r="A176" s="62" t="s">
        <v>114</v>
      </c>
      <c r="B176" s="62" t="s">
        <v>115</v>
      </c>
      <c r="C176" s="62" t="s">
        <v>892</v>
      </c>
      <c r="D176" s="62" t="s">
        <v>44</v>
      </c>
      <c r="E176" s="62" t="s">
        <v>109</v>
      </c>
      <c r="F176" s="62" t="s">
        <v>8</v>
      </c>
      <c r="G176" s="62" t="s">
        <v>2250</v>
      </c>
      <c r="H176" s="62" t="s">
        <v>929</v>
      </c>
      <c r="I176" s="62" t="e">
        <v>#N/A</v>
      </c>
      <c r="J176" s="63">
        <v>0.63300000000000001</v>
      </c>
      <c r="K176" s="63"/>
      <c r="L176" s="62"/>
      <c r="M176" s="62" t="s">
        <v>895</v>
      </c>
      <c r="N176" s="62" t="s">
        <v>1016</v>
      </c>
      <c r="O176" s="62" t="str">
        <f t="shared" si="2"/>
        <v>HE37_HES Global Networker</v>
      </c>
      <c r="P176" s="62" t="s">
        <v>930</v>
      </c>
      <c r="Q176" s="62" t="s">
        <v>896</v>
      </c>
      <c r="R176" s="62">
        <v>14</v>
      </c>
      <c r="S176" s="64"/>
      <c r="T176" s="62" t="s">
        <v>905</v>
      </c>
      <c r="U176" s="62">
        <v>13</v>
      </c>
      <c r="V176" s="65" t="s">
        <v>1886</v>
      </c>
      <c r="W176" s="65">
        <v>0</v>
      </c>
      <c r="X176" s="62"/>
      <c r="Y176" s="66" t="e">
        <v>#N/A</v>
      </c>
      <c r="Z176" s="62" t="e">
        <v>#N/A</v>
      </c>
      <c r="AA176" s="62"/>
      <c r="AB176" s="62" t="s">
        <v>2210</v>
      </c>
      <c r="AC176" s="62" t="e">
        <v>#N/A</v>
      </c>
    </row>
    <row r="177" spans="1:29" ht="15" customHeight="1" outlineLevel="1" x14ac:dyDescent="0.3">
      <c r="A177" s="62" t="s">
        <v>76</v>
      </c>
      <c r="B177" s="62" t="s">
        <v>2155</v>
      </c>
      <c r="C177" s="62" t="s">
        <v>892</v>
      </c>
      <c r="D177" s="62" t="s">
        <v>44</v>
      </c>
      <c r="E177" s="62" t="s">
        <v>71</v>
      </c>
      <c r="F177" s="62" t="s">
        <v>8</v>
      </c>
      <c r="G177" s="62" t="s">
        <v>2250</v>
      </c>
      <c r="H177" s="62" t="s">
        <v>929</v>
      </c>
      <c r="I177" s="62" t="e">
        <v>#N/A</v>
      </c>
      <c r="J177" s="63">
        <v>0.63300000000000001</v>
      </c>
      <c r="K177" s="63"/>
      <c r="L177" s="62"/>
      <c r="M177" s="62" t="s">
        <v>895</v>
      </c>
      <c r="N177" s="62" t="s">
        <v>1016</v>
      </c>
      <c r="O177" s="62" t="str">
        <f t="shared" si="2"/>
        <v>HE38_HES Global DataDomain</v>
      </c>
      <c r="P177" s="62" t="s">
        <v>930</v>
      </c>
      <c r="Q177" s="62" t="s">
        <v>896</v>
      </c>
      <c r="R177" s="62">
        <v>14</v>
      </c>
      <c r="S177" s="64"/>
      <c r="T177" s="62" t="s">
        <v>905</v>
      </c>
      <c r="U177" s="62">
        <v>13</v>
      </c>
      <c r="V177" s="65" t="s">
        <v>1886</v>
      </c>
      <c r="W177" s="65">
        <v>0</v>
      </c>
      <c r="X177" s="62"/>
      <c r="Y177" s="66" t="e">
        <v>#N/A</v>
      </c>
      <c r="Z177" s="62" t="e">
        <v>#N/A</v>
      </c>
      <c r="AA177" s="62"/>
      <c r="AB177" s="62" t="s">
        <v>2210</v>
      </c>
      <c r="AC177" s="62" t="e">
        <v>#N/A</v>
      </c>
    </row>
    <row r="178" spans="1:29" ht="15" customHeight="1" outlineLevel="1" x14ac:dyDescent="0.3">
      <c r="A178" s="62" t="s">
        <v>140</v>
      </c>
      <c r="B178" s="62" t="s">
        <v>141</v>
      </c>
      <c r="C178" s="62" t="s">
        <v>892</v>
      </c>
      <c r="D178" s="62" t="s">
        <v>44</v>
      </c>
      <c r="E178" s="62" t="s">
        <v>137</v>
      </c>
      <c r="F178" s="62" t="s">
        <v>8</v>
      </c>
      <c r="G178" s="62" t="s">
        <v>2250</v>
      </c>
      <c r="H178" s="62" t="s">
        <v>929</v>
      </c>
      <c r="I178" s="62" t="e">
        <v>#N/A</v>
      </c>
      <c r="J178" s="63">
        <v>0.63300000000000001</v>
      </c>
      <c r="K178" s="63"/>
      <c r="L178" s="62"/>
      <c r="M178" s="62" t="s">
        <v>895</v>
      </c>
      <c r="N178" s="62" t="s">
        <v>916</v>
      </c>
      <c r="O178" s="62" t="str">
        <f t="shared" si="2"/>
        <v>HE39_HES Global RecoverPoint</v>
      </c>
      <c r="P178" s="62" t="s">
        <v>930</v>
      </c>
      <c r="Q178" s="62" t="s">
        <v>896</v>
      </c>
      <c r="R178" s="62">
        <v>14</v>
      </c>
      <c r="S178" s="64"/>
      <c r="T178" s="62" t="s">
        <v>905</v>
      </c>
      <c r="U178" s="62">
        <v>13</v>
      </c>
      <c r="V178" s="65" t="s">
        <v>1886</v>
      </c>
      <c r="W178" s="65">
        <v>0</v>
      </c>
      <c r="X178" s="62"/>
      <c r="Y178" s="66" t="e">
        <v>#N/A</v>
      </c>
      <c r="Z178" s="62" t="e">
        <v>#N/A</v>
      </c>
      <c r="AA178" s="62"/>
      <c r="AB178" s="62" t="s">
        <v>2208</v>
      </c>
      <c r="AC178" s="62" t="e">
        <v>#N/A</v>
      </c>
    </row>
    <row r="179" spans="1:29" ht="15" customHeight="1" outlineLevel="1" x14ac:dyDescent="0.3">
      <c r="A179" s="62" t="s">
        <v>330</v>
      </c>
      <c r="B179" s="62" t="s">
        <v>331</v>
      </c>
      <c r="C179" s="62" t="s">
        <v>892</v>
      </c>
      <c r="D179" s="62" t="s">
        <v>301</v>
      </c>
      <c r="E179" s="62" t="s">
        <v>99</v>
      </c>
      <c r="F179" s="62" t="s">
        <v>8</v>
      </c>
      <c r="G179" s="62" t="s">
        <v>2250</v>
      </c>
      <c r="H179" s="62" t="s">
        <v>929</v>
      </c>
      <c r="I179" s="62" t="e">
        <v>#N/A</v>
      </c>
      <c r="J179" s="63">
        <v>0.63300000000000001</v>
      </c>
      <c r="K179" s="63"/>
      <c r="L179" s="62"/>
      <c r="M179" s="62" t="s">
        <v>895</v>
      </c>
      <c r="N179" s="62" t="s">
        <v>1016</v>
      </c>
      <c r="O179" s="62" t="str">
        <f t="shared" si="2"/>
        <v>HE40_HES Global DPADSRT</v>
      </c>
      <c r="P179" s="62" t="s">
        <v>930</v>
      </c>
      <c r="Q179" s="62" t="s">
        <v>896</v>
      </c>
      <c r="R179" s="62">
        <v>14</v>
      </c>
      <c r="S179" s="64"/>
      <c r="T179" s="62" t="s">
        <v>905</v>
      </c>
      <c r="U179" s="62">
        <v>13</v>
      </c>
      <c r="V179" s="65" t="s">
        <v>1886</v>
      </c>
      <c r="W179" s="65">
        <v>0</v>
      </c>
      <c r="X179" s="62"/>
      <c r="Y179" s="66" t="e">
        <v>#N/A</v>
      </c>
      <c r="Z179" s="62" t="e">
        <v>#N/A</v>
      </c>
      <c r="AA179" s="62"/>
      <c r="AB179" s="62" t="s">
        <v>2210</v>
      </c>
      <c r="AC179" s="62" t="e">
        <v>#N/A</v>
      </c>
    </row>
    <row r="180" spans="1:29" ht="15" customHeight="1" outlineLevel="1" x14ac:dyDescent="0.3">
      <c r="A180" s="62" t="s">
        <v>332</v>
      </c>
      <c r="B180" s="62" t="s">
        <v>333</v>
      </c>
      <c r="C180" s="62" t="s">
        <v>892</v>
      </c>
      <c r="D180" s="62" t="s">
        <v>301</v>
      </c>
      <c r="E180" s="62" t="s">
        <v>102</v>
      </c>
      <c r="F180" s="62" t="s">
        <v>8</v>
      </c>
      <c r="G180" s="62" t="s">
        <v>2250</v>
      </c>
      <c r="H180" s="62" t="s">
        <v>929</v>
      </c>
      <c r="I180" s="62" t="e">
        <v>#N/A</v>
      </c>
      <c r="J180" s="63">
        <v>0.63300000000000001</v>
      </c>
      <c r="K180" s="63"/>
      <c r="L180" s="62"/>
      <c r="M180" s="62" t="s">
        <v>895</v>
      </c>
      <c r="N180" s="62" t="s">
        <v>1016</v>
      </c>
      <c r="O180" s="62" t="str">
        <f t="shared" si="2"/>
        <v>HE41_HES Global DPSolutions</v>
      </c>
      <c r="P180" s="62" t="s">
        <v>930</v>
      </c>
      <c r="Q180" s="62" t="s">
        <v>896</v>
      </c>
      <c r="R180" s="62">
        <v>14</v>
      </c>
      <c r="S180" s="64"/>
      <c r="T180" s="62" t="s">
        <v>905</v>
      </c>
      <c r="U180" s="62">
        <v>13</v>
      </c>
      <c r="V180" s="65" t="s">
        <v>1886</v>
      </c>
      <c r="W180" s="65">
        <v>0</v>
      </c>
      <c r="X180" s="62"/>
      <c r="Y180" s="66" t="e">
        <v>#N/A</v>
      </c>
      <c r="Z180" s="62" t="e">
        <v>#N/A</v>
      </c>
      <c r="AA180" s="62"/>
      <c r="AB180" s="62" t="s">
        <v>2208</v>
      </c>
      <c r="AC180" s="62" t="e">
        <v>#N/A</v>
      </c>
    </row>
    <row r="181" spans="1:29" ht="15" customHeight="1" outlineLevel="1" x14ac:dyDescent="0.3">
      <c r="A181" s="62" t="s">
        <v>95</v>
      </c>
      <c r="B181" s="62" t="s">
        <v>96</v>
      </c>
      <c r="C181" s="62" t="s">
        <v>892</v>
      </c>
      <c r="D181" s="62" t="s">
        <v>44</v>
      </c>
      <c r="E181" s="62" t="s">
        <v>92</v>
      </c>
      <c r="F181" s="62" t="s">
        <v>8</v>
      </c>
      <c r="G181" s="62" t="s">
        <v>2250</v>
      </c>
      <c r="H181" s="62" t="s">
        <v>929</v>
      </c>
      <c r="I181" s="62" t="e">
        <v>#N/A</v>
      </c>
      <c r="J181" s="63">
        <v>0.63300000000000001</v>
      </c>
      <c r="K181" s="63"/>
      <c r="L181" s="62"/>
      <c r="M181" s="62" t="s">
        <v>895</v>
      </c>
      <c r="N181" s="62" t="s">
        <v>1016</v>
      </c>
      <c r="O181" s="62" t="str">
        <f t="shared" si="2"/>
        <v>HE42_HES Global DPA</v>
      </c>
      <c r="P181" s="62" t="s">
        <v>930</v>
      </c>
      <c r="Q181" s="62" t="s">
        <v>896</v>
      </c>
      <c r="R181" s="62">
        <v>14</v>
      </c>
      <c r="S181" s="64"/>
      <c r="T181" s="62" t="s">
        <v>905</v>
      </c>
      <c r="U181" s="62">
        <v>13</v>
      </c>
      <c r="V181" s="65" t="s">
        <v>1886</v>
      </c>
      <c r="W181" s="65">
        <v>0</v>
      </c>
      <c r="X181" s="62"/>
      <c r="Y181" s="66" t="e">
        <v>#N/A</v>
      </c>
      <c r="Z181" s="62" t="e">
        <v>#N/A</v>
      </c>
      <c r="AA181" s="62"/>
      <c r="AB181" s="62" t="s">
        <v>2208</v>
      </c>
      <c r="AC181" s="62" t="e">
        <v>#N/A</v>
      </c>
    </row>
    <row r="182" spans="1:29" ht="15" customHeight="1" outlineLevel="1" x14ac:dyDescent="0.3">
      <c r="A182" s="62" t="s">
        <v>145</v>
      </c>
      <c r="B182" s="62" t="s">
        <v>146</v>
      </c>
      <c r="C182" s="62" t="s">
        <v>892</v>
      </c>
      <c r="D182" s="62" t="s">
        <v>44</v>
      </c>
      <c r="E182" s="62" t="s">
        <v>142</v>
      </c>
      <c r="F182" s="62" t="s">
        <v>8</v>
      </c>
      <c r="G182" s="62" t="s">
        <v>2250</v>
      </c>
      <c r="H182" s="62" t="s">
        <v>929</v>
      </c>
      <c r="I182" s="62" t="e">
        <v>#N/A</v>
      </c>
      <c r="J182" s="63">
        <v>0.63300000000000001</v>
      </c>
      <c r="K182" s="63"/>
      <c r="L182" s="62"/>
      <c r="M182" s="62" t="s">
        <v>895</v>
      </c>
      <c r="N182" s="62" t="s">
        <v>1016</v>
      </c>
      <c r="O182" s="62" t="str">
        <f t="shared" si="2"/>
        <v>HE43_HES Global SOURCEONE</v>
      </c>
      <c r="P182" s="62" t="s">
        <v>930</v>
      </c>
      <c r="Q182" s="62" t="s">
        <v>896</v>
      </c>
      <c r="R182" s="62">
        <v>14</v>
      </c>
      <c r="S182" s="64"/>
      <c r="T182" s="62" t="s">
        <v>905</v>
      </c>
      <c r="U182" s="62">
        <v>13</v>
      </c>
      <c r="V182" s="65" t="s">
        <v>1886</v>
      </c>
      <c r="W182" s="65">
        <v>0</v>
      </c>
      <c r="X182" s="62"/>
      <c r="Y182" s="66" t="e">
        <v>#N/A</v>
      </c>
      <c r="Z182" s="62" t="e">
        <v>#N/A</v>
      </c>
      <c r="AA182" s="62"/>
      <c r="AB182" s="62" t="s">
        <v>2208</v>
      </c>
      <c r="AC182" s="62" t="e">
        <v>#N/A</v>
      </c>
    </row>
    <row r="183" spans="1:29" ht="15" customHeight="1" outlineLevel="1" x14ac:dyDescent="0.3">
      <c r="A183" s="62" t="s">
        <v>69</v>
      </c>
      <c r="B183" s="62" t="s">
        <v>70</v>
      </c>
      <c r="C183" s="62" t="s">
        <v>892</v>
      </c>
      <c r="D183" s="62" t="s">
        <v>44</v>
      </c>
      <c r="E183" s="62" t="s">
        <v>66</v>
      </c>
      <c r="F183" s="62" t="s">
        <v>8</v>
      </c>
      <c r="G183" s="62" t="s">
        <v>2250</v>
      </c>
      <c r="H183" s="62" t="s">
        <v>929</v>
      </c>
      <c r="I183" s="62" t="e">
        <v>#N/A</v>
      </c>
      <c r="J183" s="63">
        <v>0.63300000000000001</v>
      </c>
      <c r="K183" s="63"/>
      <c r="L183" s="62"/>
      <c r="M183" s="62" t="s">
        <v>895</v>
      </c>
      <c r="N183" s="62" t="s">
        <v>1016</v>
      </c>
      <c r="O183" s="62" t="str">
        <f t="shared" si="2"/>
        <v>HE44_HES Global Cloudboost</v>
      </c>
      <c r="P183" s="62" t="s">
        <v>930</v>
      </c>
      <c r="Q183" s="62" t="s">
        <v>896</v>
      </c>
      <c r="R183" s="62">
        <v>14</v>
      </c>
      <c r="S183" s="64"/>
      <c r="T183" s="62" t="s">
        <v>905</v>
      </c>
      <c r="U183" s="62">
        <v>13</v>
      </c>
      <c r="V183" s="65" t="s">
        <v>1886</v>
      </c>
      <c r="W183" s="65">
        <v>0</v>
      </c>
      <c r="X183" s="62"/>
      <c r="Y183" s="66" t="e">
        <v>#N/A</v>
      </c>
      <c r="Z183" s="62" t="e">
        <v>#N/A</v>
      </c>
      <c r="AA183" s="62"/>
      <c r="AB183" s="62" t="s">
        <v>2208</v>
      </c>
      <c r="AC183" s="62" t="e">
        <v>#N/A</v>
      </c>
    </row>
    <row r="184" spans="1:29" ht="15" customHeight="1" outlineLevel="1" x14ac:dyDescent="0.3">
      <c r="A184" s="62" t="s">
        <v>684</v>
      </c>
      <c r="B184" s="62" t="s">
        <v>1906</v>
      </c>
      <c r="C184" s="62" t="s">
        <v>892</v>
      </c>
      <c r="D184" s="62" t="s">
        <v>672</v>
      </c>
      <c r="E184" s="62" t="s">
        <v>2203</v>
      </c>
      <c r="F184" s="62" t="s">
        <v>8</v>
      </c>
      <c r="G184" s="62" t="s">
        <v>2250</v>
      </c>
      <c r="H184" s="62" t="s">
        <v>929</v>
      </c>
      <c r="I184" s="62" t="e">
        <v>#N/A</v>
      </c>
      <c r="J184" s="63">
        <v>0.63300000000000001</v>
      </c>
      <c r="K184" s="63"/>
      <c r="L184" s="62"/>
      <c r="M184" s="62" t="s">
        <v>895</v>
      </c>
      <c r="N184" s="62" t="s">
        <v>1016</v>
      </c>
      <c r="O184" s="62" t="str">
        <f t="shared" si="2"/>
        <v>HE47_HES Global PowerScale</v>
      </c>
      <c r="P184" s="62" t="s">
        <v>930</v>
      </c>
      <c r="Q184" s="62" t="s">
        <v>896</v>
      </c>
      <c r="R184" s="62">
        <v>14</v>
      </c>
      <c r="S184" s="64"/>
      <c r="T184" s="62" t="s">
        <v>905</v>
      </c>
      <c r="U184" s="62">
        <v>13</v>
      </c>
      <c r="V184" s="65" t="s">
        <v>1886</v>
      </c>
      <c r="W184" s="65">
        <v>0</v>
      </c>
      <c r="X184" s="62"/>
      <c r="Y184" s="66" t="e">
        <v>#N/A</v>
      </c>
      <c r="Z184" s="62" t="e">
        <v>#N/A</v>
      </c>
      <c r="AA184" s="62"/>
      <c r="AB184" s="62" t="s">
        <v>2210</v>
      </c>
      <c r="AC184" s="62" t="e">
        <v>#N/A</v>
      </c>
    </row>
    <row r="185" spans="1:29" ht="15" customHeight="1" outlineLevel="1" x14ac:dyDescent="0.3">
      <c r="A185" s="62" t="s">
        <v>705</v>
      </c>
      <c r="B185" s="62" t="s">
        <v>706</v>
      </c>
      <c r="C185" s="62" t="s">
        <v>892</v>
      </c>
      <c r="D185" s="62" t="s">
        <v>672</v>
      </c>
      <c r="E185" s="62" t="s">
        <v>702</v>
      </c>
      <c r="F185" s="62" t="s">
        <v>8</v>
      </c>
      <c r="G185" s="62" t="s">
        <v>2250</v>
      </c>
      <c r="H185" s="62" t="s">
        <v>929</v>
      </c>
      <c r="I185" s="62" t="e">
        <v>#N/A</v>
      </c>
      <c r="J185" s="63">
        <v>0.63300000000000001</v>
      </c>
      <c r="K185" s="63"/>
      <c r="L185" s="62"/>
      <c r="M185" s="62" t="s">
        <v>895</v>
      </c>
      <c r="N185" s="62" t="s">
        <v>1016</v>
      </c>
      <c r="O185" s="62" t="str">
        <f t="shared" si="2"/>
        <v>HE48_HES Global OBJ</v>
      </c>
      <c r="P185" s="62" t="s">
        <v>930</v>
      </c>
      <c r="Q185" s="62" t="s">
        <v>896</v>
      </c>
      <c r="R185" s="62">
        <v>14</v>
      </c>
      <c r="S185" s="64"/>
      <c r="T185" s="62" t="s">
        <v>905</v>
      </c>
      <c r="U185" s="62">
        <v>13</v>
      </c>
      <c r="V185" s="65" t="s">
        <v>1886</v>
      </c>
      <c r="W185" s="65">
        <v>0</v>
      </c>
      <c r="X185" s="62"/>
      <c r="Y185" s="66" t="e">
        <v>#N/A</v>
      </c>
      <c r="Z185" s="62" t="e">
        <v>#N/A</v>
      </c>
      <c r="AA185" s="62"/>
      <c r="AB185" s="62" t="s">
        <v>2210</v>
      </c>
      <c r="AC185" s="62" t="e">
        <v>#N/A</v>
      </c>
    </row>
    <row r="186" spans="1:29" ht="15" customHeight="1" outlineLevel="1" x14ac:dyDescent="0.3">
      <c r="A186" s="62" t="s">
        <v>156</v>
      </c>
      <c r="B186" s="62" t="s">
        <v>157</v>
      </c>
      <c r="C186" s="62" t="s">
        <v>892</v>
      </c>
      <c r="D186" s="62" t="s">
        <v>152</v>
      </c>
      <c r="E186" s="62" t="s">
        <v>153</v>
      </c>
      <c r="F186" s="62" t="s">
        <v>8</v>
      </c>
      <c r="G186" s="62" t="s">
        <v>2250</v>
      </c>
      <c r="H186" s="62" t="s">
        <v>929</v>
      </c>
      <c r="I186" s="62" t="s">
        <v>979</v>
      </c>
      <c r="J186" s="63">
        <v>0.63300000000000001</v>
      </c>
      <c r="K186" s="63"/>
      <c r="L186" s="62"/>
      <c r="M186" s="62" t="s">
        <v>895</v>
      </c>
      <c r="N186" s="62" t="s">
        <v>916</v>
      </c>
      <c r="O186" s="62" t="str">
        <f t="shared" si="2"/>
        <v>HE53_HES Global E2E CONNECTIVITY</v>
      </c>
      <c r="P186" s="62" t="s">
        <v>2177</v>
      </c>
      <c r="Q186" s="62" t="s">
        <v>896</v>
      </c>
      <c r="R186" s="62">
        <v>14</v>
      </c>
      <c r="S186" s="64"/>
      <c r="T186" s="62" t="s">
        <v>905</v>
      </c>
      <c r="U186" s="62">
        <v>13</v>
      </c>
      <c r="V186" s="65" t="s">
        <v>1886</v>
      </c>
      <c r="W186" s="65">
        <v>0</v>
      </c>
      <c r="X186" s="62"/>
      <c r="Y186" s="66" t="e">
        <v>#N/A</v>
      </c>
      <c r="Z186" s="62" t="e">
        <v>#N/A</v>
      </c>
      <c r="AA186" s="62"/>
      <c r="AB186" s="62" t="s">
        <v>2210</v>
      </c>
      <c r="AC186" s="62" t="e">
        <v>#N/A</v>
      </c>
    </row>
    <row r="187" spans="1:29" ht="15" customHeight="1" outlineLevel="1" x14ac:dyDescent="0.3">
      <c r="A187" s="62" t="s">
        <v>188</v>
      </c>
      <c r="B187" s="62" t="s">
        <v>189</v>
      </c>
      <c r="C187" s="62" t="s">
        <v>892</v>
      </c>
      <c r="D187" s="62" t="s">
        <v>158</v>
      </c>
      <c r="E187" s="62" t="s">
        <v>173</v>
      </c>
      <c r="F187" s="62" t="s">
        <v>8</v>
      </c>
      <c r="G187" s="62" t="e">
        <v>#N/A</v>
      </c>
      <c r="H187" s="62" t="s">
        <v>912</v>
      </c>
      <c r="I187" s="62" t="e">
        <v>#N/A</v>
      </c>
      <c r="J187" s="63">
        <v>0.61699999999999999</v>
      </c>
      <c r="K187" s="63"/>
      <c r="L187" s="62"/>
      <c r="M187" s="62" t="s">
        <v>895</v>
      </c>
      <c r="N187" s="62"/>
      <c r="O187" s="62" t="str">
        <f t="shared" si="2"/>
        <v>HE58_German VXRail</v>
      </c>
      <c r="P187" s="62" t="s">
        <v>930</v>
      </c>
      <c r="Q187" s="62" t="s">
        <v>896</v>
      </c>
      <c r="R187" s="62">
        <v>14</v>
      </c>
      <c r="S187" s="64"/>
      <c r="T187" s="62" t="s">
        <v>905</v>
      </c>
      <c r="U187" s="62">
        <v>13</v>
      </c>
      <c r="V187" s="65" t="s">
        <v>1886</v>
      </c>
      <c r="W187" s="65">
        <v>0</v>
      </c>
      <c r="X187" s="62"/>
      <c r="Y187" s="66" t="e">
        <v>#N/A</v>
      </c>
      <c r="Z187" s="62" t="e">
        <v>#N/A</v>
      </c>
      <c r="AA187" s="62"/>
      <c r="AB187" s="62" t="s">
        <v>2213</v>
      </c>
      <c r="AC187" s="62" t="e">
        <v>#N/A</v>
      </c>
    </row>
    <row r="188" spans="1:29" ht="15" customHeight="1" outlineLevel="1" x14ac:dyDescent="0.3">
      <c r="A188" s="62" t="s">
        <v>238</v>
      </c>
      <c r="B188" s="62" t="s">
        <v>239</v>
      </c>
      <c r="C188" s="62" t="s">
        <v>892</v>
      </c>
      <c r="D188" s="62" t="s">
        <v>229</v>
      </c>
      <c r="E188" s="62" t="s">
        <v>229</v>
      </c>
      <c r="F188" s="62" t="s">
        <v>8</v>
      </c>
      <c r="G188" s="62" t="e">
        <v>#N/A</v>
      </c>
      <c r="H188" s="62" t="s">
        <v>912</v>
      </c>
      <c r="I188" s="62" t="e">
        <v>#N/A</v>
      </c>
      <c r="J188" s="63">
        <v>0.61699999999999999</v>
      </c>
      <c r="K188" s="63"/>
      <c r="L188" s="62"/>
      <c r="M188" s="62" t="s">
        <v>895</v>
      </c>
      <c r="N188" s="62"/>
      <c r="O188" s="62" t="str">
        <f t="shared" si="2"/>
        <v>HE59_German Midrange</v>
      </c>
      <c r="P188" s="62" t="s">
        <v>930</v>
      </c>
      <c r="Q188" s="62" t="s">
        <v>896</v>
      </c>
      <c r="R188" s="62">
        <v>14</v>
      </c>
      <c r="S188" s="64"/>
      <c r="T188" s="62" t="s">
        <v>905</v>
      </c>
      <c r="U188" s="62">
        <v>13</v>
      </c>
      <c r="V188" s="65" t="s">
        <v>1886</v>
      </c>
      <c r="W188" s="65">
        <v>0</v>
      </c>
      <c r="X188" s="62"/>
      <c r="Y188" s="66" t="e">
        <v>#N/A</v>
      </c>
      <c r="Z188" s="62" t="e">
        <v>#N/A</v>
      </c>
      <c r="AA188" s="62"/>
      <c r="AB188" s="62" t="s">
        <v>2213</v>
      </c>
      <c r="AC188" s="62" t="e">
        <v>#N/A</v>
      </c>
    </row>
    <row r="189" spans="1:29" ht="15" customHeight="1" outlineLevel="1" x14ac:dyDescent="0.3">
      <c r="A189" s="62" t="s">
        <v>190</v>
      </c>
      <c r="B189" s="62" t="s">
        <v>191</v>
      </c>
      <c r="C189" s="62" t="s">
        <v>892</v>
      </c>
      <c r="D189" s="62" t="s">
        <v>158</v>
      </c>
      <c r="E189" s="62" t="s">
        <v>173</v>
      </c>
      <c r="F189" s="62" t="s">
        <v>8</v>
      </c>
      <c r="G189" s="62" t="e">
        <v>#N/A</v>
      </c>
      <c r="H189" s="62" t="s">
        <v>912</v>
      </c>
      <c r="I189" s="62" t="e">
        <v>#N/A</v>
      </c>
      <c r="J189" s="63">
        <v>0.61699999999999999</v>
      </c>
      <c r="K189" s="63"/>
      <c r="L189" s="62"/>
      <c r="M189" s="62" t="s">
        <v>895</v>
      </c>
      <c r="N189" s="62"/>
      <c r="O189" s="62" t="str">
        <f t="shared" si="2"/>
        <v>HE61_French VXRail</v>
      </c>
      <c r="P189" s="62" t="s">
        <v>930</v>
      </c>
      <c r="Q189" s="62" t="s">
        <v>896</v>
      </c>
      <c r="R189" s="62">
        <v>14</v>
      </c>
      <c r="S189" s="64"/>
      <c r="T189" s="62" t="s">
        <v>905</v>
      </c>
      <c r="U189" s="62">
        <v>13</v>
      </c>
      <c r="V189" s="65" t="s">
        <v>1886</v>
      </c>
      <c r="W189" s="65">
        <v>0</v>
      </c>
      <c r="X189" s="62"/>
      <c r="Y189" s="66" t="e">
        <v>#N/A</v>
      </c>
      <c r="Z189" s="62" t="e">
        <v>#N/A</v>
      </c>
      <c r="AA189" s="62"/>
      <c r="AB189" s="62" t="s">
        <v>2215</v>
      </c>
      <c r="AC189" s="62" t="e">
        <v>#N/A</v>
      </c>
    </row>
    <row r="190" spans="1:29" ht="15" customHeight="1" outlineLevel="1" x14ac:dyDescent="0.3">
      <c r="A190" s="62" t="s">
        <v>240</v>
      </c>
      <c r="B190" s="62" t="s">
        <v>241</v>
      </c>
      <c r="C190" s="62" t="s">
        <v>892</v>
      </c>
      <c r="D190" s="62" t="s">
        <v>229</v>
      </c>
      <c r="E190" s="62" t="s">
        <v>229</v>
      </c>
      <c r="F190" s="62" t="s">
        <v>8</v>
      </c>
      <c r="G190" s="62" t="e">
        <v>#N/A</v>
      </c>
      <c r="H190" s="62" t="s">
        <v>912</v>
      </c>
      <c r="I190" s="62" t="e">
        <v>#N/A</v>
      </c>
      <c r="J190" s="63">
        <v>0.61699999999999999</v>
      </c>
      <c r="K190" s="63"/>
      <c r="L190" s="62"/>
      <c r="M190" s="62" t="s">
        <v>895</v>
      </c>
      <c r="N190" s="62"/>
      <c r="O190" s="62" t="str">
        <f t="shared" si="2"/>
        <v>HE62_French Midrange</v>
      </c>
      <c r="P190" s="62" t="s">
        <v>930</v>
      </c>
      <c r="Q190" s="62" t="s">
        <v>896</v>
      </c>
      <c r="R190" s="62">
        <v>14</v>
      </c>
      <c r="S190" s="64"/>
      <c r="T190" s="62" t="s">
        <v>905</v>
      </c>
      <c r="U190" s="62">
        <v>13</v>
      </c>
      <c r="V190" s="65" t="s">
        <v>1886</v>
      </c>
      <c r="W190" s="65">
        <v>0</v>
      </c>
      <c r="X190" s="62"/>
      <c r="Y190" s="66" t="e">
        <v>#N/A</v>
      </c>
      <c r="Z190" s="62" t="e">
        <v>#N/A</v>
      </c>
      <c r="AA190" s="62"/>
      <c r="AB190" s="62" t="s">
        <v>2215</v>
      </c>
      <c r="AC190" s="62" t="e">
        <v>#N/A</v>
      </c>
    </row>
    <row r="191" spans="1:29" ht="15" customHeight="1" outlineLevel="1" x14ac:dyDescent="0.3">
      <c r="A191" s="62" t="s">
        <v>192</v>
      </c>
      <c r="B191" s="62" t="s">
        <v>193</v>
      </c>
      <c r="C191" s="62" t="s">
        <v>892</v>
      </c>
      <c r="D191" s="62" t="s">
        <v>158</v>
      </c>
      <c r="E191" s="62" t="s">
        <v>173</v>
      </c>
      <c r="F191" s="62" t="s">
        <v>8</v>
      </c>
      <c r="G191" s="62" t="e">
        <v>#N/A</v>
      </c>
      <c r="H191" s="62" t="s">
        <v>912</v>
      </c>
      <c r="I191" s="62" t="e">
        <v>#N/A</v>
      </c>
      <c r="J191" s="63">
        <v>0.61699999999999999</v>
      </c>
      <c r="K191" s="63"/>
      <c r="L191" s="62"/>
      <c r="M191" s="62" t="s">
        <v>895</v>
      </c>
      <c r="N191" s="62"/>
      <c r="O191" s="62" t="str">
        <f t="shared" si="2"/>
        <v>HE63_UKI VXRail</v>
      </c>
      <c r="P191" s="62" t="s">
        <v>930</v>
      </c>
      <c r="Q191" s="62" t="s">
        <v>896</v>
      </c>
      <c r="R191" s="62">
        <v>14</v>
      </c>
      <c r="S191" s="64"/>
      <c r="T191" s="62" t="s">
        <v>905</v>
      </c>
      <c r="U191" s="62">
        <v>13</v>
      </c>
      <c r="V191" s="65" t="s">
        <v>1886</v>
      </c>
      <c r="W191" s="65">
        <v>0</v>
      </c>
      <c r="X191" s="62"/>
      <c r="Y191" s="66" t="e">
        <v>#N/A</v>
      </c>
      <c r="Z191" s="62" t="e">
        <v>#N/A</v>
      </c>
      <c r="AA191" s="62"/>
      <c r="AB191" s="62" t="s">
        <v>2208</v>
      </c>
      <c r="AC191" s="62" t="e">
        <v>#N/A</v>
      </c>
    </row>
    <row r="192" spans="1:29" ht="15" customHeight="1" outlineLevel="1" x14ac:dyDescent="0.3">
      <c r="A192" s="62" t="s">
        <v>242</v>
      </c>
      <c r="B192" s="62" t="s">
        <v>243</v>
      </c>
      <c r="C192" s="62" t="s">
        <v>892</v>
      </c>
      <c r="D192" s="62" t="s">
        <v>229</v>
      </c>
      <c r="E192" s="62" t="s">
        <v>229</v>
      </c>
      <c r="F192" s="62" t="s">
        <v>8</v>
      </c>
      <c r="G192" s="62" t="e">
        <v>#N/A</v>
      </c>
      <c r="H192" s="62" t="s">
        <v>912</v>
      </c>
      <c r="I192" s="62" t="e">
        <v>#N/A</v>
      </c>
      <c r="J192" s="63">
        <v>0.61699999999999999</v>
      </c>
      <c r="K192" s="63"/>
      <c r="L192" s="62"/>
      <c r="M192" s="62" t="s">
        <v>895</v>
      </c>
      <c r="N192" s="62"/>
      <c r="O192" s="62" t="str">
        <f t="shared" si="2"/>
        <v>HE64_UKI Midrange</v>
      </c>
      <c r="P192" s="62" t="s">
        <v>930</v>
      </c>
      <c r="Q192" s="62" t="s">
        <v>896</v>
      </c>
      <c r="R192" s="62">
        <v>14</v>
      </c>
      <c r="S192" s="64"/>
      <c r="T192" s="62" t="s">
        <v>905</v>
      </c>
      <c r="U192" s="62">
        <v>13</v>
      </c>
      <c r="V192" s="65" t="s">
        <v>1886</v>
      </c>
      <c r="W192" s="65">
        <v>0</v>
      </c>
      <c r="X192" s="62"/>
      <c r="Y192" s="66" t="e">
        <v>#N/A</v>
      </c>
      <c r="Z192" s="62" t="e">
        <v>#N/A</v>
      </c>
      <c r="AA192" s="62"/>
      <c r="AB192" s="62" t="s">
        <v>2208</v>
      </c>
      <c r="AC192" s="62" t="e">
        <v>#N/A</v>
      </c>
    </row>
    <row r="193" spans="1:29" ht="15" customHeight="1" outlineLevel="1" x14ac:dyDescent="0.3">
      <c r="A193" s="62" t="s">
        <v>244</v>
      </c>
      <c r="B193" s="62" t="s">
        <v>245</v>
      </c>
      <c r="C193" s="62" t="s">
        <v>892</v>
      </c>
      <c r="D193" s="62" t="s">
        <v>229</v>
      </c>
      <c r="E193" s="62" t="s">
        <v>229</v>
      </c>
      <c r="F193" s="62" t="s">
        <v>8</v>
      </c>
      <c r="G193" s="62" t="e">
        <v>#N/A</v>
      </c>
      <c r="H193" s="62" t="s">
        <v>912</v>
      </c>
      <c r="I193" s="62" t="e">
        <v>#N/A</v>
      </c>
      <c r="J193" s="63">
        <v>0.61699999999999999</v>
      </c>
      <c r="K193" s="63"/>
      <c r="L193" s="62"/>
      <c r="M193" s="62" t="s">
        <v>895</v>
      </c>
      <c r="N193" s="62"/>
      <c r="O193" s="62" t="str">
        <f t="shared" ref="O193:O256" si="3">A193&amp;"_"&amp;B193</f>
        <v>HE66_Italian Midrange</v>
      </c>
      <c r="P193" s="62" t="s">
        <v>930</v>
      </c>
      <c r="Q193" s="62" t="s">
        <v>896</v>
      </c>
      <c r="R193" s="62">
        <v>14</v>
      </c>
      <c r="S193" s="64"/>
      <c r="T193" s="62" t="s">
        <v>905</v>
      </c>
      <c r="U193" s="62">
        <v>13</v>
      </c>
      <c r="V193" s="65" t="s">
        <v>1886</v>
      </c>
      <c r="W193" s="65">
        <v>0</v>
      </c>
      <c r="X193" s="62"/>
      <c r="Y193" s="66" t="e">
        <v>#N/A</v>
      </c>
      <c r="Z193" s="62" t="e">
        <v>#N/A</v>
      </c>
      <c r="AA193" s="62"/>
      <c r="AB193" s="62" t="s">
        <v>2220</v>
      </c>
      <c r="AC193" s="62" t="e">
        <v>#N/A</v>
      </c>
    </row>
    <row r="194" spans="1:29" ht="15" customHeight="1" outlineLevel="1" x14ac:dyDescent="0.3">
      <c r="A194" s="62" t="s">
        <v>194</v>
      </c>
      <c r="B194" s="62" t="s">
        <v>2156</v>
      </c>
      <c r="C194" s="62" t="s">
        <v>892</v>
      </c>
      <c r="D194" s="62" t="s">
        <v>158</v>
      </c>
      <c r="E194" s="62" t="s">
        <v>173</v>
      </c>
      <c r="F194" s="62" t="s">
        <v>8</v>
      </c>
      <c r="G194" s="62" t="e">
        <v>#N/A</v>
      </c>
      <c r="H194" s="62" t="s">
        <v>912</v>
      </c>
      <c r="I194" s="62" t="e">
        <v>#N/A</v>
      </c>
      <c r="J194" s="63">
        <v>0.61699999999999999</v>
      </c>
      <c r="K194" s="63"/>
      <c r="L194" s="62"/>
      <c r="M194" s="62" t="s">
        <v>895</v>
      </c>
      <c r="N194" s="62"/>
      <c r="O194" s="62" t="str">
        <f t="shared" si="3"/>
        <v>HE67_Spanish VXRail</v>
      </c>
      <c r="P194" s="62" t="s">
        <v>930</v>
      </c>
      <c r="Q194" s="62" t="s">
        <v>896</v>
      </c>
      <c r="R194" s="62">
        <v>14</v>
      </c>
      <c r="S194" s="64"/>
      <c r="T194" s="62" t="s">
        <v>905</v>
      </c>
      <c r="U194" s="62">
        <v>13</v>
      </c>
      <c r="V194" s="65" t="s">
        <v>1886</v>
      </c>
      <c r="W194" s="65">
        <v>0</v>
      </c>
      <c r="X194" s="62"/>
      <c r="Y194" s="66" t="e">
        <v>#N/A</v>
      </c>
      <c r="Z194" s="62" t="e">
        <v>#N/A</v>
      </c>
      <c r="AA194" s="62"/>
      <c r="AB194" s="62" t="s">
        <v>779</v>
      </c>
      <c r="AC194" s="62" t="e">
        <v>#N/A</v>
      </c>
    </row>
    <row r="195" spans="1:29" ht="15" customHeight="1" outlineLevel="1" x14ac:dyDescent="0.3">
      <c r="A195" s="62" t="s">
        <v>246</v>
      </c>
      <c r="B195" s="62" t="s">
        <v>247</v>
      </c>
      <c r="C195" s="62" t="s">
        <v>892</v>
      </c>
      <c r="D195" s="62" t="s">
        <v>229</v>
      </c>
      <c r="E195" s="62" t="s">
        <v>229</v>
      </c>
      <c r="F195" s="62" t="s">
        <v>8</v>
      </c>
      <c r="G195" s="62" t="e">
        <v>#N/A</v>
      </c>
      <c r="H195" s="62" t="s">
        <v>912</v>
      </c>
      <c r="I195" s="62" t="e">
        <v>#N/A</v>
      </c>
      <c r="J195" s="63">
        <v>0.61699999999999999</v>
      </c>
      <c r="K195" s="63"/>
      <c r="L195" s="62"/>
      <c r="M195" s="62" t="s">
        <v>895</v>
      </c>
      <c r="N195" s="62"/>
      <c r="O195" s="62" t="str">
        <f t="shared" si="3"/>
        <v>HE68_Spanish Midrange</v>
      </c>
      <c r="P195" s="62" t="s">
        <v>930</v>
      </c>
      <c r="Q195" s="62" t="s">
        <v>896</v>
      </c>
      <c r="R195" s="62">
        <v>14</v>
      </c>
      <c r="S195" s="64"/>
      <c r="T195" s="62" t="s">
        <v>905</v>
      </c>
      <c r="U195" s="62">
        <v>13</v>
      </c>
      <c r="V195" s="65" t="s">
        <v>1886</v>
      </c>
      <c r="W195" s="65">
        <v>0</v>
      </c>
      <c r="X195" s="62"/>
      <c r="Y195" s="66" t="e">
        <v>#N/A</v>
      </c>
      <c r="Z195" s="62" t="e">
        <v>#N/A</v>
      </c>
      <c r="AA195" s="62"/>
      <c r="AB195" s="62" t="s">
        <v>779</v>
      </c>
      <c r="AC195" s="62" t="e">
        <v>#N/A</v>
      </c>
    </row>
    <row r="196" spans="1:29" ht="15" customHeight="1" outlineLevel="1" x14ac:dyDescent="0.3">
      <c r="A196" s="62" t="s">
        <v>248</v>
      </c>
      <c r="B196" s="62" t="s">
        <v>249</v>
      </c>
      <c r="C196" s="62" t="s">
        <v>892</v>
      </c>
      <c r="D196" s="62" t="s">
        <v>229</v>
      </c>
      <c r="E196" s="62" t="s">
        <v>229</v>
      </c>
      <c r="F196" s="62" t="s">
        <v>8</v>
      </c>
      <c r="G196" s="62" t="e">
        <v>#N/A</v>
      </c>
      <c r="H196" s="62" t="s">
        <v>903</v>
      </c>
      <c r="I196" s="62" t="e">
        <v>#N/A</v>
      </c>
      <c r="J196" s="63">
        <v>0.629</v>
      </c>
      <c r="K196" s="63"/>
      <c r="L196" s="62"/>
      <c r="M196" s="62" t="e">
        <v>#N/A</v>
      </c>
      <c r="N196" s="62"/>
      <c r="O196" s="62" t="str">
        <f t="shared" si="3"/>
        <v>HE70_APJ English Midrange</v>
      </c>
      <c r="P196" s="62" t="s">
        <v>930</v>
      </c>
      <c r="Q196" s="62" t="s">
        <v>896</v>
      </c>
      <c r="R196" s="62"/>
      <c r="S196" s="64"/>
      <c r="T196" s="62" t="s">
        <v>905</v>
      </c>
      <c r="U196" s="62">
        <v>13</v>
      </c>
      <c r="V196" s="65" t="s">
        <v>1886</v>
      </c>
      <c r="W196" s="65">
        <v>0</v>
      </c>
      <c r="X196" s="62"/>
      <c r="Y196" s="66" t="e">
        <v>#N/A</v>
      </c>
      <c r="Z196" s="62" t="e">
        <v>#N/A</v>
      </c>
      <c r="AA196" s="62"/>
      <c r="AB196" s="62" t="s">
        <v>2208</v>
      </c>
      <c r="AC196" s="62" t="e">
        <v>#N/A</v>
      </c>
    </row>
    <row r="197" spans="1:29" ht="15" customHeight="1" outlineLevel="1" x14ac:dyDescent="0.3">
      <c r="A197" s="62" t="s">
        <v>196</v>
      </c>
      <c r="B197" s="62" t="s">
        <v>2157</v>
      </c>
      <c r="C197" s="62" t="s">
        <v>892</v>
      </c>
      <c r="D197" s="62" t="s">
        <v>158</v>
      </c>
      <c r="E197" s="62" t="s">
        <v>173</v>
      </c>
      <c r="F197" s="62" t="s">
        <v>8</v>
      </c>
      <c r="G197" s="62" t="e">
        <v>#N/A</v>
      </c>
      <c r="H197" s="62" t="s">
        <v>903</v>
      </c>
      <c r="I197" s="62" t="e">
        <v>#N/A</v>
      </c>
      <c r="J197" s="63">
        <v>0.629</v>
      </c>
      <c r="K197" s="63"/>
      <c r="L197" s="62"/>
      <c r="M197" s="62" t="e">
        <v>#N/A</v>
      </c>
      <c r="N197" s="62"/>
      <c r="O197" s="62" t="str">
        <f t="shared" si="3"/>
        <v>HE71_APJ English VXRail</v>
      </c>
      <c r="P197" s="62" t="s">
        <v>930</v>
      </c>
      <c r="Q197" s="62" t="s">
        <v>896</v>
      </c>
      <c r="R197" s="62"/>
      <c r="S197" s="64"/>
      <c r="T197" s="62" t="s">
        <v>905</v>
      </c>
      <c r="U197" s="62">
        <v>13</v>
      </c>
      <c r="V197" s="65" t="s">
        <v>1886</v>
      </c>
      <c r="W197" s="65">
        <v>0</v>
      </c>
      <c r="X197" s="62"/>
      <c r="Y197" s="66" t="e">
        <v>#N/A</v>
      </c>
      <c r="Z197" s="62" t="e">
        <v>#N/A</v>
      </c>
      <c r="AA197" s="62"/>
      <c r="AB197" s="62" t="s">
        <v>2208</v>
      </c>
      <c r="AC197" s="62" t="e">
        <v>#N/A</v>
      </c>
    </row>
    <row r="198" spans="1:29" ht="15" customHeight="1" outlineLevel="1" x14ac:dyDescent="0.3">
      <c r="A198" s="62" t="s">
        <v>686</v>
      </c>
      <c r="B198" s="62" t="s">
        <v>1907</v>
      </c>
      <c r="C198" s="62" t="s">
        <v>892</v>
      </c>
      <c r="D198" s="62" t="s">
        <v>672</v>
      </c>
      <c r="E198" s="62" t="s">
        <v>2203</v>
      </c>
      <c r="F198" s="62" t="s">
        <v>8</v>
      </c>
      <c r="G198" s="62" t="e">
        <v>#N/A</v>
      </c>
      <c r="H198" s="62" t="s">
        <v>893</v>
      </c>
      <c r="I198" s="62" t="e">
        <v>#N/A</v>
      </c>
      <c r="J198" s="63">
        <v>0.64800000000000002</v>
      </c>
      <c r="K198" s="63"/>
      <c r="L198" s="62"/>
      <c r="M198" s="62" t="s">
        <v>895</v>
      </c>
      <c r="N198" s="62"/>
      <c r="O198" s="62" t="str">
        <f t="shared" si="3"/>
        <v>HE78_NA PowerScale HE Storage Voice</v>
      </c>
      <c r="P198" s="62" t="s">
        <v>930</v>
      </c>
      <c r="Q198" s="62" t="s">
        <v>896</v>
      </c>
      <c r="R198" s="62">
        <v>14</v>
      </c>
      <c r="S198" s="64"/>
      <c r="T198" s="62" t="s">
        <v>905</v>
      </c>
      <c r="U198" s="62">
        <v>13</v>
      </c>
      <c r="V198" s="65" t="s">
        <v>1886</v>
      </c>
      <c r="W198" s="65">
        <v>0</v>
      </c>
      <c r="X198" s="62"/>
      <c r="Y198" s="66" t="e">
        <v>#N/A</v>
      </c>
      <c r="Z198" s="62" t="e">
        <v>#N/A</v>
      </c>
      <c r="AA198" s="62"/>
      <c r="AB198" s="62" t="s">
        <v>2208</v>
      </c>
      <c r="AC198" s="62" t="e">
        <v>#N/A</v>
      </c>
    </row>
    <row r="199" spans="1:29" ht="15" customHeight="1" outlineLevel="1" x14ac:dyDescent="0.3">
      <c r="A199" s="62" t="s">
        <v>366</v>
      </c>
      <c r="B199" s="62" t="s">
        <v>367</v>
      </c>
      <c r="C199" s="62" t="s">
        <v>892</v>
      </c>
      <c r="D199" s="62" t="s">
        <v>301</v>
      </c>
      <c r="E199" s="62" t="s">
        <v>357</v>
      </c>
      <c r="F199" s="62" t="s">
        <v>8</v>
      </c>
      <c r="G199" s="62" t="e">
        <v>#N/A</v>
      </c>
      <c r="H199" s="62" t="s">
        <v>912</v>
      </c>
      <c r="I199" s="62" t="e">
        <v>#N/A</v>
      </c>
      <c r="J199" s="63">
        <v>0.61699999999999999</v>
      </c>
      <c r="K199" s="63"/>
      <c r="L199" s="62"/>
      <c r="M199" s="62" t="s">
        <v>895</v>
      </c>
      <c r="N199" s="62"/>
      <c r="O199" s="62" t="str">
        <f t="shared" si="3"/>
        <v>HE81_EMEA English VMAX</v>
      </c>
      <c r="P199" s="62" t="s">
        <v>930</v>
      </c>
      <c r="Q199" s="62" t="s">
        <v>896</v>
      </c>
      <c r="R199" s="62">
        <v>14</v>
      </c>
      <c r="S199" s="64"/>
      <c r="T199" s="62" t="s">
        <v>905</v>
      </c>
      <c r="U199" s="62">
        <v>13</v>
      </c>
      <c r="V199" s="65" t="s">
        <v>1886</v>
      </c>
      <c r="W199" s="65">
        <v>0</v>
      </c>
      <c r="X199" s="62"/>
      <c r="Y199" s="66" t="e">
        <v>#N/A</v>
      </c>
      <c r="Z199" s="62" t="e">
        <v>#N/A</v>
      </c>
      <c r="AA199" s="62"/>
      <c r="AB199" s="62" t="s">
        <v>2208</v>
      </c>
      <c r="AC199" s="62" t="e">
        <v>#N/A</v>
      </c>
    </row>
    <row r="200" spans="1:29" ht="15" customHeight="1" outlineLevel="1" x14ac:dyDescent="0.3">
      <c r="A200" s="62" t="s">
        <v>368</v>
      </c>
      <c r="B200" s="62" t="s">
        <v>369</v>
      </c>
      <c r="C200" s="62" t="s">
        <v>892</v>
      </c>
      <c r="D200" s="62" t="s">
        <v>301</v>
      </c>
      <c r="E200" s="62" t="s">
        <v>357</v>
      </c>
      <c r="F200" s="62" t="s">
        <v>8</v>
      </c>
      <c r="G200" s="62" t="e">
        <v>#N/A</v>
      </c>
      <c r="H200" s="62" t="s">
        <v>893</v>
      </c>
      <c r="I200" s="62" t="e">
        <v>#N/A</v>
      </c>
      <c r="J200" s="63">
        <v>0.64800000000000002</v>
      </c>
      <c r="K200" s="63"/>
      <c r="L200" s="62"/>
      <c r="M200" s="62" t="s">
        <v>895</v>
      </c>
      <c r="N200" s="62"/>
      <c r="O200" s="62" t="str">
        <f t="shared" si="3"/>
        <v>HE85_AMER English VMAX</v>
      </c>
      <c r="P200" s="62" t="s">
        <v>930</v>
      </c>
      <c r="Q200" s="62" t="s">
        <v>896</v>
      </c>
      <c r="R200" s="62">
        <v>14</v>
      </c>
      <c r="S200" s="64"/>
      <c r="T200" s="62" t="s">
        <v>905</v>
      </c>
      <c r="U200" s="62">
        <v>13</v>
      </c>
      <c r="V200" s="65" t="s">
        <v>1886</v>
      </c>
      <c r="W200" s="65">
        <v>0</v>
      </c>
      <c r="X200" s="62"/>
      <c r="Y200" s="66" t="e">
        <v>#N/A</v>
      </c>
      <c r="Z200" s="62" t="e">
        <v>#N/A</v>
      </c>
      <c r="AA200" s="62"/>
      <c r="AB200" s="62" t="s">
        <v>2208</v>
      </c>
      <c r="AC200" s="62" t="e">
        <v>#N/A</v>
      </c>
    </row>
    <row r="201" spans="1:29" ht="15" customHeight="1" outlineLevel="1" x14ac:dyDescent="0.3">
      <c r="A201" s="62" t="s">
        <v>370</v>
      </c>
      <c r="B201" s="62" t="s">
        <v>371</v>
      </c>
      <c r="C201" s="62" t="s">
        <v>892</v>
      </c>
      <c r="D201" s="62" t="s">
        <v>301</v>
      </c>
      <c r="E201" s="62" t="s">
        <v>357</v>
      </c>
      <c r="F201" s="62" t="s">
        <v>8</v>
      </c>
      <c r="G201" s="62" t="e">
        <v>#N/A</v>
      </c>
      <c r="H201" s="62" t="s">
        <v>912</v>
      </c>
      <c r="I201" s="62" t="e">
        <v>#N/A</v>
      </c>
      <c r="J201" s="63">
        <v>0.61699999999999999</v>
      </c>
      <c r="K201" s="63"/>
      <c r="L201" s="62"/>
      <c r="M201" s="62" t="s">
        <v>895</v>
      </c>
      <c r="N201" s="62"/>
      <c r="O201" s="62" t="str">
        <f t="shared" si="3"/>
        <v>HE93_EMEA English Vplex</v>
      </c>
      <c r="P201" s="62" t="s">
        <v>930</v>
      </c>
      <c r="Q201" s="62" t="s">
        <v>896</v>
      </c>
      <c r="R201" s="62">
        <v>14</v>
      </c>
      <c r="S201" s="64"/>
      <c r="T201" s="62" t="s">
        <v>905</v>
      </c>
      <c r="U201" s="62">
        <v>13</v>
      </c>
      <c r="V201" s="65" t="s">
        <v>1886</v>
      </c>
      <c r="W201" s="65">
        <v>0</v>
      </c>
      <c r="X201" s="62"/>
      <c r="Y201" s="66" t="e">
        <v>#N/A</v>
      </c>
      <c r="Z201" s="62" t="e">
        <v>#N/A</v>
      </c>
      <c r="AA201" s="62"/>
      <c r="AB201" s="62" t="s">
        <v>2208</v>
      </c>
      <c r="AC201" s="62" t="e">
        <v>#N/A</v>
      </c>
    </row>
    <row r="202" spans="1:29" ht="15" customHeight="1" outlineLevel="1" x14ac:dyDescent="0.3">
      <c r="A202" s="62" t="s">
        <v>372</v>
      </c>
      <c r="B202" s="62" t="s">
        <v>373</v>
      </c>
      <c r="C202" s="62" t="s">
        <v>892</v>
      </c>
      <c r="D202" s="62" t="s">
        <v>301</v>
      </c>
      <c r="E202" s="62" t="s">
        <v>357</v>
      </c>
      <c r="F202" s="62" t="s">
        <v>8</v>
      </c>
      <c r="G202" s="62" t="e">
        <v>#N/A</v>
      </c>
      <c r="H202" s="62" t="s">
        <v>893</v>
      </c>
      <c r="I202" s="62" t="e">
        <v>#N/A</v>
      </c>
      <c r="J202" s="63">
        <v>0.64800000000000002</v>
      </c>
      <c r="K202" s="63"/>
      <c r="L202" s="62"/>
      <c r="M202" s="62" t="s">
        <v>895</v>
      </c>
      <c r="N202" s="62"/>
      <c r="O202" s="62" t="str">
        <f t="shared" si="3"/>
        <v>HE95_AMER English Vplex</v>
      </c>
      <c r="P202" s="62" t="s">
        <v>930</v>
      </c>
      <c r="Q202" s="62" t="s">
        <v>896</v>
      </c>
      <c r="R202" s="62">
        <v>14</v>
      </c>
      <c r="S202" s="64"/>
      <c r="T202" s="62" t="s">
        <v>905</v>
      </c>
      <c r="U202" s="62">
        <v>13</v>
      </c>
      <c r="V202" s="65" t="s">
        <v>1886</v>
      </c>
      <c r="W202" s="65">
        <v>0</v>
      </c>
      <c r="X202" s="62"/>
      <c r="Y202" s="66" t="e">
        <v>#N/A</v>
      </c>
      <c r="Z202" s="62" t="e">
        <v>#N/A</v>
      </c>
      <c r="AA202" s="62"/>
      <c r="AB202" s="62" t="s">
        <v>2208</v>
      </c>
      <c r="AC202" s="62" t="e">
        <v>#N/A</v>
      </c>
    </row>
    <row r="203" spans="1:29" ht="15" customHeight="1" outlineLevel="1" x14ac:dyDescent="0.3">
      <c r="A203" s="62" t="s">
        <v>312</v>
      </c>
      <c r="B203" s="62" t="s">
        <v>313</v>
      </c>
      <c r="C203" s="62" t="s">
        <v>892</v>
      </c>
      <c r="D203" s="62" t="s">
        <v>301</v>
      </c>
      <c r="E203" s="62" t="s">
        <v>305</v>
      </c>
      <c r="F203" s="62" t="s">
        <v>8</v>
      </c>
      <c r="G203" s="62" t="e">
        <v>#N/A</v>
      </c>
      <c r="H203" s="62" t="s">
        <v>912</v>
      </c>
      <c r="I203" s="62" t="e">
        <v>#N/A</v>
      </c>
      <c r="J203" s="63">
        <v>0.61699999999999999</v>
      </c>
      <c r="K203" s="63"/>
      <c r="L203" s="62"/>
      <c r="M203" s="62" t="s">
        <v>895</v>
      </c>
      <c r="N203" s="62" t="s">
        <v>916</v>
      </c>
      <c r="O203" s="62" t="str">
        <f t="shared" si="3"/>
        <v>HEA2_EMEA English Connectivity</v>
      </c>
      <c r="P203" s="62" t="s">
        <v>930</v>
      </c>
      <c r="Q203" s="62" t="s">
        <v>896</v>
      </c>
      <c r="R203" s="62">
        <v>14</v>
      </c>
      <c r="S203" s="64"/>
      <c r="T203" s="62" t="s">
        <v>905</v>
      </c>
      <c r="U203" s="62">
        <v>13</v>
      </c>
      <c r="V203" s="65" t="s">
        <v>1886</v>
      </c>
      <c r="W203" s="65">
        <v>0</v>
      </c>
      <c r="X203" s="62"/>
      <c r="Y203" s="66" t="e">
        <v>#N/A</v>
      </c>
      <c r="Z203" s="62" t="e">
        <v>#N/A</v>
      </c>
      <c r="AA203" s="62"/>
      <c r="AB203" s="62" t="s">
        <v>2208</v>
      </c>
      <c r="AC203" s="62" t="e">
        <v>#N/A</v>
      </c>
    </row>
    <row r="204" spans="1:29" ht="15" customHeight="1" outlineLevel="1" x14ac:dyDescent="0.3">
      <c r="A204" s="62" t="s">
        <v>314</v>
      </c>
      <c r="B204" s="62" t="s">
        <v>315</v>
      </c>
      <c r="C204" s="62" t="s">
        <v>892</v>
      </c>
      <c r="D204" s="62" t="s">
        <v>301</v>
      </c>
      <c r="E204" s="62" t="s">
        <v>305</v>
      </c>
      <c r="F204" s="62" t="s">
        <v>8</v>
      </c>
      <c r="G204" s="62" t="e">
        <v>#N/A</v>
      </c>
      <c r="H204" s="62" t="s">
        <v>893</v>
      </c>
      <c r="I204" s="62" t="e">
        <v>#N/A</v>
      </c>
      <c r="J204" s="63">
        <v>0.64800000000000002</v>
      </c>
      <c r="K204" s="63"/>
      <c r="L204" s="62"/>
      <c r="M204" s="62" t="s">
        <v>895</v>
      </c>
      <c r="N204" s="62" t="s">
        <v>916</v>
      </c>
      <c r="O204" s="62" t="str">
        <f t="shared" si="3"/>
        <v>HEA5_AMER English Connectivity</v>
      </c>
      <c r="P204" s="62" t="s">
        <v>930</v>
      </c>
      <c r="Q204" s="62" t="s">
        <v>896</v>
      </c>
      <c r="R204" s="62">
        <v>14</v>
      </c>
      <c r="S204" s="64"/>
      <c r="T204" s="62" t="s">
        <v>905</v>
      </c>
      <c r="U204" s="62">
        <v>13</v>
      </c>
      <c r="V204" s="65" t="s">
        <v>1886</v>
      </c>
      <c r="W204" s="65">
        <v>0</v>
      </c>
      <c r="X204" s="62"/>
      <c r="Y204" s="66" t="e">
        <v>#N/A</v>
      </c>
      <c r="Z204" s="62" t="e">
        <v>#N/A</v>
      </c>
      <c r="AA204" s="62"/>
      <c r="AB204" s="62" t="s">
        <v>2208</v>
      </c>
      <c r="AC204" s="62" t="e">
        <v>#N/A</v>
      </c>
    </row>
    <row r="205" spans="1:29" ht="15" customHeight="1" outlineLevel="1" x14ac:dyDescent="0.3">
      <c r="A205" s="62" t="s">
        <v>424</v>
      </c>
      <c r="B205" s="62" t="s">
        <v>425</v>
      </c>
      <c r="C205" s="62" t="s">
        <v>892</v>
      </c>
      <c r="D205" s="62" t="s">
        <v>301</v>
      </c>
      <c r="E205" s="62" t="s">
        <v>419</v>
      </c>
      <c r="F205" s="62" t="s">
        <v>8</v>
      </c>
      <c r="G205" s="62" t="e">
        <v>#N/A</v>
      </c>
      <c r="H205" s="62" t="s">
        <v>912</v>
      </c>
      <c r="I205" s="62" t="e">
        <v>#N/A</v>
      </c>
      <c r="J205" s="63">
        <v>0.61699999999999999</v>
      </c>
      <c r="K205" s="63"/>
      <c r="L205" s="62"/>
      <c r="M205" s="62" t="s">
        <v>895</v>
      </c>
      <c r="N205" s="62"/>
      <c r="O205" s="62" t="str">
        <f t="shared" si="3"/>
        <v>HEA9_EMEA English XtremIO</v>
      </c>
      <c r="P205" s="62" t="s">
        <v>930</v>
      </c>
      <c r="Q205" s="62" t="s">
        <v>896</v>
      </c>
      <c r="R205" s="62">
        <v>14</v>
      </c>
      <c r="S205" s="64"/>
      <c r="T205" s="62" t="s">
        <v>905</v>
      </c>
      <c r="U205" s="62">
        <v>13</v>
      </c>
      <c r="V205" s="65" t="s">
        <v>1886</v>
      </c>
      <c r="W205" s="65">
        <v>0</v>
      </c>
      <c r="X205" s="62"/>
      <c r="Y205" s="66" t="e">
        <v>#N/A</v>
      </c>
      <c r="Z205" s="62" t="e">
        <v>#N/A</v>
      </c>
      <c r="AA205" s="62"/>
      <c r="AB205" s="62" t="s">
        <v>2208</v>
      </c>
      <c r="AC205" s="62" t="e">
        <v>#N/A</v>
      </c>
    </row>
    <row r="206" spans="1:29" ht="15" customHeight="1" outlineLevel="1" x14ac:dyDescent="0.3">
      <c r="A206" s="62" t="s">
        <v>426</v>
      </c>
      <c r="B206" s="62" t="s">
        <v>427</v>
      </c>
      <c r="C206" s="62" t="s">
        <v>892</v>
      </c>
      <c r="D206" s="62" t="s">
        <v>301</v>
      </c>
      <c r="E206" s="62" t="s">
        <v>419</v>
      </c>
      <c r="F206" s="62" t="s">
        <v>8</v>
      </c>
      <c r="G206" s="62" t="e">
        <v>#N/A</v>
      </c>
      <c r="H206" s="62" t="s">
        <v>893</v>
      </c>
      <c r="I206" s="62" t="e">
        <v>#N/A</v>
      </c>
      <c r="J206" s="63">
        <v>0.64800000000000002</v>
      </c>
      <c r="K206" s="63"/>
      <c r="L206" s="62"/>
      <c r="M206" s="62" t="s">
        <v>895</v>
      </c>
      <c r="N206" s="62"/>
      <c r="O206" s="62" t="str">
        <f t="shared" si="3"/>
        <v>HEB0_AMER English XtremIO</v>
      </c>
      <c r="P206" s="62" t="s">
        <v>930</v>
      </c>
      <c r="Q206" s="62" t="s">
        <v>896</v>
      </c>
      <c r="R206" s="62">
        <v>14</v>
      </c>
      <c r="S206" s="64"/>
      <c r="T206" s="62" t="s">
        <v>905</v>
      </c>
      <c r="U206" s="62">
        <v>13</v>
      </c>
      <c r="V206" s="65" t="s">
        <v>1886</v>
      </c>
      <c r="W206" s="65">
        <v>0</v>
      </c>
      <c r="X206" s="62"/>
      <c r="Y206" s="66" t="e">
        <v>#N/A</v>
      </c>
      <c r="Z206" s="62" t="e">
        <v>#N/A</v>
      </c>
      <c r="AA206" s="62"/>
      <c r="AB206" s="62" t="s">
        <v>2208</v>
      </c>
      <c r="AC206" s="62" t="e">
        <v>#N/A</v>
      </c>
    </row>
    <row r="207" spans="1:29" ht="15" customHeight="1" outlineLevel="1" x14ac:dyDescent="0.3">
      <c r="A207" s="62" t="s">
        <v>341</v>
      </c>
      <c r="B207" s="62" t="s">
        <v>1908</v>
      </c>
      <c r="C207" s="62" t="s">
        <v>892</v>
      </c>
      <c r="D207" s="62" t="s">
        <v>301</v>
      </c>
      <c r="E207" s="62" t="s">
        <v>334</v>
      </c>
      <c r="F207" s="62" t="s">
        <v>8</v>
      </c>
      <c r="G207" s="62" t="e">
        <v>#N/A</v>
      </c>
      <c r="H207" s="62" t="s">
        <v>893</v>
      </c>
      <c r="I207" s="62" t="e">
        <v>#N/A</v>
      </c>
      <c r="J207" s="63">
        <v>0.64800000000000002</v>
      </c>
      <c r="K207" s="63"/>
      <c r="L207" s="62"/>
      <c r="M207" s="62" t="s">
        <v>895</v>
      </c>
      <c r="N207" s="62"/>
      <c r="O207" s="62" t="str">
        <f t="shared" si="3"/>
        <v>HEB4_EMEA English Integrated Software</v>
      </c>
      <c r="P207" s="62" t="s">
        <v>2187</v>
      </c>
      <c r="Q207" s="62" t="s">
        <v>896</v>
      </c>
      <c r="R207" s="62">
        <v>14</v>
      </c>
      <c r="S207" s="64"/>
      <c r="T207" s="62" t="s">
        <v>905</v>
      </c>
      <c r="U207" s="62">
        <v>13</v>
      </c>
      <c r="V207" s="65" t="s">
        <v>1886</v>
      </c>
      <c r="W207" s="65">
        <v>0</v>
      </c>
      <c r="X207" s="62"/>
      <c r="Y207" s="66" t="e">
        <v>#N/A</v>
      </c>
      <c r="Z207" s="62" t="e">
        <v>#N/A</v>
      </c>
      <c r="AA207" s="62"/>
      <c r="AB207" s="62" t="s">
        <v>2208</v>
      </c>
      <c r="AC207" s="62" t="e">
        <v>#N/A</v>
      </c>
    </row>
    <row r="208" spans="1:29" ht="15" customHeight="1" outlineLevel="1" x14ac:dyDescent="0.3">
      <c r="A208" s="62" t="s">
        <v>343</v>
      </c>
      <c r="B208" s="62" t="s">
        <v>342</v>
      </c>
      <c r="C208" s="62" t="s">
        <v>892</v>
      </c>
      <c r="D208" s="62" t="s">
        <v>301</v>
      </c>
      <c r="E208" s="62" t="s">
        <v>334</v>
      </c>
      <c r="F208" s="62" t="s">
        <v>8</v>
      </c>
      <c r="G208" s="62" t="e">
        <v>#N/A</v>
      </c>
      <c r="H208" s="62" t="s">
        <v>893</v>
      </c>
      <c r="I208" s="62" t="e">
        <v>#N/A</v>
      </c>
      <c r="J208" s="63">
        <v>0.64800000000000002</v>
      </c>
      <c r="K208" s="63"/>
      <c r="L208" s="62"/>
      <c r="M208" s="62" t="s">
        <v>895</v>
      </c>
      <c r="N208" s="62"/>
      <c r="O208" s="62" t="str">
        <f t="shared" si="3"/>
        <v>HEB5_AMER English Integrated Software</v>
      </c>
      <c r="P208" s="62" t="s">
        <v>930</v>
      </c>
      <c r="Q208" s="62" t="s">
        <v>896</v>
      </c>
      <c r="R208" s="62">
        <v>14</v>
      </c>
      <c r="S208" s="64"/>
      <c r="T208" s="62" t="s">
        <v>905</v>
      </c>
      <c r="U208" s="62">
        <v>13</v>
      </c>
      <c r="V208" s="65" t="s">
        <v>1886</v>
      </c>
      <c r="W208" s="65">
        <v>0</v>
      </c>
      <c r="X208" s="62"/>
      <c r="Y208" s="66" t="e">
        <v>#N/A</v>
      </c>
      <c r="Z208" s="62" t="e">
        <v>#N/A</v>
      </c>
      <c r="AA208" s="62"/>
      <c r="AB208" s="62" t="s">
        <v>2208</v>
      </c>
      <c r="AC208" s="62" t="e">
        <v>#N/A</v>
      </c>
    </row>
    <row r="209" spans="1:29" ht="15" customHeight="1" outlineLevel="1" x14ac:dyDescent="0.3">
      <c r="A209" s="62" t="s">
        <v>688</v>
      </c>
      <c r="B209" s="62" t="s">
        <v>1909</v>
      </c>
      <c r="C209" s="62" t="s">
        <v>892</v>
      </c>
      <c r="D209" s="62" t="s">
        <v>672</v>
      </c>
      <c r="E209" s="62" t="s">
        <v>2203</v>
      </c>
      <c r="F209" s="62" t="s">
        <v>8</v>
      </c>
      <c r="G209" s="62" t="e">
        <v>#N/A</v>
      </c>
      <c r="H209" s="62" t="s">
        <v>893</v>
      </c>
      <c r="I209" s="62" t="e">
        <v>#N/A</v>
      </c>
      <c r="J209" s="63">
        <v>0.64800000000000002</v>
      </c>
      <c r="K209" s="63"/>
      <c r="L209" s="62"/>
      <c r="M209" s="62" t="s">
        <v>895</v>
      </c>
      <c r="N209" s="62"/>
      <c r="O209" s="62" t="str">
        <f t="shared" si="3"/>
        <v>HEC5_AMER English PowerScale</v>
      </c>
      <c r="P209" s="62" t="s">
        <v>930</v>
      </c>
      <c r="Q209" s="62" t="s">
        <v>896</v>
      </c>
      <c r="R209" s="62">
        <v>14</v>
      </c>
      <c r="S209" s="64"/>
      <c r="T209" s="62" t="s">
        <v>905</v>
      </c>
      <c r="U209" s="62">
        <v>13</v>
      </c>
      <c r="V209" s="65" t="s">
        <v>1886</v>
      </c>
      <c r="W209" s="65">
        <v>0</v>
      </c>
      <c r="X209" s="62"/>
      <c r="Y209" s="66" t="e">
        <v>#N/A</v>
      </c>
      <c r="Z209" s="62" t="e">
        <v>#N/A</v>
      </c>
      <c r="AA209" s="62"/>
      <c r="AB209" s="62" t="s">
        <v>2208</v>
      </c>
      <c r="AC209" s="62" t="e">
        <v>#N/A</v>
      </c>
    </row>
    <row r="210" spans="1:29" ht="15" customHeight="1" outlineLevel="1" x14ac:dyDescent="0.3">
      <c r="A210" s="62" t="s">
        <v>690</v>
      </c>
      <c r="B210" s="62" t="s">
        <v>1910</v>
      </c>
      <c r="C210" s="62" t="s">
        <v>892</v>
      </c>
      <c r="D210" s="62" t="s">
        <v>672</v>
      </c>
      <c r="E210" s="62" t="s">
        <v>2203</v>
      </c>
      <c r="F210" s="62" t="s">
        <v>8</v>
      </c>
      <c r="G210" s="62" t="e">
        <v>#N/A</v>
      </c>
      <c r="H210" s="62" t="s">
        <v>912</v>
      </c>
      <c r="I210" s="62" t="e">
        <v>#N/A</v>
      </c>
      <c r="J210" s="63">
        <v>0.61699999999999999</v>
      </c>
      <c r="K210" s="63"/>
      <c r="L210" s="62"/>
      <c r="M210" s="62" t="s">
        <v>895</v>
      </c>
      <c r="N210" s="62"/>
      <c r="O210" s="62" t="str">
        <f t="shared" si="3"/>
        <v>HEC6_EMEA English PowerScale</v>
      </c>
      <c r="P210" s="62" t="s">
        <v>930</v>
      </c>
      <c r="Q210" s="62" t="s">
        <v>896</v>
      </c>
      <c r="R210" s="62">
        <v>14</v>
      </c>
      <c r="S210" s="64"/>
      <c r="T210" s="62" t="s">
        <v>905</v>
      </c>
      <c r="U210" s="62">
        <v>13</v>
      </c>
      <c r="V210" s="65" t="s">
        <v>1886</v>
      </c>
      <c r="W210" s="65">
        <v>0</v>
      </c>
      <c r="X210" s="62"/>
      <c r="Y210" s="66" t="e">
        <v>#N/A</v>
      </c>
      <c r="Z210" s="62" t="e">
        <v>#N/A</v>
      </c>
      <c r="AA210" s="62"/>
      <c r="AB210" s="62" t="s">
        <v>2208</v>
      </c>
      <c r="AC210" s="62" t="e">
        <v>#N/A</v>
      </c>
    </row>
    <row r="211" spans="1:29" ht="15" customHeight="1" outlineLevel="1" x14ac:dyDescent="0.3">
      <c r="A211" s="62" t="s">
        <v>749</v>
      </c>
      <c r="B211" s="62" t="s">
        <v>1911</v>
      </c>
      <c r="C211" s="62" t="s">
        <v>892</v>
      </c>
      <c r="D211" s="62"/>
      <c r="E211" s="62" t="s">
        <v>2203</v>
      </c>
      <c r="F211" s="62" t="s">
        <v>8</v>
      </c>
      <c r="G211" s="62" t="e">
        <v>#N/A</v>
      </c>
      <c r="H211" s="62" t="s">
        <v>903</v>
      </c>
      <c r="I211" s="62" t="e">
        <v>#N/A</v>
      </c>
      <c r="J211" s="63">
        <v>0.629</v>
      </c>
      <c r="K211" s="63"/>
      <c r="L211" s="62"/>
      <c r="M211" s="62" t="e">
        <v>#N/A</v>
      </c>
      <c r="N211" s="62"/>
      <c r="O211" s="62" t="str">
        <f t="shared" si="3"/>
        <v>HEC7_APJ English PowerScale</v>
      </c>
      <c r="P211" s="62" t="s">
        <v>930</v>
      </c>
      <c r="Q211" s="62" t="s">
        <v>896</v>
      </c>
      <c r="R211" s="62"/>
      <c r="S211" s="64"/>
      <c r="T211" s="62" t="s">
        <v>905</v>
      </c>
      <c r="U211" s="62">
        <v>13</v>
      </c>
      <c r="V211" s="65" t="s">
        <v>1886</v>
      </c>
      <c r="W211" s="65">
        <v>0</v>
      </c>
      <c r="X211" s="62"/>
      <c r="Y211" s="66" t="e">
        <v>#N/A</v>
      </c>
      <c r="Z211" s="62" t="e">
        <v>#N/A</v>
      </c>
      <c r="AA211" s="62"/>
      <c r="AB211" s="62" t="s">
        <v>2208</v>
      </c>
      <c r="AC211" s="62" t="e">
        <v>#N/A</v>
      </c>
    </row>
    <row r="212" spans="1:29" ht="15" customHeight="1" outlineLevel="1" x14ac:dyDescent="0.3">
      <c r="A212" s="62" t="s">
        <v>116</v>
      </c>
      <c r="B212" s="62" t="s">
        <v>117</v>
      </c>
      <c r="C212" s="62" t="s">
        <v>892</v>
      </c>
      <c r="D212" s="62" t="s">
        <v>44</v>
      </c>
      <c r="E212" s="62" t="s">
        <v>109</v>
      </c>
      <c r="F212" s="62" t="s">
        <v>8</v>
      </c>
      <c r="G212" s="62" t="e">
        <v>#N/A</v>
      </c>
      <c r="H212" s="62" t="s">
        <v>893</v>
      </c>
      <c r="I212" s="62" t="e">
        <v>#N/A</v>
      </c>
      <c r="J212" s="63">
        <v>0.64800000000000002</v>
      </c>
      <c r="K212" s="63"/>
      <c r="L212" s="62"/>
      <c r="M212" s="62" t="s">
        <v>895</v>
      </c>
      <c r="N212" s="62"/>
      <c r="O212" s="62" t="str">
        <f t="shared" si="3"/>
        <v>HED3_AMER English Networker</v>
      </c>
      <c r="P212" s="62" t="s">
        <v>930</v>
      </c>
      <c r="Q212" s="62" t="s">
        <v>896</v>
      </c>
      <c r="R212" s="62">
        <v>14</v>
      </c>
      <c r="S212" s="64"/>
      <c r="T212" s="62" t="s">
        <v>905</v>
      </c>
      <c r="U212" s="62">
        <v>13</v>
      </c>
      <c r="V212" s="65" t="s">
        <v>1886</v>
      </c>
      <c r="W212" s="65">
        <v>0</v>
      </c>
      <c r="X212" s="62"/>
      <c r="Y212" s="66" t="e">
        <v>#N/A</v>
      </c>
      <c r="Z212" s="62" t="e">
        <v>#N/A</v>
      </c>
      <c r="AA212" s="62"/>
      <c r="AB212" s="62" t="s">
        <v>2208</v>
      </c>
      <c r="AC212" s="62" t="e">
        <v>#N/A</v>
      </c>
    </row>
    <row r="213" spans="1:29" ht="15" customHeight="1" outlineLevel="1" x14ac:dyDescent="0.3">
      <c r="A213" s="62" t="s">
        <v>118</v>
      </c>
      <c r="B213" s="62" t="s">
        <v>119</v>
      </c>
      <c r="C213" s="62" t="s">
        <v>892</v>
      </c>
      <c r="D213" s="62" t="s">
        <v>44</v>
      </c>
      <c r="E213" s="62" t="s">
        <v>109</v>
      </c>
      <c r="F213" s="62" t="s">
        <v>8</v>
      </c>
      <c r="G213" s="62" t="e">
        <v>#N/A</v>
      </c>
      <c r="H213" s="62" t="s">
        <v>912</v>
      </c>
      <c r="I213" s="62" t="e">
        <v>#N/A</v>
      </c>
      <c r="J213" s="63">
        <v>0.61699999999999999</v>
      </c>
      <c r="K213" s="63"/>
      <c r="L213" s="62"/>
      <c r="M213" s="62" t="s">
        <v>895</v>
      </c>
      <c r="N213" s="62"/>
      <c r="O213" s="62" t="str">
        <f t="shared" si="3"/>
        <v>HED7_EMEA English Networker</v>
      </c>
      <c r="P213" s="62" t="s">
        <v>930</v>
      </c>
      <c r="Q213" s="62" t="s">
        <v>896</v>
      </c>
      <c r="R213" s="62">
        <v>14</v>
      </c>
      <c r="S213" s="64"/>
      <c r="T213" s="62" t="s">
        <v>905</v>
      </c>
      <c r="U213" s="62">
        <v>13</v>
      </c>
      <c r="V213" s="65" t="s">
        <v>1886</v>
      </c>
      <c r="W213" s="65">
        <v>0</v>
      </c>
      <c r="X213" s="62"/>
      <c r="Y213" s="66" t="e">
        <v>#N/A</v>
      </c>
      <c r="Z213" s="62" t="e">
        <v>#N/A</v>
      </c>
      <c r="AA213" s="62"/>
      <c r="AB213" s="62" t="s">
        <v>2208</v>
      </c>
      <c r="AC213" s="62" t="e">
        <v>#N/A</v>
      </c>
    </row>
    <row r="214" spans="1:29" ht="15" customHeight="1" outlineLevel="1" x14ac:dyDescent="0.3">
      <c r="A214" s="62" t="s">
        <v>707</v>
      </c>
      <c r="B214" s="62" t="s">
        <v>708</v>
      </c>
      <c r="C214" s="62" t="s">
        <v>892</v>
      </c>
      <c r="D214" s="62" t="s">
        <v>672</v>
      </c>
      <c r="E214" s="62" t="s">
        <v>702</v>
      </c>
      <c r="F214" s="62" t="s">
        <v>8</v>
      </c>
      <c r="G214" s="62" t="e">
        <v>#N/A</v>
      </c>
      <c r="H214" s="62" t="s">
        <v>893</v>
      </c>
      <c r="I214" s="62" t="e">
        <v>#N/A</v>
      </c>
      <c r="J214" s="63">
        <v>0.64800000000000002</v>
      </c>
      <c r="K214" s="63"/>
      <c r="L214" s="62"/>
      <c r="M214" s="62" t="s">
        <v>895</v>
      </c>
      <c r="N214" s="62"/>
      <c r="O214" s="62" t="str">
        <f t="shared" si="3"/>
        <v>HEF2_AMER English OBJ</v>
      </c>
      <c r="P214" s="62" t="s">
        <v>930</v>
      </c>
      <c r="Q214" s="62" t="s">
        <v>896</v>
      </c>
      <c r="R214" s="62">
        <v>14</v>
      </c>
      <c r="S214" s="64"/>
      <c r="T214" s="62" t="s">
        <v>905</v>
      </c>
      <c r="U214" s="62">
        <v>13</v>
      </c>
      <c r="V214" s="65" t="s">
        <v>1886</v>
      </c>
      <c r="W214" s="65">
        <v>0</v>
      </c>
      <c r="X214" s="62"/>
      <c r="Y214" s="66" t="e">
        <v>#N/A</v>
      </c>
      <c r="Z214" s="62" t="e">
        <v>#N/A</v>
      </c>
      <c r="AA214" s="62"/>
      <c r="AB214" s="62" t="s">
        <v>2208</v>
      </c>
      <c r="AC214" s="62" t="e">
        <v>#N/A</v>
      </c>
    </row>
    <row r="215" spans="1:29" ht="15" customHeight="1" outlineLevel="1" x14ac:dyDescent="0.3">
      <c r="A215" s="62" t="s">
        <v>709</v>
      </c>
      <c r="B215" s="62" t="s">
        <v>710</v>
      </c>
      <c r="C215" s="62" t="s">
        <v>892</v>
      </c>
      <c r="D215" s="62" t="s">
        <v>672</v>
      </c>
      <c r="E215" s="62" t="s">
        <v>702</v>
      </c>
      <c r="F215" s="62" t="s">
        <v>8</v>
      </c>
      <c r="G215" s="62" t="e">
        <v>#N/A</v>
      </c>
      <c r="H215" s="62" t="s">
        <v>912</v>
      </c>
      <c r="I215" s="62" t="e">
        <v>#N/A</v>
      </c>
      <c r="J215" s="63">
        <v>0.61699999999999999</v>
      </c>
      <c r="K215" s="63"/>
      <c r="L215" s="62"/>
      <c r="M215" s="62" t="s">
        <v>895</v>
      </c>
      <c r="N215" s="62"/>
      <c r="O215" s="62" t="str">
        <f t="shared" si="3"/>
        <v>HEF5_EMEA English OBJ</v>
      </c>
      <c r="P215" s="62" t="s">
        <v>930</v>
      </c>
      <c r="Q215" s="62" t="s">
        <v>896</v>
      </c>
      <c r="R215" s="62">
        <v>14</v>
      </c>
      <c r="S215" s="64"/>
      <c r="T215" s="62" t="s">
        <v>905</v>
      </c>
      <c r="U215" s="62">
        <v>13</v>
      </c>
      <c r="V215" s="65" t="s">
        <v>1886</v>
      </c>
      <c r="W215" s="65">
        <v>0</v>
      </c>
      <c r="X215" s="62"/>
      <c r="Y215" s="66" t="e">
        <v>#N/A</v>
      </c>
      <c r="Z215" s="62" t="e">
        <v>#N/A</v>
      </c>
      <c r="AA215" s="62"/>
      <c r="AB215" s="62" t="s">
        <v>2208</v>
      </c>
      <c r="AC215" s="62" t="e">
        <v>#N/A</v>
      </c>
    </row>
    <row r="216" spans="1:29" ht="15" customHeight="1" outlineLevel="1" x14ac:dyDescent="0.3">
      <c r="A216" s="62" t="s">
        <v>52</v>
      </c>
      <c r="B216" s="62" t="s">
        <v>53</v>
      </c>
      <c r="C216" s="62" t="s">
        <v>892</v>
      </c>
      <c r="D216" s="62" t="s">
        <v>44</v>
      </c>
      <c r="E216" s="62" t="s">
        <v>45</v>
      </c>
      <c r="F216" s="62" t="s">
        <v>8</v>
      </c>
      <c r="G216" s="62" t="e">
        <v>#N/A</v>
      </c>
      <c r="H216" s="62" t="s">
        <v>893</v>
      </c>
      <c r="I216" s="62" t="e">
        <v>#N/A</v>
      </c>
      <c r="J216" s="63">
        <v>0.64800000000000002</v>
      </c>
      <c r="K216" s="63"/>
      <c r="L216" s="62"/>
      <c r="M216" s="62" t="s">
        <v>895</v>
      </c>
      <c r="N216" s="62" t="s">
        <v>916</v>
      </c>
      <c r="O216" s="62" t="str">
        <f t="shared" si="3"/>
        <v>HEG4_AMER English Avamar</v>
      </c>
      <c r="P216" s="62" t="s">
        <v>930</v>
      </c>
      <c r="Q216" s="62" t="s">
        <v>896</v>
      </c>
      <c r="R216" s="62">
        <v>14</v>
      </c>
      <c r="S216" s="64"/>
      <c r="T216" s="62" t="s">
        <v>905</v>
      </c>
      <c r="U216" s="62">
        <v>13</v>
      </c>
      <c r="V216" s="65" t="s">
        <v>1886</v>
      </c>
      <c r="W216" s="65">
        <v>0</v>
      </c>
      <c r="X216" s="62"/>
      <c r="Y216" s="66" t="e">
        <v>#N/A</v>
      </c>
      <c r="Z216" s="62" t="e">
        <v>#N/A</v>
      </c>
      <c r="AA216" s="62"/>
      <c r="AB216" s="62" t="s">
        <v>2208</v>
      </c>
      <c r="AC216" s="62" t="e">
        <v>#N/A</v>
      </c>
    </row>
    <row r="217" spans="1:29" ht="15" customHeight="1" outlineLevel="1" x14ac:dyDescent="0.3">
      <c r="A217" s="62" t="s">
        <v>54</v>
      </c>
      <c r="B217" s="62" t="s">
        <v>55</v>
      </c>
      <c r="C217" s="62" t="s">
        <v>892</v>
      </c>
      <c r="D217" s="62" t="s">
        <v>44</v>
      </c>
      <c r="E217" s="62" t="s">
        <v>45</v>
      </c>
      <c r="F217" s="62" t="s">
        <v>8</v>
      </c>
      <c r="G217" s="62" t="e">
        <v>#N/A</v>
      </c>
      <c r="H217" s="62" t="s">
        <v>912</v>
      </c>
      <c r="I217" s="62" t="e">
        <v>#N/A</v>
      </c>
      <c r="J217" s="63">
        <v>0.61699999999999999</v>
      </c>
      <c r="K217" s="63"/>
      <c r="L217" s="62"/>
      <c r="M217" s="62" t="s">
        <v>895</v>
      </c>
      <c r="N217" s="62" t="s">
        <v>916</v>
      </c>
      <c r="O217" s="62" t="str">
        <f t="shared" si="3"/>
        <v>HEG8_EMEA English Avamar</v>
      </c>
      <c r="P217" s="62" t="s">
        <v>930</v>
      </c>
      <c r="Q217" s="62" t="s">
        <v>896</v>
      </c>
      <c r="R217" s="62">
        <v>14</v>
      </c>
      <c r="S217" s="64"/>
      <c r="T217" s="62" t="s">
        <v>905</v>
      </c>
      <c r="U217" s="62">
        <v>13</v>
      </c>
      <c r="V217" s="65" t="s">
        <v>1886</v>
      </c>
      <c r="W217" s="65">
        <v>0</v>
      </c>
      <c r="X217" s="62"/>
      <c r="Y217" s="66" t="e">
        <v>#N/A</v>
      </c>
      <c r="Z217" s="62" t="e">
        <v>#N/A</v>
      </c>
      <c r="AA217" s="62"/>
      <c r="AB217" s="62" t="s">
        <v>2208</v>
      </c>
      <c r="AC217" s="62" t="e">
        <v>#N/A</v>
      </c>
    </row>
    <row r="218" spans="1:29" ht="15" customHeight="1" outlineLevel="1" x14ac:dyDescent="0.3">
      <c r="A218" s="62" t="s">
        <v>78</v>
      </c>
      <c r="B218" s="62" t="s">
        <v>79</v>
      </c>
      <c r="C218" s="62" t="s">
        <v>892</v>
      </c>
      <c r="D218" s="62" t="s">
        <v>44</v>
      </c>
      <c r="E218" s="62" t="s">
        <v>71</v>
      </c>
      <c r="F218" s="62" t="s">
        <v>8</v>
      </c>
      <c r="G218" s="62" t="e">
        <v>#N/A</v>
      </c>
      <c r="H218" s="62" t="s">
        <v>893</v>
      </c>
      <c r="I218" s="62" t="e">
        <v>#N/A</v>
      </c>
      <c r="J218" s="63">
        <v>0.64800000000000002</v>
      </c>
      <c r="K218" s="63"/>
      <c r="L218" s="62"/>
      <c r="M218" s="62" t="s">
        <v>895</v>
      </c>
      <c r="N218" s="62" t="s">
        <v>916</v>
      </c>
      <c r="O218" s="62" t="str">
        <f t="shared" si="3"/>
        <v>HEH6_AMER English DataDomain</v>
      </c>
      <c r="P218" s="62" t="s">
        <v>930</v>
      </c>
      <c r="Q218" s="62" t="s">
        <v>896</v>
      </c>
      <c r="R218" s="62">
        <v>14</v>
      </c>
      <c r="S218" s="64"/>
      <c r="T218" s="62" t="s">
        <v>905</v>
      </c>
      <c r="U218" s="62">
        <v>13</v>
      </c>
      <c r="V218" s="65" t="s">
        <v>1886</v>
      </c>
      <c r="W218" s="65">
        <v>0</v>
      </c>
      <c r="X218" s="62"/>
      <c r="Y218" s="66" t="e">
        <v>#N/A</v>
      </c>
      <c r="Z218" s="62" t="e">
        <v>#N/A</v>
      </c>
      <c r="AA218" s="62"/>
      <c r="AB218" s="62" t="s">
        <v>2208</v>
      </c>
      <c r="AC218" s="62" t="e">
        <v>#N/A</v>
      </c>
    </row>
    <row r="219" spans="1:29" ht="15" customHeight="1" outlineLevel="1" x14ac:dyDescent="0.3">
      <c r="A219" s="62" t="s">
        <v>80</v>
      </c>
      <c r="B219" s="62" t="s">
        <v>81</v>
      </c>
      <c r="C219" s="62" t="s">
        <v>892</v>
      </c>
      <c r="D219" s="62" t="s">
        <v>44</v>
      </c>
      <c r="E219" s="62" t="s">
        <v>71</v>
      </c>
      <c r="F219" s="62" t="s">
        <v>8</v>
      </c>
      <c r="G219" s="62" t="e">
        <v>#N/A</v>
      </c>
      <c r="H219" s="62" t="s">
        <v>912</v>
      </c>
      <c r="I219" s="62" t="e">
        <v>#N/A</v>
      </c>
      <c r="J219" s="63">
        <v>0.61699999999999999</v>
      </c>
      <c r="K219" s="63"/>
      <c r="L219" s="62"/>
      <c r="M219" s="62" t="s">
        <v>895</v>
      </c>
      <c r="N219" s="62" t="s">
        <v>916</v>
      </c>
      <c r="O219" s="62" t="str">
        <f t="shared" si="3"/>
        <v>HEJ1_EMEA English DataDomain</v>
      </c>
      <c r="P219" s="62" t="s">
        <v>930</v>
      </c>
      <c r="Q219" s="62" t="s">
        <v>896</v>
      </c>
      <c r="R219" s="62">
        <v>14</v>
      </c>
      <c r="S219" s="64"/>
      <c r="T219" s="62" t="s">
        <v>905</v>
      </c>
      <c r="U219" s="62">
        <v>13</v>
      </c>
      <c r="V219" s="65" t="s">
        <v>1886</v>
      </c>
      <c r="W219" s="65">
        <v>0</v>
      </c>
      <c r="X219" s="62"/>
      <c r="Y219" s="66" t="e">
        <v>#N/A</v>
      </c>
      <c r="Z219" s="62" t="e">
        <v>#N/A</v>
      </c>
      <c r="AA219" s="62"/>
      <c r="AB219" s="62" t="s">
        <v>2208</v>
      </c>
      <c r="AC219" s="62" t="e">
        <v>#N/A</v>
      </c>
    </row>
    <row r="220" spans="1:29" ht="15" customHeight="1" outlineLevel="1" x14ac:dyDescent="0.3">
      <c r="A220" s="62" t="s">
        <v>148</v>
      </c>
      <c r="B220" s="62" t="s">
        <v>1912</v>
      </c>
      <c r="C220" s="62" t="s">
        <v>892</v>
      </c>
      <c r="D220" s="62" t="s">
        <v>44</v>
      </c>
      <c r="E220" s="62" t="s">
        <v>147</v>
      </c>
      <c r="F220" s="62" t="s">
        <v>8</v>
      </c>
      <c r="G220" s="62" t="s">
        <v>2250</v>
      </c>
      <c r="H220" s="62" t="s">
        <v>929</v>
      </c>
      <c r="I220" s="62" t="e">
        <v>#N/A</v>
      </c>
      <c r="J220" s="63">
        <v>0.63300000000000001</v>
      </c>
      <c r="K220" s="63"/>
      <c r="L220" s="62"/>
      <c r="M220" s="62" t="s">
        <v>895</v>
      </c>
      <c r="N220" s="62"/>
      <c r="O220" s="62" t="str">
        <f t="shared" si="3"/>
        <v>HW03_HES Global DPSolutions WIPRO</v>
      </c>
      <c r="P220" s="62" t="s">
        <v>2187</v>
      </c>
      <c r="Q220" s="62" t="s">
        <v>896</v>
      </c>
      <c r="R220" s="62">
        <v>14</v>
      </c>
      <c r="S220" s="64"/>
      <c r="T220" s="62" t="s">
        <v>905</v>
      </c>
      <c r="U220" s="62">
        <v>13</v>
      </c>
      <c r="V220" s="65" t="s">
        <v>1886</v>
      </c>
      <c r="W220" s="65">
        <v>0</v>
      </c>
      <c r="X220" s="62"/>
      <c r="Y220" s="66" t="e">
        <v>#N/A</v>
      </c>
      <c r="Z220" s="62" t="e">
        <v>#N/A</v>
      </c>
      <c r="AA220" s="62"/>
      <c r="AB220" s="62" t="s">
        <v>2208</v>
      </c>
      <c r="AC220" s="62" t="e">
        <v>#N/A</v>
      </c>
    </row>
    <row r="221" spans="1:29" ht="15" customHeight="1" outlineLevel="1" x14ac:dyDescent="0.3">
      <c r="A221" s="62" t="s">
        <v>150</v>
      </c>
      <c r="B221" s="62" t="s">
        <v>151</v>
      </c>
      <c r="C221" s="62" t="s">
        <v>892</v>
      </c>
      <c r="D221" s="62" t="s">
        <v>44</v>
      </c>
      <c r="E221" s="62" t="s">
        <v>147</v>
      </c>
      <c r="F221" s="62" t="s">
        <v>8</v>
      </c>
      <c r="G221" s="62" t="s">
        <v>2250</v>
      </c>
      <c r="H221" s="62" t="s">
        <v>929</v>
      </c>
      <c r="I221" s="62" t="e">
        <v>#N/A</v>
      </c>
      <c r="J221" s="63">
        <v>0.63300000000000001</v>
      </c>
      <c r="K221" s="63"/>
      <c r="L221" s="62"/>
      <c r="M221" s="62" t="s">
        <v>895</v>
      </c>
      <c r="N221" s="62"/>
      <c r="O221" s="62" t="str">
        <f t="shared" si="3"/>
        <v>HW06_HES Global RecoverPoint WIPRO</v>
      </c>
      <c r="P221" s="62" t="s">
        <v>930</v>
      </c>
      <c r="Q221" s="62" t="s">
        <v>896</v>
      </c>
      <c r="R221" s="62">
        <v>14</v>
      </c>
      <c r="S221" s="64"/>
      <c r="T221" s="62" t="s">
        <v>905</v>
      </c>
      <c r="U221" s="62">
        <v>13</v>
      </c>
      <c r="V221" s="65" t="s">
        <v>1886</v>
      </c>
      <c r="W221" s="65">
        <v>0</v>
      </c>
      <c r="X221" s="62"/>
      <c r="Y221" s="66" t="e">
        <v>#N/A</v>
      </c>
      <c r="Z221" s="62" t="e">
        <v>#N/A</v>
      </c>
      <c r="AA221" s="62"/>
      <c r="AB221" s="62" t="s">
        <v>2208</v>
      </c>
      <c r="AC221" s="62" t="e">
        <v>#N/A</v>
      </c>
    </row>
    <row r="222" spans="1:29" ht="15" customHeight="1" outlineLevel="1" x14ac:dyDescent="0.3">
      <c r="A222" s="62" t="s">
        <v>757</v>
      </c>
      <c r="B222" s="62" t="s">
        <v>758</v>
      </c>
      <c r="C222" s="62" t="s">
        <v>892</v>
      </c>
      <c r="D222" s="62"/>
      <c r="E222" s="62" t="s">
        <v>229</v>
      </c>
      <c r="F222" s="62" t="s">
        <v>8</v>
      </c>
      <c r="G222" s="62" t="e">
        <v>#N/A</v>
      </c>
      <c r="H222" s="62" t="s">
        <v>906</v>
      </c>
      <c r="I222" s="62" t="e">
        <v>#N/A</v>
      </c>
      <c r="J222" s="63">
        <v>0.629</v>
      </c>
      <c r="K222" s="63"/>
      <c r="L222" s="62"/>
      <c r="M222" s="62" t="e">
        <v>#N/A</v>
      </c>
      <c r="N222" s="62"/>
      <c r="O222" s="62" t="str">
        <f t="shared" si="3"/>
        <v>IM01_IND Midrange Storage VNX/e</v>
      </c>
      <c r="P222" s="62" t="s">
        <v>2187</v>
      </c>
      <c r="Q222" s="62" t="s">
        <v>896</v>
      </c>
      <c r="R222" s="62"/>
      <c r="S222" s="64"/>
      <c r="T222" s="62" t="s">
        <v>905</v>
      </c>
      <c r="U222" s="62">
        <v>13</v>
      </c>
      <c r="V222" s="65" t="s">
        <v>1886</v>
      </c>
      <c r="W222" s="65">
        <v>0</v>
      </c>
      <c r="X222" s="62"/>
      <c r="Y222" s="66" t="e">
        <v>#N/A</v>
      </c>
      <c r="Z222" s="62" t="e">
        <v>#N/A</v>
      </c>
      <c r="AA222" s="62"/>
      <c r="AB222" s="62" t="s">
        <v>2208</v>
      </c>
      <c r="AC222" s="62" t="e">
        <v>#N/A</v>
      </c>
    </row>
    <row r="223" spans="1:29" ht="15" customHeight="1" outlineLevel="1" x14ac:dyDescent="0.3">
      <c r="A223" s="62" t="s">
        <v>696</v>
      </c>
      <c r="B223" s="62" t="s">
        <v>1915</v>
      </c>
      <c r="C223" s="62" t="s">
        <v>892</v>
      </c>
      <c r="D223" s="62" t="s">
        <v>672</v>
      </c>
      <c r="E223" s="62" t="s">
        <v>2203</v>
      </c>
      <c r="F223" s="62" t="s">
        <v>8</v>
      </c>
      <c r="G223" s="62" t="e">
        <v>#N/A</v>
      </c>
      <c r="H223" s="62" t="s">
        <v>906</v>
      </c>
      <c r="I223" s="62" t="e">
        <v>#N/A</v>
      </c>
      <c r="J223" s="63">
        <v>0.629</v>
      </c>
      <c r="K223" s="63"/>
      <c r="L223" s="62"/>
      <c r="M223" s="62" t="s">
        <v>1068</v>
      </c>
      <c r="N223" s="62"/>
      <c r="O223" s="62" t="str">
        <f t="shared" si="3"/>
        <v>IS03_India UDS PowerScale</v>
      </c>
      <c r="P223" s="62" t="s">
        <v>930</v>
      </c>
      <c r="Q223" s="62" t="s">
        <v>896</v>
      </c>
      <c r="R223" s="62">
        <v>12</v>
      </c>
      <c r="S223" s="64"/>
      <c r="T223" s="62" t="s">
        <v>905</v>
      </c>
      <c r="U223" s="62">
        <v>13</v>
      </c>
      <c r="V223" s="65" t="s">
        <v>1886</v>
      </c>
      <c r="W223" s="65">
        <v>0</v>
      </c>
      <c r="X223" s="62"/>
      <c r="Y223" s="66" t="e">
        <v>#N/A</v>
      </c>
      <c r="Z223" s="62" t="e">
        <v>#N/A</v>
      </c>
      <c r="AA223" s="62"/>
      <c r="AB223" s="62" t="s">
        <v>2210</v>
      </c>
      <c r="AC223" s="62" t="e">
        <v>#N/A</v>
      </c>
    </row>
    <row r="224" spans="1:29" ht="15" customHeight="1" outlineLevel="1" x14ac:dyDescent="0.3">
      <c r="A224" s="62" t="s">
        <v>711</v>
      </c>
      <c r="B224" s="62" t="s">
        <v>1918</v>
      </c>
      <c r="C224" s="62" t="s">
        <v>892</v>
      </c>
      <c r="D224" s="62" t="s">
        <v>672</v>
      </c>
      <c r="E224" s="62" t="s">
        <v>702</v>
      </c>
      <c r="F224" s="62" t="s">
        <v>8</v>
      </c>
      <c r="G224" s="62" t="e">
        <v>#N/A</v>
      </c>
      <c r="H224" s="62" t="s">
        <v>893</v>
      </c>
      <c r="I224" s="62" t="e">
        <v>#N/A</v>
      </c>
      <c r="J224" s="63">
        <v>0.64800000000000002</v>
      </c>
      <c r="K224" s="63"/>
      <c r="L224" s="62"/>
      <c r="M224" s="62" t="s">
        <v>895</v>
      </c>
      <c r="N224" s="62"/>
      <c r="O224" s="62" t="str">
        <f t="shared" si="3"/>
        <v>IS24_NAMER UDS OBJ</v>
      </c>
      <c r="P224" s="62" t="s">
        <v>2187</v>
      </c>
      <c r="Q224" s="62" t="s">
        <v>896</v>
      </c>
      <c r="R224" s="62">
        <v>14</v>
      </c>
      <c r="S224" s="64"/>
      <c r="T224" s="62" t="s">
        <v>905</v>
      </c>
      <c r="U224" s="62">
        <v>13</v>
      </c>
      <c r="V224" s="65" t="s">
        <v>1886</v>
      </c>
      <c r="W224" s="65">
        <v>0</v>
      </c>
      <c r="X224" s="62"/>
      <c r="Y224" s="66" t="e">
        <v>#N/A</v>
      </c>
      <c r="Z224" s="62" t="e">
        <v>#N/A</v>
      </c>
      <c r="AA224" s="62"/>
      <c r="AB224" s="62" t="s">
        <v>2208</v>
      </c>
      <c r="AC224" s="62" t="e">
        <v>#N/A</v>
      </c>
    </row>
    <row r="225" spans="1:29" ht="15" customHeight="1" outlineLevel="1" x14ac:dyDescent="0.3">
      <c r="A225" s="62" t="s">
        <v>60</v>
      </c>
      <c r="B225" s="62" t="s">
        <v>61</v>
      </c>
      <c r="C225" s="62" t="s">
        <v>892</v>
      </c>
      <c r="D225" s="62" t="s">
        <v>44</v>
      </c>
      <c r="E225" s="62" t="s">
        <v>45</v>
      </c>
      <c r="F225" s="62" t="s">
        <v>8</v>
      </c>
      <c r="G225" s="62" t="e">
        <v>#N/A</v>
      </c>
      <c r="H225" s="62" t="s">
        <v>906</v>
      </c>
      <c r="I225" s="62" t="e">
        <v>#N/A</v>
      </c>
      <c r="J225" s="63">
        <v>0.629</v>
      </c>
      <c r="K225" s="63"/>
      <c r="L225" s="62"/>
      <c r="M225" s="62" t="s">
        <v>915</v>
      </c>
      <c r="N225" s="62"/>
      <c r="O225" s="62" t="str">
        <f t="shared" si="3"/>
        <v>IS65_India DPD AVAMAR</v>
      </c>
      <c r="P225" s="62" t="s">
        <v>930</v>
      </c>
      <c r="Q225" s="62" t="s">
        <v>896</v>
      </c>
      <c r="R225" s="62">
        <v>9</v>
      </c>
      <c r="S225" s="64"/>
      <c r="T225" s="62" t="s">
        <v>905</v>
      </c>
      <c r="U225" s="62">
        <v>13</v>
      </c>
      <c r="V225" s="65" t="s">
        <v>1886</v>
      </c>
      <c r="W225" s="65">
        <v>0</v>
      </c>
      <c r="X225" s="62"/>
      <c r="Y225" s="66" t="e">
        <v>#N/A</v>
      </c>
      <c r="Z225" s="62" t="e">
        <v>#N/A</v>
      </c>
      <c r="AA225" s="62"/>
      <c r="AB225" s="62" t="s">
        <v>2210</v>
      </c>
      <c r="AC225" s="62" t="e">
        <v>#N/A</v>
      </c>
    </row>
    <row r="226" spans="1:29" ht="15" customHeight="1" outlineLevel="1" x14ac:dyDescent="0.3">
      <c r="A226" s="62" t="s">
        <v>320</v>
      </c>
      <c r="B226" s="62" t="s">
        <v>321</v>
      </c>
      <c r="C226" s="62" t="s">
        <v>892</v>
      </c>
      <c r="D226" s="62" t="s">
        <v>301</v>
      </c>
      <c r="E226" s="62" t="s">
        <v>305</v>
      </c>
      <c r="F226" s="62" t="s">
        <v>8</v>
      </c>
      <c r="G226" s="62" t="e">
        <v>#N/A</v>
      </c>
      <c r="H226" s="62" t="s">
        <v>906</v>
      </c>
      <c r="I226" s="62" t="e">
        <v>#N/A</v>
      </c>
      <c r="J226" s="63">
        <v>0.629</v>
      </c>
      <c r="K226" s="63"/>
      <c r="L226" s="62"/>
      <c r="M226" s="62" t="s">
        <v>1071</v>
      </c>
      <c r="N226" s="62"/>
      <c r="O226" s="62" t="str">
        <f t="shared" si="3"/>
        <v>IS68_India HES Connectivity</v>
      </c>
      <c r="P226" s="62" t="s">
        <v>930</v>
      </c>
      <c r="Q226" s="62" t="s">
        <v>896</v>
      </c>
      <c r="R226" s="62">
        <v>13</v>
      </c>
      <c r="S226" s="64"/>
      <c r="T226" s="62" t="s">
        <v>905</v>
      </c>
      <c r="U226" s="62">
        <v>13</v>
      </c>
      <c r="V226" s="65" t="s">
        <v>1886</v>
      </c>
      <c r="W226" s="65">
        <v>0</v>
      </c>
      <c r="X226" s="62"/>
      <c r="Y226" s="66" t="e">
        <v>#N/A</v>
      </c>
      <c r="Z226" s="62" t="e">
        <v>#N/A</v>
      </c>
      <c r="AA226" s="62"/>
      <c r="AB226" s="62" t="s">
        <v>2210</v>
      </c>
      <c r="AC226" s="62" t="e">
        <v>#N/A</v>
      </c>
    </row>
    <row r="227" spans="1:29" ht="15" customHeight="1" outlineLevel="1" x14ac:dyDescent="0.3">
      <c r="A227" s="62" t="s">
        <v>86</v>
      </c>
      <c r="B227" s="62" t="s">
        <v>87</v>
      </c>
      <c r="C227" s="62" t="s">
        <v>892</v>
      </c>
      <c r="D227" s="62" t="s">
        <v>44</v>
      </c>
      <c r="E227" s="62" t="s">
        <v>71</v>
      </c>
      <c r="F227" s="62" t="s">
        <v>8</v>
      </c>
      <c r="G227" s="62" t="e">
        <v>#N/A</v>
      </c>
      <c r="H227" s="62" t="s">
        <v>906</v>
      </c>
      <c r="I227" s="62" t="e">
        <v>#N/A</v>
      </c>
      <c r="J227" s="63">
        <v>0.629</v>
      </c>
      <c r="K227" s="63"/>
      <c r="L227" s="62"/>
      <c r="M227" s="62" t="s">
        <v>915</v>
      </c>
      <c r="N227" s="62"/>
      <c r="O227" s="62" t="str">
        <f t="shared" si="3"/>
        <v>IS69_India DPD DataDomain</v>
      </c>
      <c r="P227" s="62" t="s">
        <v>930</v>
      </c>
      <c r="Q227" s="62" t="s">
        <v>896</v>
      </c>
      <c r="R227" s="62">
        <v>9</v>
      </c>
      <c r="S227" s="64"/>
      <c r="T227" s="62" t="s">
        <v>905</v>
      </c>
      <c r="U227" s="62">
        <v>13</v>
      </c>
      <c r="V227" s="65" t="s">
        <v>1886</v>
      </c>
      <c r="W227" s="65">
        <v>0</v>
      </c>
      <c r="X227" s="62"/>
      <c r="Y227" s="66" t="e">
        <v>#N/A</v>
      </c>
      <c r="Z227" s="62" t="e">
        <v>#N/A</v>
      </c>
      <c r="AA227" s="62"/>
      <c r="AB227" s="62" t="s">
        <v>2210</v>
      </c>
      <c r="AC227" s="62" t="e">
        <v>#N/A</v>
      </c>
    </row>
    <row r="228" spans="1:29" ht="15" customHeight="1" outlineLevel="1" x14ac:dyDescent="0.3">
      <c r="A228" s="62" t="s">
        <v>204</v>
      </c>
      <c r="B228" s="62" t="s">
        <v>1919</v>
      </c>
      <c r="C228" s="62" t="s">
        <v>892</v>
      </c>
      <c r="D228" s="62" t="s">
        <v>158</v>
      </c>
      <c r="E228" s="62" t="s">
        <v>173</v>
      </c>
      <c r="F228" s="62" t="s">
        <v>8</v>
      </c>
      <c r="G228" s="62" t="e">
        <v>#N/A</v>
      </c>
      <c r="H228" s="62" t="s">
        <v>906</v>
      </c>
      <c r="I228" s="62" t="e">
        <v>#N/A</v>
      </c>
      <c r="J228" s="63">
        <v>0.629</v>
      </c>
      <c r="K228" s="63"/>
      <c r="L228" s="62"/>
      <c r="M228" s="62" t="s">
        <v>1046</v>
      </c>
      <c r="N228" s="62"/>
      <c r="O228" s="62" t="str">
        <f t="shared" si="3"/>
        <v>IS74_HCS INDIA VxRail</v>
      </c>
      <c r="P228" s="62" t="s">
        <v>2187</v>
      </c>
      <c r="Q228" s="62" t="s">
        <v>896</v>
      </c>
      <c r="R228" s="62">
        <v>14</v>
      </c>
      <c r="S228" s="64"/>
      <c r="T228" s="62" t="s">
        <v>905</v>
      </c>
      <c r="U228" s="62">
        <v>13</v>
      </c>
      <c r="V228" s="65" t="s">
        <v>1886</v>
      </c>
      <c r="W228" s="65">
        <v>0</v>
      </c>
      <c r="X228" s="62"/>
      <c r="Y228" s="66" t="e">
        <v>#N/A</v>
      </c>
      <c r="Z228" s="62" t="e">
        <v>#N/A</v>
      </c>
      <c r="AA228" s="62"/>
      <c r="AB228" s="62" t="s">
        <v>2210</v>
      </c>
      <c r="AC228" s="62" t="e">
        <v>#N/A</v>
      </c>
    </row>
    <row r="229" spans="1:29" ht="15" customHeight="1" outlineLevel="1" x14ac:dyDescent="0.3">
      <c r="A229" s="62" t="s">
        <v>348</v>
      </c>
      <c r="B229" s="62" t="s">
        <v>349</v>
      </c>
      <c r="C229" s="62" t="s">
        <v>892</v>
      </c>
      <c r="D229" s="62" t="s">
        <v>301</v>
      </c>
      <c r="E229" s="62" t="s">
        <v>334</v>
      </c>
      <c r="F229" s="62" t="s">
        <v>8</v>
      </c>
      <c r="G229" s="62" t="e">
        <v>#N/A</v>
      </c>
      <c r="H229" s="62" t="s">
        <v>906</v>
      </c>
      <c r="I229" s="62" t="e">
        <v>#N/A</v>
      </c>
      <c r="J229" s="63">
        <v>0.629</v>
      </c>
      <c r="K229" s="63"/>
      <c r="L229" s="62"/>
      <c r="M229" s="62" t="s">
        <v>915</v>
      </c>
      <c r="N229" s="62"/>
      <c r="O229" s="62" t="str">
        <f t="shared" si="3"/>
        <v>IS75_India HES Integrated_Software</v>
      </c>
      <c r="P229" s="62" t="s">
        <v>930</v>
      </c>
      <c r="Q229" s="62" t="s">
        <v>896</v>
      </c>
      <c r="R229" s="62">
        <v>9</v>
      </c>
      <c r="S229" s="64"/>
      <c r="T229" s="62" t="s">
        <v>905</v>
      </c>
      <c r="U229" s="62">
        <v>13</v>
      </c>
      <c r="V229" s="65" t="s">
        <v>1886</v>
      </c>
      <c r="W229" s="65">
        <v>0</v>
      </c>
      <c r="X229" s="62"/>
      <c r="Y229" s="66" t="e">
        <v>#N/A</v>
      </c>
      <c r="Z229" s="62" t="e">
        <v>#N/A</v>
      </c>
      <c r="AA229" s="62"/>
      <c r="AB229" s="62" t="s">
        <v>2210</v>
      </c>
      <c r="AC229" s="62" t="e">
        <v>#N/A</v>
      </c>
    </row>
    <row r="230" spans="1:29" ht="15" customHeight="1" outlineLevel="1" x14ac:dyDescent="0.3">
      <c r="A230" s="62" t="s">
        <v>124</v>
      </c>
      <c r="B230" s="62" t="s">
        <v>125</v>
      </c>
      <c r="C230" s="62" t="s">
        <v>892</v>
      </c>
      <c r="D230" s="62" t="s">
        <v>44</v>
      </c>
      <c r="E230" s="62" t="s">
        <v>109</v>
      </c>
      <c r="F230" s="62" t="s">
        <v>8</v>
      </c>
      <c r="G230" s="62" t="e">
        <v>#N/A</v>
      </c>
      <c r="H230" s="62" t="s">
        <v>906</v>
      </c>
      <c r="I230" s="62" t="e">
        <v>#N/A</v>
      </c>
      <c r="J230" s="63">
        <v>0.629</v>
      </c>
      <c r="K230" s="63"/>
      <c r="L230" s="62"/>
      <c r="M230" s="62" t="s">
        <v>1074</v>
      </c>
      <c r="N230" s="62"/>
      <c r="O230" s="62" t="str">
        <f t="shared" si="3"/>
        <v>IS77_India DPD Networker</v>
      </c>
      <c r="P230" s="62" t="s">
        <v>930</v>
      </c>
      <c r="Q230" s="62" t="s">
        <v>896</v>
      </c>
      <c r="R230" s="62">
        <v>14</v>
      </c>
      <c r="S230" s="64"/>
      <c r="T230" s="62" t="s">
        <v>905</v>
      </c>
      <c r="U230" s="62">
        <v>13</v>
      </c>
      <c r="V230" s="65" t="s">
        <v>1886</v>
      </c>
      <c r="W230" s="65">
        <v>0</v>
      </c>
      <c r="X230" s="62"/>
      <c r="Y230" s="66" t="e">
        <v>#N/A</v>
      </c>
      <c r="Z230" s="62" t="e">
        <v>#N/A</v>
      </c>
      <c r="AA230" s="62"/>
      <c r="AB230" s="62" t="s">
        <v>2210</v>
      </c>
      <c r="AC230" s="62" t="e">
        <v>#N/A</v>
      </c>
    </row>
    <row r="231" spans="1:29" ht="15" customHeight="1" outlineLevel="1" x14ac:dyDescent="0.3">
      <c r="A231" s="62" t="s">
        <v>715</v>
      </c>
      <c r="B231" s="62" t="s">
        <v>1920</v>
      </c>
      <c r="C231" s="62" t="s">
        <v>892</v>
      </c>
      <c r="D231" s="62" t="s">
        <v>672</v>
      </c>
      <c r="E231" s="62" t="s">
        <v>702</v>
      </c>
      <c r="F231" s="62" t="s">
        <v>8</v>
      </c>
      <c r="G231" s="62" t="e">
        <v>#N/A</v>
      </c>
      <c r="H231" s="62" t="s">
        <v>906</v>
      </c>
      <c r="I231" s="62" t="e">
        <v>#N/A</v>
      </c>
      <c r="J231" s="63">
        <v>0.629</v>
      </c>
      <c r="K231" s="63"/>
      <c r="L231" s="62"/>
      <c r="M231" s="62" t="e">
        <v>#N/A</v>
      </c>
      <c r="N231" s="62"/>
      <c r="O231" s="62" t="str">
        <f t="shared" si="3"/>
        <v>IS78_India UDS OBJ</v>
      </c>
      <c r="P231" s="62" t="s">
        <v>2187</v>
      </c>
      <c r="Q231" s="62" t="s">
        <v>896</v>
      </c>
      <c r="R231" s="62"/>
      <c r="S231" s="64"/>
      <c r="T231" s="62" t="s">
        <v>905</v>
      </c>
      <c r="U231" s="62">
        <v>13</v>
      </c>
      <c r="V231" s="65" t="s">
        <v>1886</v>
      </c>
      <c r="W231" s="65">
        <v>0</v>
      </c>
      <c r="X231" s="62"/>
      <c r="Y231" s="66" t="e">
        <v>#N/A</v>
      </c>
      <c r="Z231" s="62" t="e">
        <v>#N/A</v>
      </c>
      <c r="AA231" s="62"/>
      <c r="AB231" s="62" t="s">
        <v>2210</v>
      </c>
      <c r="AC231" s="62" t="e">
        <v>#N/A</v>
      </c>
    </row>
    <row r="232" spans="1:29" ht="15" customHeight="1" outlineLevel="1" x14ac:dyDescent="0.3">
      <c r="A232" s="62" t="s">
        <v>380</v>
      </c>
      <c r="B232" s="62"/>
      <c r="C232" s="62" t="s">
        <v>892</v>
      </c>
      <c r="D232" s="62" t="s">
        <v>301</v>
      </c>
      <c r="E232" s="62" t="s">
        <v>357</v>
      </c>
      <c r="F232" s="62" t="s">
        <v>8</v>
      </c>
      <c r="G232" s="62" t="e">
        <v>#N/A</v>
      </c>
      <c r="H232" s="62" t="s">
        <v>906</v>
      </c>
      <c r="I232" s="62" t="e">
        <v>#N/A</v>
      </c>
      <c r="J232" s="63">
        <v>0.629</v>
      </c>
      <c r="K232" s="63"/>
      <c r="L232" s="62"/>
      <c r="M232" s="62" t="e">
        <v>#N/A</v>
      </c>
      <c r="N232" s="62"/>
      <c r="O232" s="62" t="str">
        <f t="shared" si="3"/>
        <v>IS85_</v>
      </c>
      <c r="P232" s="62" t="e">
        <v>#N/A</v>
      </c>
      <c r="Q232" s="62" t="s">
        <v>896</v>
      </c>
      <c r="R232" s="62"/>
      <c r="S232" s="64"/>
      <c r="T232" s="62" t="s">
        <v>905</v>
      </c>
      <c r="U232" s="62">
        <v>13</v>
      </c>
      <c r="V232" s="65" t="s">
        <v>1886</v>
      </c>
      <c r="W232" s="65">
        <v>0</v>
      </c>
      <c r="X232" s="62"/>
      <c r="Y232" s="66" t="e">
        <v>#N/A</v>
      </c>
      <c r="Z232" s="62" t="e">
        <v>#N/A</v>
      </c>
      <c r="AA232" s="62"/>
      <c r="AB232" s="62" t="e">
        <v>#N/A</v>
      </c>
      <c r="AC232" s="62" t="e">
        <v>#N/A</v>
      </c>
    </row>
    <row r="233" spans="1:29" ht="15" customHeight="1" outlineLevel="1" x14ac:dyDescent="0.3">
      <c r="A233" s="62" t="s">
        <v>397</v>
      </c>
      <c r="B233" s="62" t="s">
        <v>398</v>
      </c>
      <c r="C233" s="62" t="s">
        <v>892</v>
      </c>
      <c r="D233" s="62" t="s">
        <v>301</v>
      </c>
      <c r="E233" s="62" t="s">
        <v>1047</v>
      </c>
      <c r="F233" s="62" t="s">
        <v>8</v>
      </c>
      <c r="G233" s="62" t="e">
        <v>#N/A</v>
      </c>
      <c r="H233" s="62" t="s">
        <v>906</v>
      </c>
      <c r="I233" s="62" t="e">
        <v>#N/A</v>
      </c>
      <c r="J233" s="63">
        <v>0.629</v>
      </c>
      <c r="K233" s="63"/>
      <c r="L233" s="62"/>
      <c r="M233" s="62" t="s">
        <v>1014</v>
      </c>
      <c r="N233" s="62"/>
      <c r="O233" s="62" t="str">
        <f t="shared" si="3"/>
        <v>IS86_India HES SymmSW</v>
      </c>
      <c r="P233" s="62" t="s">
        <v>930</v>
      </c>
      <c r="Q233" s="62" t="s">
        <v>896</v>
      </c>
      <c r="R233" s="62">
        <v>4</v>
      </c>
      <c r="S233" s="64"/>
      <c r="T233" s="62" t="s">
        <v>905</v>
      </c>
      <c r="U233" s="62">
        <v>13</v>
      </c>
      <c r="V233" s="65" t="s">
        <v>1886</v>
      </c>
      <c r="W233" s="65">
        <v>0</v>
      </c>
      <c r="X233" s="62"/>
      <c r="Y233" s="66" t="e">
        <v>#N/A</v>
      </c>
      <c r="Z233" s="62" t="e">
        <v>#N/A</v>
      </c>
      <c r="AA233" s="62"/>
      <c r="AB233" s="62" t="s">
        <v>2210</v>
      </c>
      <c r="AC233" s="62" t="e">
        <v>#N/A</v>
      </c>
    </row>
    <row r="234" spans="1:29" ht="15" customHeight="1" outlineLevel="1" x14ac:dyDescent="0.3">
      <c r="A234" s="62" t="s">
        <v>256</v>
      </c>
      <c r="B234" s="62" t="s">
        <v>257</v>
      </c>
      <c r="C234" s="62" t="s">
        <v>892</v>
      </c>
      <c r="D234" s="62" t="s">
        <v>229</v>
      </c>
      <c r="E234" s="62" t="s">
        <v>229</v>
      </c>
      <c r="F234" s="62" t="s">
        <v>8</v>
      </c>
      <c r="G234" s="62" t="e">
        <v>#N/A</v>
      </c>
      <c r="H234" s="62" t="s">
        <v>906</v>
      </c>
      <c r="I234" s="62" t="e">
        <v>#N/A</v>
      </c>
      <c r="J234" s="63">
        <v>0.629</v>
      </c>
      <c r="K234" s="63"/>
      <c r="L234" s="62"/>
      <c r="M234" s="62" t="s">
        <v>1073</v>
      </c>
      <c r="N234" s="62"/>
      <c r="O234" s="62" t="str">
        <f t="shared" si="3"/>
        <v>IS88_INDIA HES MIDRANGE</v>
      </c>
      <c r="P234" s="62" t="s">
        <v>930</v>
      </c>
      <c r="Q234" s="62" t="s">
        <v>896</v>
      </c>
      <c r="R234" s="62">
        <v>16</v>
      </c>
      <c r="S234" s="64"/>
      <c r="T234" s="62" t="s">
        <v>905</v>
      </c>
      <c r="U234" s="62">
        <v>13</v>
      </c>
      <c r="V234" s="65" t="s">
        <v>1886</v>
      </c>
      <c r="W234" s="65">
        <v>0</v>
      </c>
      <c r="X234" s="62"/>
      <c r="Y234" s="66" t="e">
        <v>#N/A</v>
      </c>
      <c r="Z234" s="62" t="e">
        <v>#N/A</v>
      </c>
      <c r="AA234" s="62"/>
      <c r="AB234" s="62" t="s">
        <v>2210</v>
      </c>
      <c r="AC234" s="62" t="e">
        <v>#N/A</v>
      </c>
    </row>
    <row r="235" spans="1:29" ht="15" customHeight="1" outlineLevel="1" x14ac:dyDescent="0.3">
      <c r="A235" s="62" t="s">
        <v>414</v>
      </c>
      <c r="B235" s="62" t="s">
        <v>415</v>
      </c>
      <c r="C235" s="62" t="s">
        <v>892</v>
      </c>
      <c r="D235" s="62" t="s">
        <v>301</v>
      </c>
      <c r="E235" s="62" t="s">
        <v>403</v>
      </c>
      <c r="F235" s="62" t="s">
        <v>8</v>
      </c>
      <c r="G235" s="62" t="e">
        <v>#N/A</v>
      </c>
      <c r="H235" s="62" t="s">
        <v>906</v>
      </c>
      <c r="I235" s="62" t="e">
        <v>#N/A</v>
      </c>
      <c r="J235" s="63">
        <v>0.629</v>
      </c>
      <c r="K235" s="63"/>
      <c r="L235" s="62"/>
      <c r="M235" s="62" t="s">
        <v>1075</v>
      </c>
      <c r="N235" s="62"/>
      <c r="O235" s="62" t="str">
        <f t="shared" si="3"/>
        <v>IS90_India HES Vplex</v>
      </c>
      <c r="P235" s="62" t="s">
        <v>930</v>
      </c>
      <c r="Q235" s="62" t="s">
        <v>896</v>
      </c>
      <c r="R235" s="62">
        <v>6</v>
      </c>
      <c r="S235" s="64"/>
      <c r="T235" s="62" t="s">
        <v>905</v>
      </c>
      <c r="U235" s="62">
        <v>13</v>
      </c>
      <c r="V235" s="65" t="s">
        <v>1886</v>
      </c>
      <c r="W235" s="65">
        <v>0</v>
      </c>
      <c r="X235" s="62"/>
      <c r="Y235" s="66" t="e">
        <v>#N/A</v>
      </c>
      <c r="Z235" s="62" t="e">
        <v>#N/A</v>
      </c>
      <c r="AA235" s="62"/>
      <c r="AB235" s="62" t="s">
        <v>2210</v>
      </c>
      <c r="AC235" s="62" t="e">
        <v>#N/A</v>
      </c>
    </row>
    <row r="236" spans="1:29" ht="15" customHeight="1" outlineLevel="1" x14ac:dyDescent="0.3">
      <c r="A236" s="62" t="s">
        <v>432</v>
      </c>
      <c r="B236" s="62" t="s">
        <v>433</v>
      </c>
      <c r="C236" s="62" t="s">
        <v>892</v>
      </c>
      <c r="D236" s="62" t="s">
        <v>301</v>
      </c>
      <c r="E236" s="62" t="s">
        <v>419</v>
      </c>
      <c r="F236" s="62" t="s">
        <v>8</v>
      </c>
      <c r="G236" s="62" t="e">
        <v>#N/A</v>
      </c>
      <c r="H236" s="62" t="s">
        <v>906</v>
      </c>
      <c r="I236" s="62" t="e">
        <v>#N/A</v>
      </c>
      <c r="J236" s="63">
        <v>0.629</v>
      </c>
      <c r="K236" s="63"/>
      <c r="L236" s="62"/>
      <c r="M236" s="62" t="s">
        <v>915</v>
      </c>
      <c r="N236" s="62"/>
      <c r="O236" s="62" t="str">
        <f t="shared" si="3"/>
        <v>IS91_India HES XtremIO</v>
      </c>
      <c r="P236" s="62" t="s">
        <v>930</v>
      </c>
      <c r="Q236" s="62" t="s">
        <v>896</v>
      </c>
      <c r="R236" s="62">
        <v>9</v>
      </c>
      <c r="S236" s="64"/>
      <c r="T236" s="62" t="s">
        <v>905</v>
      </c>
      <c r="U236" s="62">
        <v>13</v>
      </c>
      <c r="V236" s="65" t="s">
        <v>1886</v>
      </c>
      <c r="W236" s="65">
        <v>0</v>
      </c>
      <c r="X236" s="62"/>
      <c r="Y236" s="66" t="e">
        <v>#N/A</v>
      </c>
      <c r="Z236" s="62" t="e">
        <v>#N/A</v>
      </c>
      <c r="AA236" s="62"/>
      <c r="AB236" s="62" t="s">
        <v>2210</v>
      </c>
      <c r="AC236" s="62" t="e">
        <v>#N/A</v>
      </c>
    </row>
    <row r="237" spans="1:29" ht="15" customHeight="1" outlineLevel="1" x14ac:dyDescent="0.3">
      <c r="A237" s="62" t="s">
        <v>97</v>
      </c>
      <c r="B237" s="62" t="s">
        <v>98</v>
      </c>
      <c r="C237" s="62" t="s">
        <v>892</v>
      </c>
      <c r="D237" s="62" t="s">
        <v>44</v>
      </c>
      <c r="E237" s="62" t="s">
        <v>92</v>
      </c>
      <c r="F237" s="62" t="s">
        <v>8</v>
      </c>
      <c r="G237" s="62" t="e">
        <v>#N/A</v>
      </c>
      <c r="H237" s="62" t="s">
        <v>935</v>
      </c>
      <c r="I237" s="62" t="s">
        <v>1076</v>
      </c>
      <c r="J237" s="63">
        <v>0.626</v>
      </c>
      <c r="K237" s="63"/>
      <c r="L237" s="62"/>
      <c r="M237" s="62"/>
      <c r="N237" s="62" t="s">
        <v>916</v>
      </c>
      <c r="O237" s="62" t="str">
        <f t="shared" si="3"/>
        <v>IS98_LATAM DPD DPA</v>
      </c>
      <c r="P237" s="62" t="s">
        <v>2177</v>
      </c>
      <c r="Q237" s="62" t="s">
        <v>896</v>
      </c>
      <c r="R237" s="62"/>
      <c r="S237" s="64"/>
      <c r="T237" s="62" t="s">
        <v>905</v>
      </c>
      <c r="U237" s="62">
        <v>13</v>
      </c>
      <c r="V237" s="65" t="s">
        <v>1886</v>
      </c>
      <c r="W237" s="65">
        <v>0</v>
      </c>
      <c r="X237" s="62"/>
      <c r="Y237" s="66" t="e">
        <v>#N/A</v>
      </c>
      <c r="Z237" s="62" t="e">
        <v>#N/A</v>
      </c>
      <c r="AA237" s="62"/>
      <c r="AB237" s="62" t="s">
        <v>2210</v>
      </c>
      <c r="AC237" s="62" t="e">
        <v>#N/A</v>
      </c>
    </row>
    <row r="238" spans="1:29" ht="15" customHeight="1" outlineLevel="1" x14ac:dyDescent="0.3">
      <c r="A238" s="62" t="s">
        <v>206</v>
      </c>
      <c r="B238" s="62" t="s">
        <v>207</v>
      </c>
      <c r="C238" s="62" t="s">
        <v>892</v>
      </c>
      <c r="D238" s="62" t="s">
        <v>158</v>
      </c>
      <c r="E238" s="62" t="s">
        <v>173</v>
      </c>
      <c r="F238" s="62" t="s">
        <v>8</v>
      </c>
      <c r="G238" s="62" t="e">
        <v>#N/A</v>
      </c>
      <c r="H238" s="62" t="s">
        <v>935</v>
      </c>
      <c r="I238" s="62" t="s">
        <v>1069</v>
      </c>
      <c r="J238" s="63">
        <v>0.626</v>
      </c>
      <c r="K238" s="63"/>
      <c r="L238" s="62"/>
      <c r="M238" s="62" t="s">
        <v>922</v>
      </c>
      <c r="N238" s="62"/>
      <c r="O238" s="62" t="str">
        <f t="shared" si="3"/>
        <v>IU02_HCS LATAM VxRail</v>
      </c>
      <c r="P238" s="62" t="s">
        <v>930</v>
      </c>
      <c r="Q238" s="62" t="s">
        <v>896</v>
      </c>
      <c r="R238" s="62">
        <v>24</v>
      </c>
      <c r="S238" s="64"/>
      <c r="T238" s="62" t="s">
        <v>905</v>
      </c>
      <c r="U238" s="62">
        <v>13</v>
      </c>
      <c r="V238" s="65" t="s">
        <v>1886</v>
      </c>
      <c r="W238" s="65">
        <v>0</v>
      </c>
      <c r="X238" s="62"/>
      <c r="Y238" s="66" t="e">
        <v>#N/A</v>
      </c>
      <c r="Z238" s="62" t="e">
        <v>#N/A</v>
      </c>
      <c r="AA238" s="62"/>
      <c r="AB238" s="62" t="s">
        <v>2210</v>
      </c>
      <c r="AC238" s="62" t="e">
        <v>#N/A</v>
      </c>
    </row>
    <row r="239" spans="1:29" ht="15" customHeight="1" outlineLevel="1" x14ac:dyDescent="0.3">
      <c r="A239" s="62" t="s">
        <v>717</v>
      </c>
      <c r="B239" s="62" t="s">
        <v>1921</v>
      </c>
      <c r="C239" s="62" t="s">
        <v>892</v>
      </c>
      <c r="D239" s="62" t="s">
        <v>672</v>
      </c>
      <c r="E239" s="62" t="s">
        <v>702</v>
      </c>
      <c r="F239" s="62" t="s">
        <v>8</v>
      </c>
      <c r="G239" s="62" t="e">
        <v>#N/A</v>
      </c>
      <c r="H239" s="62" t="s">
        <v>912</v>
      </c>
      <c r="I239" s="62" t="e">
        <v>#N/A</v>
      </c>
      <c r="J239" s="63">
        <v>0.61699999999999999</v>
      </c>
      <c r="K239" s="63"/>
      <c r="L239" s="62"/>
      <c r="M239" s="62" t="s">
        <v>895</v>
      </c>
      <c r="N239" s="62"/>
      <c r="O239" s="62" t="str">
        <f t="shared" si="3"/>
        <v>IU06_EMEA UDS OBJ</v>
      </c>
      <c r="P239" s="62" t="s">
        <v>2187</v>
      </c>
      <c r="Q239" s="62" t="s">
        <v>896</v>
      </c>
      <c r="R239" s="62">
        <v>14</v>
      </c>
      <c r="S239" s="64"/>
      <c r="T239" s="62" t="s">
        <v>905</v>
      </c>
      <c r="U239" s="62">
        <v>13</v>
      </c>
      <c r="V239" s="65" t="s">
        <v>1886</v>
      </c>
      <c r="W239" s="65">
        <v>0</v>
      </c>
      <c r="X239" s="62"/>
      <c r="Y239" s="66" t="e">
        <v>#N/A</v>
      </c>
      <c r="Z239" s="62" t="e">
        <v>#N/A</v>
      </c>
      <c r="AA239" s="62"/>
      <c r="AB239" s="62" t="s">
        <v>2210</v>
      </c>
      <c r="AC239" s="62" t="e">
        <v>#N/A</v>
      </c>
    </row>
    <row r="240" spans="1:29" ht="15" customHeight="1" outlineLevel="1" x14ac:dyDescent="0.3">
      <c r="A240" s="62" t="s">
        <v>719</v>
      </c>
      <c r="B240" s="62" t="s">
        <v>1922</v>
      </c>
      <c r="C240" s="62" t="s">
        <v>892</v>
      </c>
      <c r="D240" s="62" t="s">
        <v>672</v>
      </c>
      <c r="E240" s="62" t="s">
        <v>702</v>
      </c>
      <c r="F240" s="62" t="s">
        <v>8</v>
      </c>
      <c r="G240" s="62" t="e">
        <v>#N/A</v>
      </c>
      <c r="H240" s="62" t="s">
        <v>903</v>
      </c>
      <c r="I240" s="62" t="e">
        <v>#N/A</v>
      </c>
      <c r="J240" s="63">
        <v>0.629</v>
      </c>
      <c r="K240" s="63"/>
      <c r="L240" s="62"/>
      <c r="M240" s="62" t="s">
        <v>895</v>
      </c>
      <c r="N240" s="62"/>
      <c r="O240" s="62" t="str">
        <f t="shared" si="3"/>
        <v>IU33_APJ UDS OBJ</v>
      </c>
      <c r="P240" s="62" t="s">
        <v>2187</v>
      </c>
      <c r="Q240" s="62" t="s">
        <v>896</v>
      </c>
      <c r="R240" s="62">
        <v>14</v>
      </c>
      <c r="S240" s="64"/>
      <c r="T240" s="62" t="s">
        <v>905</v>
      </c>
      <c r="U240" s="62">
        <v>13</v>
      </c>
      <c r="V240" s="65" t="s">
        <v>1886</v>
      </c>
      <c r="W240" s="65">
        <v>0</v>
      </c>
      <c r="X240" s="62"/>
      <c r="Y240" s="66" t="e">
        <v>#N/A</v>
      </c>
      <c r="Z240" s="62" t="e">
        <v>#N/A</v>
      </c>
      <c r="AA240" s="62"/>
      <c r="AB240" s="62" t="s">
        <v>2210</v>
      </c>
      <c r="AC240" s="62" t="e">
        <v>#N/A</v>
      </c>
    </row>
    <row r="241" spans="1:29" ht="15" customHeight="1" outlineLevel="1" x14ac:dyDescent="0.3">
      <c r="A241" s="62" t="s">
        <v>759</v>
      </c>
      <c r="B241" s="62" t="s">
        <v>760</v>
      </c>
      <c r="C241" s="62" t="s">
        <v>892</v>
      </c>
      <c r="D241" s="62"/>
      <c r="E241" s="62" t="s">
        <v>229</v>
      </c>
      <c r="F241" s="62" t="s">
        <v>8</v>
      </c>
      <c r="G241" s="62" t="e">
        <v>#N/A</v>
      </c>
      <c r="H241" s="62" t="s">
        <v>903</v>
      </c>
      <c r="I241" s="62" t="s">
        <v>918</v>
      </c>
      <c r="J241" s="63">
        <v>0.629</v>
      </c>
      <c r="K241" s="63"/>
      <c r="L241" s="62"/>
      <c r="M241" s="62" t="s">
        <v>895</v>
      </c>
      <c r="N241" s="62"/>
      <c r="O241" s="62" t="str">
        <f t="shared" si="3"/>
        <v>JM01_JP Midrange Storage VNX/e</v>
      </c>
      <c r="P241" s="62" t="s">
        <v>2177</v>
      </c>
      <c r="Q241" s="62" t="s">
        <v>896</v>
      </c>
      <c r="R241" s="62">
        <v>14</v>
      </c>
      <c r="S241" s="64"/>
      <c r="T241" s="62" t="s">
        <v>905</v>
      </c>
      <c r="U241" s="62">
        <v>13</v>
      </c>
      <c r="V241" s="65" t="s">
        <v>1886</v>
      </c>
      <c r="W241" s="65">
        <v>0</v>
      </c>
      <c r="X241" s="62"/>
      <c r="Y241" s="66" t="e">
        <v>#N/A</v>
      </c>
      <c r="Z241" s="62" t="e">
        <v>#N/A</v>
      </c>
      <c r="AA241" s="62"/>
      <c r="AB241" s="62" t="s">
        <v>2217</v>
      </c>
      <c r="AC241" s="62" t="e">
        <v>#N/A</v>
      </c>
    </row>
    <row r="242" spans="1:29" ht="15" customHeight="1" outlineLevel="1" x14ac:dyDescent="0.3">
      <c r="A242" s="62" t="s">
        <v>745</v>
      </c>
      <c r="B242" s="62" t="s">
        <v>746</v>
      </c>
      <c r="C242" s="62" t="s">
        <v>892</v>
      </c>
      <c r="D242" s="62"/>
      <c r="E242" s="62" t="s">
        <v>173</v>
      </c>
      <c r="F242" s="62" t="s">
        <v>8</v>
      </c>
      <c r="G242" s="62" t="e">
        <v>#N/A</v>
      </c>
      <c r="H242" s="62" t="s">
        <v>903</v>
      </c>
      <c r="I242" s="62" t="s">
        <v>918</v>
      </c>
      <c r="J242" s="63">
        <v>0.629</v>
      </c>
      <c r="K242" s="63"/>
      <c r="L242" s="62"/>
      <c r="M242" s="62" t="s">
        <v>895</v>
      </c>
      <c r="N242" s="62" t="s">
        <v>916</v>
      </c>
      <c r="O242" s="62" t="str">
        <f t="shared" si="3"/>
        <v>JV01_JP VX Rail Storage</v>
      </c>
      <c r="P242" s="62" t="s">
        <v>2177</v>
      </c>
      <c r="Q242" s="62" t="s">
        <v>896</v>
      </c>
      <c r="R242" s="62">
        <v>14</v>
      </c>
      <c r="S242" s="64"/>
      <c r="T242" s="62" t="s">
        <v>905</v>
      </c>
      <c r="U242" s="62">
        <v>13</v>
      </c>
      <c r="V242" s="65" t="s">
        <v>1886</v>
      </c>
      <c r="W242" s="65">
        <v>0</v>
      </c>
      <c r="X242" s="62"/>
      <c r="Y242" s="66" t="e">
        <v>#N/A</v>
      </c>
      <c r="Z242" s="62" t="e">
        <v>#N/A</v>
      </c>
      <c r="AA242" s="62"/>
      <c r="AB242" s="62" t="s">
        <v>2217</v>
      </c>
      <c r="AC242" s="62" t="e">
        <v>#N/A</v>
      </c>
    </row>
    <row r="243" spans="1:29" ht="15" customHeight="1" outlineLevel="1" x14ac:dyDescent="0.3">
      <c r="A243" s="62" t="s">
        <v>780</v>
      </c>
      <c r="B243" s="62" t="s">
        <v>781</v>
      </c>
      <c r="C243" s="62" t="s">
        <v>892</v>
      </c>
      <c r="D243" s="62"/>
      <c r="E243" s="62" t="s">
        <v>779</v>
      </c>
      <c r="F243" s="62" t="s">
        <v>8</v>
      </c>
      <c r="G243" s="62" t="e">
        <v>#N/A</v>
      </c>
      <c r="H243" s="62" t="s">
        <v>935</v>
      </c>
      <c r="I243" s="62" t="s">
        <v>1069</v>
      </c>
      <c r="J243" s="63">
        <v>0.626</v>
      </c>
      <c r="K243" s="63"/>
      <c r="L243" s="62"/>
      <c r="M243" s="62" t="e">
        <v>#N/A</v>
      </c>
      <c r="N243" s="62"/>
      <c r="O243" s="62" t="str">
        <f t="shared" si="3"/>
        <v>MR01_MMCLA Midrange Storage VNX/e Spanish</v>
      </c>
      <c r="P243" s="62" t="s">
        <v>930</v>
      </c>
      <c r="Q243" s="62" t="s">
        <v>896</v>
      </c>
      <c r="R243" s="62"/>
      <c r="S243" s="64"/>
      <c r="T243" s="62" t="s">
        <v>905</v>
      </c>
      <c r="U243" s="62">
        <v>13</v>
      </c>
      <c r="V243" s="65" t="s">
        <v>1886</v>
      </c>
      <c r="W243" s="65">
        <v>0</v>
      </c>
      <c r="X243" s="62"/>
      <c r="Y243" s="66" t="e">
        <v>#N/A</v>
      </c>
      <c r="Z243" s="62" t="e">
        <v>#N/A</v>
      </c>
      <c r="AA243" s="62"/>
      <c r="AB243" s="62" t="s">
        <v>779</v>
      </c>
      <c r="AC243" s="62" t="e">
        <v>#N/A</v>
      </c>
    </row>
    <row r="244" spans="1:29" ht="15" customHeight="1" outlineLevel="1" x14ac:dyDescent="0.3">
      <c r="A244" s="62" t="s">
        <v>747</v>
      </c>
      <c r="B244" s="62" t="s">
        <v>1923</v>
      </c>
      <c r="C244" s="62" t="s">
        <v>892</v>
      </c>
      <c r="D244" s="62"/>
      <c r="E244" s="62" t="s">
        <v>173</v>
      </c>
      <c r="F244" s="62" t="s">
        <v>8</v>
      </c>
      <c r="G244" s="62" t="e">
        <v>#N/A</v>
      </c>
      <c r="H244" s="62" t="s">
        <v>935</v>
      </c>
      <c r="I244" s="62" t="s">
        <v>1069</v>
      </c>
      <c r="J244" s="63">
        <v>0.626</v>
      </c>
      <c r="K244" s="63"/>
      <c r="L244" s="62"/>
      <c r="M244" s="62" t="e">
        <v>#N/A</v>
      </c>
      <c r="N244" s="62"/>
      <c r="O244" s="62" t="str">
        <f t="shared" si="3"/>
        <v>MR02_MMCLA VXRail Spanish</v>
      </c>
      <c r="P244" s="62" t="s">
        <v>2187</v>
      </c>
      <c r="Q244" s="62" t="s">
        <v>896</v>
      </c>
      <c r="R244" s="62"/>
      <c r="S244" s="64"/>
      <c r="T244" s="62" t="s">
        <v>905</v>
      </c>
      <c r="U244" s="62">
        <v>13</v>
      </c>
      <c r="V244" s="65" t="s">
        <v>1886</v>
      </c>
      <c r="W244" s="65">
        <v>0</v>
      </c>
      <c r="X244" s="62"/>
      <c r="Y244" s="66" t="e">
        <v>#N/A</v>
      </c>
      <c r="Z244" s="62" t="e">
        <v>#N/A</v>
      </c>
      <c r="AA244" s="62"/>
      <c r="AB244" s="62" t="s">
        <v>779</v>
      </c>
      <c r="AC244" s="62" t="e">
        <v>#N/A</v>
      </c>
    </row>
    <row r="245" spans="1:29" ht="15" customHeight="1" outlineLevel="1" x14ac:dyDescent="0.3">
      <c r="A245" s="62" t="s">
        <v>130</v>
      </c>
      <c r="B245" s="62"/>
      <c r="C245" s="62" t="s">
        <v>892</v>
      </c>
      <c r="D245" s="62" t="s">
        <v>44</v>
      </c>
      <c r="E245" s="62" t="s">
        <v>130</v>
      </c>
      <c r="F245" s="62" t="s">
        <v>8</v>
      </c>
      <c r="G245" s="62" t="e">
        <v>#N/A</v>
      </c>
      <c r="H245" s="62" t="s">
        <v>893</v>
      </c>
      <c r="I245" s="62"/>
      <c r="J245" s="63">
        <v>0.64800000000000002</v>
      </c>
      <c r="K245" s="63"/>
      <c r="L245" s="62"/>
      <c r="M245" s="62" t="s">
        <v>895</v>
      </c>
      <c r="N245" s="62" t="s">
        <v>916</v>
      </c>
      <c r="O245" s="62" t="str">
        <f t="shared" si="3"/>
        <v>PowerProtect_</v>
      </c>
      <c r="P245" s="62" t="e">
        <v>#N/A</v>
      </c>
      <c r="Q245" s="62" t="s">
        <v>896</v>
      </c>
      <c r="R245" s="62">
        <v>14</v>
      </c>
      <c r="S245" s="64"/>
      <c r="T245" s="62" t="s">
        <v>905</v>
      </c>
      <c r="U245" s="62">
        <v>13</v>
      </c>
      <c r="V245" s="65" t="s">
        <v>1886</v>
      </c>
      <c r="W245" s="65">
        <v>0</v>
      </c>
      <c r="X245" s="62"/>
      <c r="Y245" s="66" t="e">
        <v>#N/A</v>
      </c>
      <c r="Z245" s="62" t="e">
        <v>#N/A</v>
      </c>
      <c r="AA245" s="62"/>
      <c r="AB245" s="62" t="e">
        <v>#N/A</v>
      </c>
      <c r="AC245" s="62" t="e">
        <v>#N/A</v>
      </c>
    </row>
    <row r="246" spans="1:29" s="32" customFormat="1" ht="15" customHeight="1" outlineLevel="1" x14ac:dyDescent="0.3">
      <c r="A246" s="62" t="s">
        <v>761</v>
      </c>
      <c r="B246" s="62" t="s">
        <v>762</v>
      </c>
      <c r="C246" s="62" t="s">
        <v>892</v>
      </c>
      <c r="D246" s="62"/>
      <c r="E246" s="62" t="s">
        <v>229</v>
      </c>
      <c r="F246" s="62" t="s">
        <v>8</v>
      </c>
      <c r="G246" s="62" t="e">
        <v>#N/A</v>
      </c>
      <c r="H246" s="62" t="s">
        <v>935</v>
      </c>
      <c r="I246" s="62" t="s">
        <v>1076</v>
      </c>
      <c r="J246" s="63">
        <v>0.626</v>
      </c>
      <c r="K246" s="63"/>
      <c r="L246" s="62"/>
      <c r="M246" s="62"/>
      <c r="N246" s="62"/>
      <c r="O246" s="62" t="str">
        <f t="shared" si="3"/>
        <v>RL14_MMCLA Midrange Storage VNX/e</v>
      </c>
      <c r="P246" s="62" t="s">
        <v>930</v>
      </c>
      <c r="Q246" s="62" t="s">
        <v>896</v>
      </c>
      <c r="R246" s="62"/>
      <c r="S246" s="64"/>
      <c r="T246" s="62" t="s">
        <v>905</v>
      </c>
      <c r="U246" s="62">
        <v>13</v>
      </c>
      <c r="V246" s="65" t="s">
        <v>1886</v>
      </c>
      <c r="W246" s="65">
        <v>0</v>
      </c>
      <c r="X246" s="62"/>
      <c r="Y246" s="66" t="e">
        <v>#N/A</v>
      </c>
      <c r="Z246" s="62" t="e">
        <v>#N/A</v>
      </c>
      <c r="AA246" s="62"/>
      <c r="AB246" s="62" t="s">
        <v>779</v>
      </c>
      <c r="AC246" s="62" t="e">
        <v>#N/A</v>
      </c>
    </row>
    <row r="247" spans="1:29" s="32" customFormat="1" ht="15" customHeight="1" outlineLevel="1" x14ac:dyDescent="0.3">
      <c r="A247" s="62" t="s">
        <v>262</v>
      </c>
      <c r="B247" s="62" t="s">
        <v>263</v>
      </c>
      <c r="C247" s="62" t="s">
        <v>892</v>
      </c>
      <c r="D247" s="62" t="s">
        <v>229</v>
      </c>
      <c r="E247" s="62" t="s">
        <v>229</v>
      </c>
      <c r="F247" s="62" t="s">
        <v>8</v>
      </c>
      <c r="G247" s="62" t="e">
        <v>#N/A</v>
      </c>
      <c r="H247" s="62" t="s">
        <v>893</v>
      </c>
      <c r="I247" s="62" t="e">
        <v>#N/A</v>
      </c>
      <c r="J247" s="63">
        <v>0.64800000000000002</v>
      </c>
      <c r="K247" s="63"/>
      <c r="L247" s="62"/>
      <c r="M247" s="62" t="s">
        <v>895</v>
      </c>
      <c r="N247" s="62"/>
      <c r="O247" s="62" t="str">
        <f t="shared" si="3"/>
        <v>VX01_NA Midrange Storage VNX/e</v>
      </c>
      <c r="P247" s="62" t="s">
        <v>930</v>
      </c>
      <c r="Q247" s="62" t="s">
        <v>896</v>
      </c>
      <c r="R247" s="62">
        <v>14</v>
      </c>
      <c r="S247" s="64"/>
      <c r="T247" s="62" t="s">
        <v>905</v>
      </c>
      <c r="U247" s="62">
        <v>13</v>
      </c>
      <c r="V247" s="65" t="s">
        <v>1886</v>
      </c>
      <c r="W247" s="65">
        <v>0</v>
      </c>
      <c r="X247" s="62"/>
      <c r="Y247" s="66" t="e">
        <v>#N/A</v>
      </c>
      <c r="Z247" s="62" t="e">
        <v>#N/A</v>
      </c>
      <c r="AA247" s="62"/>
      <c r="AB247" s="62" t="s">
        <v>2208</v>
      </c>
      <c r="AC247" s="62" t="e">
        <v>#N/A</v>
      </c>
    </row>
    <row r="248" spans="1:29" ht="15" customHeight="1" outlineLevel="1" x14ac:dyDescent="0.3">
      <c r="A248" s="62" t="s">
        <v>214</v>
      </c>
      <c r="B248" s="62" t="s">
        <v>215</v>
      </c>
      <c r="C248" s="62" t="s">
        <v>892</v>
      </c>
      <c r="D248" s="62" t="s">
        <v>158</v>
      </c>
      <c r="E248" s="62" t="s">
        <v>173</v>
      </c>
      <c r="F248" s="62" t="s">
        <v>8</v>
      </c>
      <c r="G248" s="62" t="e">
        <v>#N/A</v>
      </c>
      <c r="H248" s="62" t="s">
        <v>893</v>
      </c>
      <c r="I248" s="62" t="e">
        <v>#N/A</v>
      </c>
      <c r="J248" s="63">
        <v>0.64800000000000002</v>
      </c>
      <c r="K248" s="63"/>
      <c r="L248" s="62"/>
      <c r="M248" s="62" t="s">
        <v>895</v>
      </c>
      <c r="N248" s="62"/>
      <c r="O248" s="62" t="str">
        <f t="shared" si="3"/>
        <v>VX02_NA VX Rail Storage</v>
      </c>
      <c r="P248" s="62" t="s">
        <v>930</v>
      </c>
      <c r="Q248" s="62" t="s">
        <v>896</v>
      </c>
      <c r="R248" s="62">
        <v>14</v>
      </c>
      <c r="S248" s="64"/>
      <c r="T248" s="62" t="s">
        <v>905</v>
      </c>
      <c r="U248" s="62">
        <v>13</v>
      </c>
      <c r="V248" s="65" t="s">
        <v>1886</v>
      </c>
      <c r="W248" s="65">
        <v>0</v>
      </c>
      <c r="X248" s="62"/>
      <c r="Y248" s="66" t="e">
        <v>#N/A</v>
      </c>
      <c r="Z248" s="62" t="e">
        <v>#N/A</v>
      </c>
      <c r="AA248" s="62"/>
      <c r="AB248" s="62" t="s">
        <v>2208</v>
      </c>
      <c r="AC248" s="62" t="e">
        <v>#N/A</v>
      </c>
    </row>
    <row r="249" spans="1:29" ht="15" customHeight="1" outlineLevel="1" x14ac:dyDescent="0.3">
      <c r="A249" s="62" t="s">
        <v>216</v>
      </c>
      <c r="B249" s="62" t="s">
        <v>217</v>
      </c>
      <c r="C249" s="62" t="s">
        <v>892</v>
      </c>
      <c r="D249" s="62" t="s">
        <v>158</v>
      </c>
      <c r="E249" s="62" t="s">
        <v>173</v>
      </c>
      <c r="F249" s="62" t="s">
        <v>8</v>
      </c>
      <c r="G249" s="62" t="e">
        <v>#N/A</v>
      </c>
      <c r="H249" s="62" t="s">
        <v>893</v>
      </c>
      <c r="I249" s="62" t="e">
        <v>#N/A</v>
      </c>
      <c r="J249" s="63">
        <v>0.64800000000000002</v>
      </c>
      <c r="K249" s="63"/>
      <c r="L249" s="62"/>
      <c r="M249" s="62" t="s">
        <v>895</v>
      </c>
      <c r="N249" s="62"/>
      <c r="O249" s="62" t="str">
        <f t="shared" si="3"/>
        <v>VX03_VXRail</v>
      </c>
      <c r="P249" s="62" t="s">
        <v>930</v>
      </c>
      <c r="Q249" s="62" t="s">
        <v>896</v>
      </c>
      <c r="R249" s="62">
        <v>14</v>
      </c>
      <c r="S249" s="64"/>
      <c r="T249" s="62" t="s">
        <v>905</v>
      </c>
      <c r="U249" s="62">
        <v>13</v>
      </c>
      <c r="V249" s="65" t="s">
        <v>1886</v>
      </c>
      <c r="W249" s="65">
        <v>0</v>
      </c>
      <c r="X249" s="62"/>
      <c r="Y249" s="66" t="e">
        <v>#N/A</v>
      </c>
      <c r="Z249" s="62" t="e">
        <v>#N/A</v>
      </c>
      <c r="AA249" s="62"/>
      <c r="AB249" s="62" t="s">
        <v>2210</v>
      </c>
      <c r="AC249" s="62" t="e">
        <v>#N/A</v>
      </c>
    </row>
    <row r="250" spans="1:29" ht="15" customHeight="1" outlineLevel="1" x14ac:dyDescent="0.3">
      <c r="A250" s="62" t="s">
        <v>264</v>
      </c>
      <c r="B250" s="62" t="s">
        <v>265</v>
      </c>
      <c r="C250" s="62" t="s">
        <v>892</v>
      </c>
      <c r="D250" s="62" t="s">
        <v>229</v>
      </c>
      <c r="E250" s="62" t="s">
        <v>229</v>
      </c>
      <c r="F250" s="62" t="s">
        <v>8</v>
      </c>
      <c r="G250" s="62" t="e">
        <v>#N/A</v>
      </c>
      <c r="H250" s="62" t="s">
        <v>893</v>
      </c>
      <c r="I250" s="62" t="e">
        <v>#N/A</v>
      </c>
      <c r="J250" s="63">
        <v>0.64800000000000002</v>
      </c>
      <c r="K250" s="63"/>
      <c r="L250" s="62"/>
      <c r="M250" s="62" t="e">
        <v>#N/A</v>
      </c>
      <c r="N250" s="62"/>
      <c r="O250" s="62" t="str">
        <f t="shared" si="3"/>
        <v>VX04_Midrange Storage VNX/e</v>
      </c>
      <c r="P250" s="62" t="s">
        <v>2187</v>
      </c>
      <c r="Q250" s="62" t="s">
        <v>896</v>
      </c>
      <c r="R250" s="62"/>
      <c r="S250" s="64"/>
      <c r="T250" s="62" t="s">
        <v>905</v>
      </c>
      <c r="U250" s="62">
        <v>13</v>
      </c>
      <c r="V250" s="65" t="s">
        <v>1886</v>
      </c>
      <c r="W250" s="65">
        <v>0</v>
      </c>
      <c r="X250" s="62"/>
      <c r="Y250" s="66" t="e">
        <v>#N/A</v>
      </c>
      <c r="Z250" s="62" t="e">
        <v>#N/A</v>
      </c>
      <c r="AA250" s="62"/>
      <c r="AB250" s="62" t="s">
        <v>2210</v>
      </c>
      <c r="AC250" s="62" t="e">
        <v>#N/A</v>
      </c>
    </row>
    <row r="251" spans="1:29" ht="15" customHeight="1" outlineLevel="1" x14ac:dyDescent="0.3">
      <c r="A251" s="62" t="s">
        <v>222</v>
      </c>
      <c r="B251" s="62" t="s">
        <v>223</v>
      </c>
      <c r="C251" s="62" t="s">
        <v>928</v>
      </c>
      <c r="D251" s="62" t="s">
        <v>158</v>
      </c>
      <c r="E251" s="62" t="s">
        <v>221</v>
      </c>
      <c r="F251" s="62" t="s">
        <v>8</v>
      </c>
      <c r="G251" s="62" t="s">
        <v>2250</v>
      </c>
      <c r="H251" s="62" t="s">
        <v>929</v>
      </c>
      <c r="I251" s="62" t="s">
        <v>929</v>
      </c>
      <c r="J251" s="63">
        <v>0.63300000000000001</v>
      </c>
      <c r="K251" s="63">
        <v>1.8670169726832081E-2</v>
      </c>
      <c r="L251" s="62"/>
      <c r="M251" s="62" t="s">
        <v>895</v>
      </c>
      <c r="N251" s="62" t="s">
        <v>1882</v>
      </c>
      <c r="O251" s="62" t="str">
        <f t="shared" si="3"/>
        <v>CT29_HCS Global Vmware</v>
      </c>
      <c r="P251" s="62" t="s">
        <v>2177</v>
      </c>
      <c r="Q251" s="62" t="s">
        <v>1810</v>
      </c>
      <c r="R251" s="62">
        <v>14</v>
      </c>
      <c r="S251" s="64"/>
      <c r="T251" s="62" t="s">
        <v>905</v>
      </c>
      <c r="U251" s="62">
        <v>13</v>
      </c>
      <c r="V251" s="65" t="s">
        <v>1886</v>
      </c>
      <c r="W251" s="65">
        <v>0</v>
      </c>
      <c r="X251" s="62" t="str">
        <f>VLOOKUP(A251,'CQNs Merged_Split'!B:E,4,0)</f>
        <v>Global Solutions HCI DE</v>
      </c>
      <c r="Y251" s="66" t="s">
        <v>2042</v>
      </c>
      <c r="Z251" s="62" t="s">
        <v>1974</v>
      </c>
      <c r="AA251" s="62" t="str">
        <f>IFERROR("Queue Got Merged in "&amp;VLOOKUP(A251,'CQNs Merged_Split'!$B$7:$D$103,3,FALSE),"")</f>
        <v>Queue Got Merged in GS01</v>
      </c>
      <c r="AB251" s="62" t="s">
        <v>2208</v>
      </c>
      <c r="AC251" s="62" t="e">
        <v>#N/A</v>
      </c>
    </row>
    <row r="252" spans="1:29" s="32" customFormat="1" ht="15" customHeight="1" outlineLevel="1" x14ac:dyDescent="0.3">
      <c r="A252" s="62" t="s">
        <v>180</v>
      </c>
      <c r="B252" s="62" t="s">
        <v>1261</v>
      </c>
      <c r="C252" s="62" t="s">
        <v>928</v>
      </c>
      <c r="D252" s="62" t="s">
        <v>158</v>
      </c>
      <c r="E252" s="62" t="s">
        <v>173</v>
      </c>
      <c r="F252" s="62" t="s">
        <v>8</v>
      </c>
      <c r="G252" s="62" t="s">
        <v>2250</v>
      </c>
      <c r="H252" s="62" t="s">
        <v>912</v>
      </c>
      <c r="I252" s="62" t="s">
        <v>966</v>
      </c>
      <c r="J252" s="63">
        <v>0.61699999999999999</v>
      </c>
      <c r="K252" s="63">
        <v>3.8967379973253502E-2</v>
      </c>
      <c r="L252" s="62"/>
      <c r="M252" s="62" t="s">
        <v>992</v>
      </c>
      <c r="N252" s="62" t="s">
        <v>13</v>
      </c>
      <c r="O252" s="62" t="str">
        <f t="shared" si="3"/>
        <v>CT76_Global VxRail CTE</v>
      </c>
      <c r="P252" s="62" t="s">
        <v>2177</v>
      </c>
      <c r="Q252" s="62" t="s">
        <v>1810</v>
      </c>
      <c r="R252" s="62">
        <v>4</v>
      </c>
      <c r="S252" s="64"/>
      <c r="T252" s="62" t="s">
        <v>905</v>
      </c>
      <c r="U252" s="62">
        <v>13</v>
      </c>
      <c r="V252" s="65" t="s">
        <v>1886</v>
      </c>
      <c r="W252" s="65">
        <v>0</v>
      </c>
      <c r="X252" s="62"/>
      <c r="Y252" s="66" t="s">
        <v>1971</v>
      </c>
      <c r="Z252" s="62" t="s">
        <v>1972</v>
      </c>
      <c r="AA252" s="62"/>
      <c r="AB252" s="62" t="s">
        <v>2210</v>
      </c>
      <c r="AC252" s="62" t="e">
        <v>#N/A</v>
      </c>
    </row>
    <row r="253" spans="1:29" ht="15" customHeight="1" outlineLevel="1" x14ac:dyDescent="0.3">
      <c r="A253" s="62" t="s">
        <v>182</v>
      </c>
      <c r="B253" s="62" t="s">
        <v>183</v>
      </c>
      <c r="C253" s="62" t="s">
        <v>928</v>
      </c>
      <c r="D253" s="62" t="s">
        <v>158</v>
      </c>
      <c r="E253" s="62" t="s">
        <v>173</v>
      </c>
      <c r="F253" s="62" t="s">
        <v>8</v>
      </c>
      <c r="G253" s="62" t="s">
        <v>2250</v>
      </c>
      <c r="H253" s="62" t="s">
        <v>929</v>
      </c>
      <c r="I253" s="62" t="s">
        <v>909</v>
      </c>
      <c r="J253" s="63">
        <v>0.63300000000000001</v>
      </c>
      <c r="K253" s="63">
        <v>1.8670169726832081E-2</v>
      </c>
      <c r="L253" s="62"/>
      <c r="M253" s="62" t="s">
        <v>922</v>
      </c>
      <c r="N253" s="62" t="s">
        <v>1882</v>
      </c>
      <c r="O253" s="62" t="str">
        <f t="shared" si="3"/>
        <v>EG13_HCS Global Cloud Solutions</v>
      </c>
      <c r="P253" s="62" t="s">
        <v>2187</v>
      </c>
      <c r="Q253" s="62" t="s">
        <v>1810</v>
      </c>
      <c r="R253" s="62">
        <v>24</v>
      </c>
      <c r="S253" s="64"/>
      <c r="T253" s="62" t="s">
        <v>905</v>
      </c>
      <c r="U253" s="62">
        <v>13</v>
      </c>
      <c r="V253" s="65" t="s">
        <v>1886</v>
      </c>
      <c r="W253" s="65">
        <v>0</v>
      </c>
      <c r="X253" s="62" t="str">
        <f>VLOOKUP(A253,'CQNs Merged_Split'!B:E,4,0)</f>
        <v>Global Solutions HCI DE</v>
      </c>
      <c r="Y253" s="66" t="s">
        <v>1971</v>
      </c>
      <c r="Z253" s="62" t="s">
        <v>1972</v>
      </c>
      <c r="AA253" s="62" t="str">
        <f>IFERROR("Queue Got Merged in "&amp;VLOOKUP(A253,'CQNs Merged_Split'!$B$7:$D$103,3,FALSE),"")</f>
        <v>Queue Got Merged in GS01</v>
      </c>
      <c r="AB253" s="62" t="s">
        <v>2210</v>
      </c>
      <c r="AC253" s="62" t="e">
        <v>#N/A</v>
      </c>
    </row>
    <row r="254" spans="1:29" ht="15" customHeight="1" outlineLevel="1" x14ac:dyDescent="0.3">
      <c r="A254" s="62" t="s">
        <v>184</v>
      </c>
      <c r="B254" s="62" t="s">
        <v>185</v>
      </c>
      <c r="C254" s="62" t="s">
        <v>928</v>
      </c>
      <c r="D254" s="62" t="s">
        <v>158</v>
      </c>
      <c r="E254" s="62" t="s">
        <v>173</v>
      </c>
      <c r="F254" s="62" t="s">
        <v>8</v>
      </c>
      <c r="G254" s="62" t="s">
        <v>2250</v>
      </c>
      <c r="H254" s="62" t="s">
        <v>929</v>
      </c>
      <c r="I254" s="62" t="s">
        <v>904</v>
      </c>
      <c r="J254" s="63">
        <v>0.63300000000000001</v>
      </c>
      <c r="K254" s="63">
        <v>1.8670169726832081E-2</v>
      </c>
      <c r="L254" s="62"/>
      <c r="M254" s="62" t="s">
        <v>922</v>
      </c>
      <c r="N254" s="62" t="s">
        <v>1882</v>
      </c>
      <c r="O254" s="62" t="str">
        <f t="shared" si="3"/>
        <v>GH13_HCS Global VxRail</v>
      </c>
      <c r="P254" s="62" t="s">
        <v>930</v>
      </c>
      <c r="Q254" s="62" t="s">
        <v>1810</v>
      </c>
      <c r="R254" s="62">
        <v>24</v>
      </c>
      <c r="S254" s="64"/>
      <c r="T254" s="62" t="s">
        <v>905</v>
      </c>
      <c r="U254" s="62">
        <v>13</v>
      </c>
      <c r="V254" s="65" t="s">
        <v>1886</v>
      </c>
      <c r="W254" s="65">
        <v>0</v>
      </c>
      <c r="X254" s="62"/>
      <c r="Y254" s="66" t="s">
        <v>1971</v>
      </c>
      <c r="Z254" s="62" t="s">
        <v>1972</v>
      </c>
      <c r="AA254" s="62"/>
      <c r="AB254" s="62" t="s">
        <v>2208</v>
      </c>
      <c r="AC254" s="62" t="e">
        <v>#N/A</v>
      </c>
    </row>
    <row r="255" spans="1:29" ht="15" customHeight="1" outlineLevel="1" x14ac:dyDescent="0.3">
      <c r="A255" s="62" t="s">
        <v>225</v>
      </c>
      <c r="B255" s="62" t="s">
        <v>226</v>
      </c>
      <c r="C255" s="62" t="s">
        <v>928</v>
      </c>
      <c r="D255" s="62" t="s">
        <v>158</v>
      </c>
      <c r="E255" s="62" t="s">
        <v>224</v>
      </c>
      <c r="F255" s="62" t="s">
        <v>8</v>
      </c>
      <c r="G255" s="62" t="s">
        <v>2250</v>
      </c>
      <c r="H255" s="62" t="s">
        <v>929</v>
      </c>
      <c r="I255" s="62" t="s">
        <v>904</v>
      </c>
      <c r="J255" s="63">
        <v>0.63300000000000001</v>
      </c>
      <c r="K255" s="63">
        <v>1.8670169726832081E-2</v>
      </c>
      <c r="L255" s="62"/>
      <c r="M255" s="62" t="s">
        <v>922</v>
      </c>
      <c r="N255" s="62" t="s">
        <v>1882</v>
      </c>
      <c r="O255" s="62" t="str">
        <f t="shared" si="3"/>
        <v>GH15_HCS Global Solutions</v>
      </c>
      <c r="P255" s="62" t="s">
        <v>930</v>
      </c>
      <c r="Q255" s="62" t="s">
        <v>1810</v>
      </c>
      <c r="R255" s="62">
        <v>24</v>
      </c>
      <c r="S255" s="64"/>
      <c r="T255" s="62" t="s">
        <v>905</v>
      </c>
      <c r="U255" s="62">
        <v>13</v>
      </c>
      <c r="V255" s="65" t="s">
        <v>1886</v>
      </c>
      <c r="W255" s="65">
        <v>0</v>
      </c>
      <c r="X255" s="62" t="str">
        <f>VLOOKUP(A255,'CQNs Merged_Split'!B:E,4,0)</f>
        <v>Global Solutions MS DE</v>
      </c>
      <c r="Y255" s="66" t="s">
        <v>1971</v>
      </c>
      <c r="Z255" s="62" t="s">
        <v>1972</v>
      </c>
      <c r="AA255" s="62" t="str">
        <f>IFERROR("Queue Got Merged in "&amp;VLOOKUP(A255,'CQNs Merged_Split'!$B$7:$D$103,3,FALSE),"")</f>
        <v>Queue Got Merged in GS02</v>
      </c>
      <c r="AB255" s="62" t="s">
        <v>2208</v>
      </c>
      <c r="AC255" s="62" t="e">
        <v>#N/A</v>
      </c>
    </row>
    <row r="256" spans="1:29" ht="15" customHeight="1" outlineLevel="1" x14ac:dyDescent="0.3">
      <c r="A256" s="62" t="s">
        <v>200</v>
      </c>
      <c r="B256" s="62" t="s">
        <v>201</v>
      </c>
      <c r="C256" s="62" t="s">
        <v>914</v>
      </c>
      <c r="D256" s="62" t="s">
        <v>158</v>
      </c>
      <c r="E256" s="62" t="s">
        <v>173</v>
      </c>
      <c r="F256" s="62" t="s">
        <v>8</v>
      </c>
      <c r="G256" s="62" t="s">
        <v>2249</v>
      </c>
      <c r="H256" s="62" t="s">
        <v>903</v>
      </c>
      <c r="I256" s="62" t="s">
        <v>904</v>
      </c>
      <c r="J256" s="63">
        <v>0.629</v>
      </c>
      <c r="K256" s="63">
        <v>2.278539874447803E-2</v>
      </c>
      <c r="L256" s="62"/>
      <c r="M256" s="62" t="s">
        <v>1072</v>
      </c>
      <c r="N256" s="62" t="s">
        <v>916</v>
      </c>
      <c r="O256" s="62" t="str">
        <f t="shared" si="3"/>
        <v>IS20_HCS APJ VxRail</v>
      </c>
      <c r="P256" s="62" t="s">
        <v>930</v>
      </c>
      <c r="Q256" s="62" t="s">
        <v>1810</v>
      </c>
      <c r="R256" s="62">
        <v>16</v>
      </c>
      <c r="S256" s="64"/>
      <c r="T256" s="62" t="s">
        <v>905</v>
      </c>
      <c r="U256" s="62">
        <v>13</v>
      </c>
      <c r="V256" s="65" t="s">
        <v>1886</v>
      </c>
      <c r="W256" s="65">
        <v>0</v>
      </c>
      <c r="X256" s="62"/>
      <c r="Y256" s="66" t="s">
        <v>2018</v>
      </c>
      <c r="Z256" s="62" t="s">
        <v>1972</v>
      </c>
      <c r="AA256" s="62"/>
      <c r="AB256" s="62" t="s">
        <v>2210</v>
      </c>
      <c r="AC256" s="62" t="e">
        <v>#N/A</v>
      </c>
    </row>
    <row r="257" spans="1:29" ht="15" customHeight="1" outlineLevel="1" x14ac:dyDescent="0.3">
      <c r="A257" s="62" t="s">
        <v>202</v>
      </c>
      <c r="B257" s="62" t="s">
        <v>203</v>
      </c>
      <c r="C257" s="62" t="s">
        <v>928</v>
      </c>
      <c r="D257" s="62" t="s">
        <v>158</v>
      </c>
      <c r="E257" s="62" t="s">
        <v>173</v>
      </c>
      <c r="F257" s="62" t="s">
        <v>8</v>
      </c>
      <c r="G257" s="62" t="s">
        <v>2249</v>
      </c>
      <c r="H257" s="62" t="s">
        <v>912</v>
      </c>
      <c r="I257" s="62" t="s">
        <v>966</v>
      </c>
      <c r="J257" s="63">
        <v>0.61699999999999999</v>
      </c>
      <c r="K257" s="63">
        <v>0.05</v>
      </c>
      <c r="L257" s="62"/>
      <c r="M257" s="62" t="s">
        <v>922</v>
      </c>
      <c r="N257" s="62" t="s">
        <v>916</v>
      </c>
      <c r="O257" s="62" t="str">
        <f t="shared" ref="O257:O320" si="4">A257&amp;"_"&amp;B257</f>
        <v>IS47_HCS EMEA VxRail</v>
      </c>
      <c r="P257" s="62" t="s">
        <v>930</v>
      </c>
      <c r="Q257" s="62" t="s">
        <v>1810</v>
      </c>
      <c r="R257" s="62">
        <v>24</v>
      </c>
      <c r="S257" s="64"/>
      <c r="T257" s="62" t="s">
        <v>905</v>
      </c>
      <c r="U257" s="62">
        <v>13</v>
      </c>
      <c r="V257" s="65" t="s">
        <v>1886</v>
      </c>
      <c r="W257" s="65">
        <v>0</v>
      </c>
      <c r="X257" s="62"/>
      <c r="Y257" s="66" t="s">
        <v>1976</v>
      </c>
      <c r="Z257" s="62" t="s">
        <v>1972</v>
      </c>
      <c r="AA257" s="62"/>
      <c r="AB257" s="62" t="s">
        <v>2210</v>
      </c>
      <c r="AC257" s="62" t="e">
        <v>#N/A</v>
      </c>
    </row>
    <row r="258" spans="1:29" ht="15" customHeight="1" outlineLevel="1" x14ac:dyDescent="0.3">
      <c r="A258" s="62" t="s">
        <v>208</v>
      </c>
      <c r="B258" s="62" t="s">
        <v>209</v>
      </c>
      <c r="C258" s="62" t="s">
        <v>928</v>
      </c>
      <c r="D258" s="62" t="s">
        <v>158</v>
      </c>
      <c r="E258" s="62" t="s">
        <v>173</v>
      </c>
      <c r="F258" s="62" t="s">
        <v>8</v>
      </c>
      <c r="G258" s="62" t="s">
        <v>2249</v>
      </c>
      <c r="H258" s="62" t="s">
        <v>893</v>
      </c>
      <c r="I258" s="62" t="s">
        <v>1070</v>
      </c>
      <c r="J258" s="63">
        <v>0.64800000000000002</v>
      </c>
      <c r="K258" s="63">
        <v>2.0372233400402416E-2</v>
      </c>
      <c r="L258" s="62"/>
      <c r="M258" s="62" t="s">
        <v>895</v>
      </c>
      <c r="N258" s="62" t="s">
        <v>916</v>
      </c>
      <c r="O258" s="62" t="str">
        <f t="shared" si="4"/>
        <v>IU29_HCS NAMER VxRail</v>
      </c>
      <c r="P258" s="62" t="s">
        <v>930</v>
      </c>
      <c r="Q258" s="62" t="s">
        <v>1810</v>
      </c>
      <c r="R258" s="62">
        <v>14</v>
      </c>
      <c r="S258" s="64"/>
      <c r="T258" s="62" t="s">
        <v>905</v>
      </c>
      <c r="U258" s="62">
        <v>13</v>
      </c>
      <c r="V258" s="65" t="s">
        <v>1886</v>
      </c>
      <c r="W258" s="65">
        <v>0</v>
      </c>
      <c r="X258" s="62"/>
      <c r="Y258" s="66" t="s">
        <v>2017</v>
      </c>
      <c r="Z258" s="62" t="s">
        <v>1974</v>
      </c>
      <c r="AA258" s="62"/>
      <c r="AB258" s="62" t="s">
        <v>2208</v>
      </c>
      <c r="AC258" s="62" t="e">
        <v>#N/A</v>
      </c>
    </row>
    <row r="259" spans="1:29" ht="15" customHeight="1" outlineLevel="1" x14ac:dyDescent="0.3">
      <c r="A259" s="62" t="s">
        <v>210</v>
      </c>
      <c r="B259" s="62" t="s">
        <v>211</v>
      </c>
      <c r="C259" s="62" t="s">
        <v>914</v>
      </c>
      <c r="D259" s="62" t="s">
        <v>158</v>
      </c>
      <c r="E259" s="62" t="s">
        <v>173</v>
      </c>
      <c r="F259" s="62" t="s">
        <v>8</v>
      </c>
      <c r="G259" s="62" t="s">
        <v>2249</v>
      </c>
      <c r="H259" s="62" t="s">
        <v>903</v>
      </c>
      <c r="I259" s="62" t="s">
        <v>906</v>
      </c>
      <c r="J259" s="63">
        <v>0.629</v>
      </c>
      <c r="K259" s="63">
        <v>0.05</v>
      </c>
      <c r="L259" s="62"/>
      <c r="M259" s="62" t="s">
        <v>915</v>
      </c>
      <c r="N259" s="62" t="s">
        <v>916</v>
      </c>
      <c r="O259" s="62" t="str">
        <f t="shared" si="4"/>
        <v>IV03_HCS APJ VxRail English NAMER AOH</v>
      </c>
      <c r="P259" s="62" t="s">
        <v>930</v>
      </c>
      <c r="Q259" s="62" t="s">
        <v>1810</v>
      </c>
      <c r="R259" s="62">
        <v>9</v>
      </c>
      <c r="S259" s="64"/>
      <c r="T259" s="62" t="s">
        <v>905</v>
      </c>
      <c r="U259" s="62">
        <v>13</v>
      </c>
      <c r="V259" s="65" t="s">
        <v>1886</v>
      </c>
      <c r="W259" s="65">
        <v>0</v>
      </c>
      <c r="X259" s="62"/>
      <c r="Y259" s="66" t="s">
        <v>2019</v>
      </c>
      <c r="Z259" s="62" t="s">
        <v>1974</v>
      </c>
      <c r="AA259" s="62"/>
      <c r="AB259" s="62" t="s">
        <v>2208</v>
      </c>
      <c r="AC259" s="62" t="e">
        <v>#N/A</v>
      </c>
    </row>
    <row r="260" spans="1:29" s="32" customFormat="1" ht="15" customHeight="1" outlineLevel="1" x14ac:dyDescent="0.3">
      <c r="A260" s="62" t="s">
        <v>808</v>
      </c>
      <c r="B260" s="62" t="s">
        <v>809</v>
      </c>
      <c r="C260" s="62" t="s">
        <v>892</v>
      </c>
      <c r="D260" s="62"/>
      <c r="E260" s="62"/>
      <c r="F260" s="62" t="s">
        <v>8</v>
      </c>
      <c r="G260" s="62" t="s">
        <v>2249</v>
      </c>
      <c r="H260" s="62" t="s">
        <v>903</v>
      </c>
      <c r="I260" s="62" t="s">
        <v>909</v>
      </c>
      <c r="J260" s="63">
        <v>0.629</v>
      </c>
      <c r="K260" s="63"/>
      <c r="L260" s="62"/>
      <c r="M260" s="62"/>
      <c r="N260" s="62"/>
      <c r="O260" s="62" t="str">
        <f t="shared" si="4"/>
        <v>CM04_CCC HES VXRail Hyperconverged</v>
      </c>
      <c r="P260" s="62" t="s">
        <v>930</v>
      </c>
      <c r="Q260" s="62" t="s">
        <v>917</v>
      </c>
      <c r="R260" s="62"/>
      <c r="S260" s="64"/>
      <c r="T260" s="62" t="s">
        <v>905</v>
      </c>
      <c r="U260" s="62"/>
      <c r="V260" s="65" t="s">
        <v>1886</v>
      </c>
      <c r="W260" s="65">
        <v>0</v>
      </c>
      <c r="X260" s="62"/>
      <c r="Y260" s="66" t="e">
        <v>#N/A</v>
      </c>
      <c r="Z260" s="62" t="e">
        <v>#N/A</v>
      </c>
      <c r="AA260" s="62"/>
      <c r="AB260" s="62" t="s">
        <v>2211</v>
      </c>
      <c r="AC260" s="62" t="e">
        <v>#N/A</v>
      </c>
    </row>
    <row r="261" spans="1:29" ht="15" customHeight="1" outlineLevel="1" x14ac:dyDescent="0.3">
      <c r="A261" s="62" t="s">
        <v>382</v>
      </c>
      <c r="B261" s="62" t="s">
        <v>383</v>
      </c>
      <c r="C261" s="62" t="s">
        <v>892</v>
      </c>
      <c r="D261" s="62" t="s">
        <v>301</v>
      </c>
      <c r="E261" s="62" t="s">
        <v>357</v>
      </c>
      <c r="F261" s="62" t="s">
        <v>8</v>
      </c>
      <c r="G261" s="62" t="s">
        <v>2249</v>
      </c>
      <c r="H261" s="62" t="s">
        <v>935</v>
      </c>
      <c r="I261" s="62" t="s">
        <v>1069</v>
      </c>
      <c r="J261" s="63">
        <v>0.626</v>
      </c>
      <c r="K261" s="63">
        <v>1.5604681404421327E-2</v>
      </c>
      <c r="L261" s="62"/>
      <c r="M261" s="62" t="s">
        <v>1046</v>
      </c>
      <c r="N261" s="62" t="s">
        <v>916</v>
      </c>
      <c r="O261" s="62" t="str">
        <f t="shared" si="4"/>
        <v>IU13_LATAM HES Symmetrix</v>
      </c>
      <c r="P261" s="62" t="s">
        <v>930</v>
      </c>
      <c r="Q261" s="62" t="s">
        <v>937</v>
      </c>
      <c r="R261" s="62">
        <v>14</v>
      </c>
      <c r="S261" s="64"/>
      <c r="T261" s="62" t="s">
        <v>905</v>
      </c>
      <c r="U261" s="62">
        <v>13</v>
      </c>
      <c r="V261" s="65" t="s">
        <v>1886</v>
      </c>
      <c r="W261" s="65">
        <v>0</v>
      </c>
      <c r="X261" s="62"/>
      <c r="Y261" s="66" t="s">
        <v>2015</v>
      </c>
      <c r="Z261" s="62" t="s">
        <v>1986</v>
      </c>
      <c r="AA261" s="62"/>
      <c r="AB261" s="62" t="s">
        <v>2210</v>
      </c>
      <c r="AC261" s="62" t="e">
        <v>#N/A</v>
      </c>
    </row>
    <row r="262" spans="1:29" ht="15" customHeight="1" outlineLevel="1" x14ac:dyDescent="0.3">
      <c r="A262" s="62" t="s">
        <v>258</v>
      </c>
      <c r="B262" s="62" t="s">
        <v>259</v>
      </c>
      <c r="C262" s="62" t="s">
        <v>892</v>
      </c>
      <c r="D262" s="62" t="s">
        <v>229</v>
      </c>
      <c r="E262" s="62" t="s">
        <v>229</v>
      </c>
      <c r="F262" s="62" t="s">
        <v>8</v>
      </c>
      <c r="G262" s="62" t="s">
        <v>2249</v>
      </c>
      <c r="H262" s="62" t="s">
        <v>935</v>
      </c>
      <c r="I262" s="62" t="s">
        <v>1069</v>
      </c>
      <c r="J262" s="63">
        <v>0.626</v>
      </c>
      <c r="K262" s="63">
        <v>1.5604681404421327E-2</v>
      </c>
      <c r="L262" s="62"/>
      <c r="M262" s="62">
        <v>0</v>
      </c>
      <c r="N262" s="62" t="s">
        <v>916</v>
      </c>
      <c r="O262" s="62" t="str">
        <f t="shared" si="4"/>
        <v>IU16_LATAM HES MIDRANGE</v>
      </c>
      <c r="P262" s="62" t="s">
        <v>930</v>
      </c>
      <c r="Q262" s="62" t="s">
        <v>937</v>
      </c>
      <c r="R262" s="62">
        <v>0</v>
      </c>
      <c r="S262" s="64"/>
      <c r="T262" s="62" t="s">
        <v>905</v>
      </c>
      <c r="U262" s="62">
        <v>13</v>
      </c>
      <c r="V262" s="65" t="s">
        <v>1886</v>
      </c>
      <c r="W262" s="65">
        <v>0</v>
      </c>
      <c r="X262" s="62"/>
      <c r="Y262" s="66" t="s">
        <v>2016</v>
      </c>
      <c r="Z262" s="62" t="s">
        <v>1974</v>
      </c>
      <c r="AA262" s="62"/>
      <c r="AB262" s="62" t="s">
        <v>2210</v>
      </c>
      <c r="AC262" s="62" t="e">
        <v>#N/A</v>
      </c>
    </row>
    <row r="263" spans="1:29" ht="15" customHeight="1" outlineLevel="1" x14ac:dyDescent="0.3">
      <c r="A263" s="62" t="s">
        <v>67</v>
      </c>
      <c r="B263" s="62" t="s">
        <v>68</v>
      </c>
      <c r="C263" s="62" t="s">
        <v>892</v>
      </c>
      <c r="D263" s="62" t="s">
        <v>44</v>
      </c>
      <c r="E263" s="62" t="s">
        <v>66</v>
      </c>
      <c r="F263" s="62" t="s">
        <v>8</v>
      </c>
      <c r="G263" s="62" t="s">
        <v>2250</v>
      </c>
      <c r="H263" s="62" t="s">
        <v>929</v>
      </c>
      <c r="I263" s="62" t="s">
        <v>1045</v>
      </c>
      <c r="J263" s="63">
        <v>0.63300000000000001</v>
      </c>
      <c r="K263" s="63">
        <v>1.8670169726832081E-2</v>
      </c>
      <c r="L263" s="62"/>
      <c r="M263" s="62">
        <v>0</v>
      </c>
      <c r="N263" s="62" t="s">
        <v>916</v>
      </c>
      <c r="O263" s="62" t="str">
        <f t="shared" si="4"/>
        <v>GH02_GLOBAL DPD Cloudboost</v>
      </c>
      <c r="P263" s="62" t="s">
        <v>930</v>
      </c>
      <c r="Q263" s="62" t="s">
        <v>1884</v>
      </c>
      <c r="R263" s="62">
        <v>0</v>
      </c>
      <c r="S263" s="64"/>
      <c r="T263" s="62" t="s">
        <v>905</v>
      </c>
      <c r="U263" s="62">
        <v>13</v>
      </c>
      <c r="V263" s="65" t="s">
        <v>1886</v>
      </c>
      <c r="W263" s="65">
        <v>0</v>
      </c>
      <c r="X263" s="62"/>
      <c r="Y263" s="66" t="e">
        <v>#N/A</v>
      </c>
      <c r="Z263" s="62" t="e">
        <v>#N/A</v>
      </c>
      <c r="AA263" s="62"/>
      <c r="AB263" s="62" t="s">
        <v>2208</v>
      </c>
      <c r="AC263" s="62" t="e">
        <v>#N/A</v>
      </c>
    </row>
    <row r="264" spans="1:29" ht="15" customHeight="1" outlineLevel="1" x14ac:dyDescent="0.3">
      <c r="A264" s="62" t="s">
        <v>143</v>
      </c>
      <c r="B264" s="62" t="s">
        <v>144</v>
      </c>
      <c r="C264" s="62" t="s">
        <v>1044</v>
      </c>
      <c r="D264" s="62" t="s">
        <v>44</v>
      </c>
      <c r="E264" s="62" t="s">
        <v>142</v>
      </c>
      <c r="F264" s="62" t="s">
        <v>8</v>
      </c>
      <c r="G264" s="62" t="s">
        <v>2250</v>
      </c>
      <c r="H264" s="62" t="s">
        <v>929</v>
      </c>
      <c r="I264" s="62" t="s">
        <v>904</v>
      </c>
      <c r="J264" s="63">
        <v>0.63300000000000001</v>
      </c>
      <c r="K264" s="63">
        <v>1.8670169726832081E-2</v>
      </c>
      <c r="L264" s="62"/>
      <c r="M264" s="62" t="s">
        <v>924</v>
      </c>
      <c r="N264" s="62" t="s">
        <v>1882</v>
      </c>
      <c r="O264" s="62" t="str">
        <f t="shared" si="4"/>
        <v>GH12_GLOBAL DPD SOURCEONE</v>
      </c>
      <c r="P264" s="62" t="s">
        <v>930</v>
      </c>
      <c r="Q264" s="62" t="s">
        <v>1884</v>
      </c>
      <c r="R264" s="62">
        <v>12</v>
      </c>
      <c r="S264" s="64"/>
      <c r="T264" s="62" t="s">
        <v>905</v>
      </c>
      <c r="U264" s="62">
        <v>13</v>
      </c>
      <c r="V264" s="65" t="s">
        <v>1886</v>
      </c>
      <c r="W264" s="65">
        <v>0</v>
      </c>
      <c r="X264" s="62"/>
      <c r="Y264" s="66" t="s">
        <v>1971</v>
      </c>
      <c r="Z264" s="62" t="s">
        <v>1972</v>
      </c>
      <c r="AA264" s="62"/>
      <c r="AB264" s="62" t="s">
        <v>2208</v>
      </c>
      <c r="AC264" s="62" t="e">
        <v>#N/A</v>
      </c>
    </row>
    <row r="265" spans="1:29" ht="15" customHeight="1" outlineLevel="1" x14ac:dyDescent="0.3">
      <c r="A265" s="62" t="s">
        <v>107</v>
      </c>
      <c r="B265" s="62" t="s">
        <v>108</v>
      </c>
      <c r="C265" s="62" t="s">
        <v>892</v>
      </c>
      <c r="D265" s="62" t="s">
        <v>44</v>
      </c>
      <c r="E265" s="62" t="s">
        <v>102</v>
      </c>
      <c r="F265" s="62" t="s">
        <v>8</v>
      </c>
      <c r="G265" s="62" t="s">
        <v>2249</v>
      </c>
      <c r="H265" s="62" t="s">
        <v>903</v>
      </c>
      <c r="I265" s="62" t="s">
        <v>904</v>
      </c>
      <c r="J265" s="63">
        <v>0.629</v>
      </c>
      <c r="K265" s="63">
        <v>2.278539874447803E-2</v>
      </c>
      <c r="L265" s="62"/>
      <c r="M265" s="62" t="s">
        <v>923</v>
      </c>
      <c r="N265" s="62" t="s">
        <v>916</v>
      </c>
      <c r="O265" s="62" t="str">
        <f t="shared" si="4"/>
        <v>IS19_APJ DPD DPSolutions</v>
      </c>
      <c r="P265" s="62" t="s">
        <v>930</v>
      </c>
      <c r="Q265" s="62" t="s">
        <v>1884</v>
      </c>
      <c r="R265" s="62">
        <v>11</v>
      </c>
      <c r="S265" s="64"/>
      <c r="T265" s="62" t="s">
        <v>905</v>
      </c>
      <c r="U265" s="62">
        <v>13</v>
      </c>
      <c r="V265" s="65" t="s">
        <v>1886</v>
      </c>
      <c r="W265" s="65">
        <v>0</v>
      </c>
      <c r="X265" s="62"/>
      <c r="Y265" s="66" t="e">
        <v>#N/A</v>
      </c>
      <c r="Z265" s="62" t="e">
        <v>#N/A</v>
      </c>
      <c r="AA265" s="62"/>
      <c r="AB265" s="62" t="s">
        <v>2210</v>
      </c>
      <c r="AC265" s="62" t="e">
        <v>#N/A</v>
      </c>
    </row>
    <row r="266" spans="1:29" ht="15" customHeight="1" outlineLevel="1" x14ac:dyDescent="0.3">
      <c r="A266" s="62" t="s">
        <v>698</v>
      </c>
      <c r="B266" s="62" t="s">
        <v>1916</v>
      </c>
      <c r="C266" s="62" t="s">
        <v>892</v>
      </c>
      <c r="D266" s="62" t="s">
        <v>672</v>
      </c>
      <c r="E266" s="62" t="s">
        <v>2203</v>
      </c>
      <c r="F266" s="62" t="s">
        <v>8</v>
      </c>
      <c r="G266" s="62" t="s">
        <v>2249</v>
      </c>
      <c r="H266" s="62" t="s">
        <v>935</v>
      </c>
      <c r="I266" s="62" t="s">
        <v>1069</v>
      </c>
      <c r="J266" s="63">
        <v>0.626</v>
      </c>
      <c r="K266" s="63">
        <v>1.5604681404421327E-2</v>
      </c>
      <c r="L266" s="62"/>
      <c r="M266" s="62" t="s">
        <v>1014</v>
      </c>
      <c r="N266" s="62" t="s">
        <v>916</v>
      </c>
      <c r="O266" s="62" t="str">
        <f t="shared" si="4"/>
        <v>IS04_LATAM UDS PowerScale</v>
      </c>
      <c r="P266" s="62" t="s">
        <v>930</v>
      </c>
      <c r="Q266" s="62" t="s">
        <v>1885</v>
      </c>
      <c r="R266" s="62">
        <v>4</v>
      </c>
      <c r="S266" s="64"/>
      <c r="T266" s="62" t="s">
        <v>905</v>
      </c>
      <c r="U266" s="62">
        <v>13</v>
      </c>
      <c r="V266" s="65" t="s">
        <v>1886</v>
      </c>
      <c r="W266" s="65">
        <v>0</v>
      </c>
      <c r="X266" s="62"/>
      <c r="Y266" s="66" t="s">
        <v>2012</v>
      </c>
      <c r="Z266" s="62" t="s">
        <v>1986</v>
      </c>
      <c r="AA266" s="62"/>
      <c r="AB266" s="62" t="s">
        <v>2210</v>
      </c>
      <c r="AC266" s="62" t="e">
        <v>#N/A</v>
      </c>
    </row>
    <row r="267" spans="1:29" ht="15" customHeight="1" outlineLevel="1" x14ac:dyDescent="0.3">
      <c r="A267" s="62" t="s">
        <v>713</v>
      </c>
      <c r="B267" s="62" t="s">
        <v>714</v>
      </c>
      <c r="C267" s="62" t="s">
        <v>892</v>
      </c>
      <c r="D267" s="62" t="s">
        <v>672</v>
      </c>
      <c r="E267" s="62" t="s">
        <v>702</v>
      </c>
      <c r="F267" s="62" t="s">
        <v>8</v>
      </c>
      <c r="G267" s="62" t="s">
        <v>2249</v>
      </c>
      <c r="H267" s="62" t="s">
        <v>935</v>
      </c>
      <c r="I267" s="62" t="s">
        <v>936</v>
      </c>
      <c r="J267" s="63">
        <v>0.57099999999999995</v>
      </c>
      <c r="K267" s="63">
        <v>1.5604681404421327E-2</v>
      </c>
      <c r="L267" s="62"/>
      <c r="M267" s="62">
        <v>0</v>
      </c>
      <c r="N267" s="62" t="s">
        <v>916</v>
      </c>
      <c r="O267" s="62" t="str">
        <f t="shared" si="4"/>
        <v>IS51_LATAM UDS OBJ</v>
      </c>
      <c r="P267" s="62" t="s">
        <v>930</v>
      </c>
      <c r="Q267" s="62" t="s">
        <v>1885</v>
      </c>
      <c r="R267" s="62">
        <v>0</v>
      </c>
      <c r="S267" s="64"/>
      <c r="T267" s="62" t="s">
        <v>905</v>
      </c>
      <c r="U267" s="62">
        <v>13</v>
      </c>
      <c r="V267" s="65" t="s">
        <v>1886</v>
      </c>
      <c r="W267" s="65">
        <v>0</v>
      </c>
      <c r="X267" s="62"/>
      <c r="Y267" s="66" t="s">
        <v>2013</v>
      </c>
      <c r="Z267" s="62" t="s">
        <v>1986</v>
      </c>
      <c r="AA267" s="62"/>
      <c r="AB267" s="62" t="s">
        <v>2210</v>
      </c>
      <c r="AC267" s="62" t="e">
        <v>#N/A</v>
      </c>
    </row>
    <row r="268" spans="1:29" ht="15" customHeight="1" outlineLevel="1" x14ac:dyDescent="0.3">
      <c r="A268" s="62" t="s">
        <v>62</v>
      </c>
      <c r="B268" s="62" t="s">
        <v>63</v>
      </c>
      <c r="C268" s="62" t="s">
        <v>892</v>
      </c>
      <c r="D268" s="62" t="s">
        <v>44</v>
      </c>
      <c r="E268" s="62" t="s">
        <v>45</v>
      </c>
      <c r="F268" s="62" t="s">
        <v>8</v>
      </c>
      <c r="G268" s="62" t="s">
        <v>2249</v>
      </c>
      <c r="H268" s="62" t="s">
        <v>935</v>
      </c>
      <c r="I268" s="62" t="s">
        <v>1069</v>
      </c>
      <c r="J268" s="63">
        <v>0.626</v>
      </c>
      <c r="K268" s="63">
        <v>1.5604681404421327E-2</v>
      </c>
      <c r="L268" s="62"/>
      <c r="M268" s="62" t="s">
        <v>915</v>
      </c>
      <c r="N268" s="62" t="s">
        <v>916</v>
      </c>
      <c r="O268" s="62" t="str">
        <f t="shared" si="4"/>
        <v>IS92_LATAM DPD AVAMAR</v>
      </c>
      <c r="P268" s="62" t="s">
        <v>930</v>
      </c>
      <c r="Q268" s="62" t="s">
        <v>1885</v>
      </c>
      <c r="R268" s="62">
        <v>9</v>
      </c>
      <c r="S268" s="64"/>
      <c r="T268" s="62" t="s">
        <v>905</v>
      </c>
      <c r="U268" s="62">
        <v>13</v>
      </c>
      <c r="V268" s="65" t="s">
        <v>1886</v>
      </c>
      <c r="W268" s="65">
        <v>0</v>
      </c>
      <c r="X268" s="62"/>
      <c r="Y268" s="66" t="s">
        <v>2013</v>
      </c>
      <c r="Z268" s="62" t="s">
        <v>1986</v>
      </c>
      <c r="AA268" s="62"/>
      <c r="AB268" s="62" t="s">
        <v>2210</v>
      </c>
      <c r="AC268" s="62" t="e">
        <v>#N/A</v>
      </c>
    </row>
    <row r="269" spans="1:29" ht="15" customHeight="1" outlineLevel="1" x14ac:dyDescent="0.3">
      <c r="A269" s="62" t="s">
        <v>88</v>
      </c>
      <c r="B269" s="62" t="s">
        <v>89</v>
      </c>
      <c r="C269" s="62" t="s">
        <v>892</v>
      </c>
      <c r="D269" s="62" t="s">
        <v>44</v>
      </c>
      <c r="E269" s="62" t="s">
        <v>71</v>
      </c>
      <c r="F269" s="62" t="s">
        <v>8</v>
      </c>
      <c r="G269" s="62" t="s">
        <v>2249</v>
      </c>
      <c r="H269" s="62" t="s">
        <v>935</v>
      </c>
      <c r="I269" s="62" t="s">
        <v>1069</v>
      </c>
      <c r="J269" s="63">
        <v>0.626</v>
      </c>
      <c r="K269" s="63">
        <v>1.5604681404421327E-2</v>
      </c>
      <c r="L269" s="62"/>
      <c r="M269" s="62" t="s">
        <v>915</v>
      </c>
      <c r="N269" s="62" t="s">
        <v>916</v>
      </c>
      <c r="O269" s="62" t="str">
        <f t="shared" si="4"/>
        <v>IS96_LATAM DPD DataDomain</v>
      </c>
      <c r="P269" s="62" t="s">
        <v>930</v>
      </c>
      <c r="Q269" s="62" t="s">
        <v>1885</v>
      </c>
      <c r="R269" s="62">
        <v>9</v>
      </c>
      <c r="S269" s="64"/>
      <c r="T269" s="62" t="s">
        <v>905</v>
      </c>
      <c r="U269" s="62">
        <v>13</v>
      </c>
      <c r="V269" s="65" t="s">
        <v>1886</v>
      </c>
      <c r="W269" s="65">
        <v>0</v>
      </c>
      <c r="X269" s="62"/>
      <c r="Y269" s="66" t="s">
        <v>2013</v>
      </c>
      <c r="Z269" s="62" t="s">
        <v>1986</v>
      </c>
      <c r="AA269" s="62"/>
      <c r="AB269" s="62" t="s">
        <v>2210</v>
      </c>
      <c r="AC269" s="62" t="e">
        <v>#N/A</v>
      </c>
    </row>
    <row r="270" spans="1:29" ht="15" customHeight="1" outlineLevel="1" x14ac:dyDescent="0.3">
      <c r="A270" s="62" t="s">
        <v>126</v>
      </c>
      <c r="B270" s="62" t="s">
        <v>127</v>
      </c>
      <c r="C270" s="62" t="s">
        <v>892</v>
      </c>
      <c r="D270" s="62" t="s">
        <v>44</v>
      </c>
      <c r="E270" s="62" t="s">
        <v>109</v>
      </c>
      <c r="F270" s="62" t="s">
        <v>8</v>
      </c>
      <c r="G270" s="62" t="s">
        <v>2249</v>
      </c>
      <c r="H270" s="62" t="s">
        <v>935</v>
      </c>
      <c r="I270" s="62" t="s">
        <v>1069</v>
      </c>
      <c r="J270" s="63">
        <v>0.626</v>
      </c>
      <c r="K270" s="63">
        <v>1.5604681404421327E-2</v>
      </c>
      <c r="L270" s="62"/>
      <c r="M270" s="62" t="s">
        <v>923</v>
      </c>
      <c r="N270" s="62" t="s">
        <v>916</v>
      </c>
      <c r="O270" s="62" t="str">
        <f t="shared" si="4"/>
        <v>IU05_LATAM DPD Networker</v>
      </c>
      <c r="P270" s="62" t="s">
        <v>930</v>
      </c>
      <c r="Q270" s="62" t="s">
        <v>1885</v>
      </c>
      <c r="R270" s="62">
        <v>11</v>
      </c>
      <c r="S270" s="64"/>
      <c r="T270" s="62" t="s">
        <v>905</v>
      </c>
      <c r="U270" s="62">
        <v>13</v>
      </c>
      <c r="V270" s="65" t="s">
        <v>1886</v>
      </c>
      <c r="W270" s="65">
        <v>0</v>
      </c>
      <c r="X270" s="62"/>
      <c r="Y270" s="66" t="s">
        <v>2014</v>
      </c>
      <c r="Z270" s="62" t="s">
        <v>1986</v>
      </c>
      <c r="AA270" s="62"/>
      <c r="AB270" s="62" t="s">
        <v>2210</v>
      </c>
      <c r="AC270" s="62" t="e">
        <v>#N/A</v>
      </c>
    </row>
    <row r="271" spans="1:29" ht="15" customHeight="1" outlineLevel="1" x14ac:dyDescent="0.3">
      <c r="A271" s="62" t="s">
        <v>236</v>
      </c>
      <c r="B271" s="62" t="s">
        <v>237</v>
      </c>
      <c r="C271" s="62" t="s">
        <v>973</v>
      </c>
      <c r="D271" s="62" t="s">
        <v>229</v>
      </c>
      <c r="E271" s="62" t="s">
        <v>229</v>
      </c>
      <c r="F271" s="62" t="s">
        <v>8</v>
      </c>
      <c r="G271" s="62" t="s">
        <v>2250</v>
      </c>
      <c r="H271" s="62" t="s">
        <v>929</v>
      </c>
      <c r="I271" s="62" t="s">
        <v>904</v>
      </c>
      <c r="J271" s="63">
        <v>0.63300000000000001</v>
      </c>
      <c r="K271" s="63">
        <v>1.8670169726832081E-2</v>
      </c>
      <c r="L271" s="62"/>
      <c r="M271" s="62" t="s">
        <v>922</v>
      </c>
      <c r="N271" s="62" t="s">
        <v>1882</v>
      </c>
      <c r="O271" s="62" t="str">
        <f t="shared" si="4"/>
        <v>GH22_GLOBAL HES MIDRANGE</v>
      </c>
      <c r="P271" s="62" t="s">
        <v>930</v>
      </c>
      <c r="Q271" s="62" t="s">
        <v>972</v>
      </c>
      <c r="R271" s="62">
        <v>24</v>
      </c>
      <c r="S271" s="64"/>
      <c r="T271" s="62" t="s">
        <v>905</v>
      </c>
      <c r="U271" s="62">
        <v>13</v>
      </c>
      <c r="V271" s="65" t="s">
        <v>1886</v>
      </c>
      <c r="W271" s="65">
        <v>0</v>
      </c>
      <c r="X271" s="62" t="str">
        <f>VLOOKUP(A271,'CQNs Merged_Split'!B:E,4,0)</f>
        <v>GLOBAL HES MIDRANGE Backline</v>
      </c>
      <c r="Y271" s="66" t="s">
        <v>1971</v>
      </c>
      <c r="Z271" s="62" t="s">
        <v>1972</v>
      </c>
      <c r="AA271" s="62" t="str">
        <f>IFERROR("Queue Got Merged in "&amp;VLOOKUP(A271,'CQNs Merged_Split'!$B$7:$D$103,3,FALSE),"")</f>
        <v>Queue Got Merged in BL17</v>
      </c>
      <c r="AB271" s="62" t="s">
        <v>2208</v>
      </c>
      <c r="AC271" s="62" t="e">
        <v>#N/A</v>
      </c>
    </row>
    <row r="272" spans="1:29" ht="15" customHeight="1" outlineLevel="1" x14ac:dyDescent="0.3">
      <c r="A272" s="62" t="s">
        <v>420</v>
      </c>
      <c r="B272" s="62" t="s">
        <v>421</v>
      </c>
      <c r="C272" s="62" t="s">
        <v>973</v>
      </c>
      <c r="D272" s="62" t="s">
        <v>301</v>
      </c>
      <c r="E272" s="62" t="s">
        <v>419</v>
      </c>
      <c r="F272" s="62" t="s">
        <v>8</v>
      </c>
      <c r="G272" s="62" t="s">
        <v>2250</v>
      </c>
      <c r="H272" s="62" t="s">
        <v>929</v>
      </c>
      <c r="I272" s="62" t="s">
        <v>904</v>
      </c>
      <c r="J272" s="63">
        <v>0.63300000000000001</v>
      </c>
      <c r="K272" s="63">
        <v>1.2145748987854251E-2</v>
      </c>
      <c r="L272" s="62"/>
      <c r="M272" s="62" t="s">
        <v>1046</v>
      </c>
      <c r="N272" s="62" t="s">
        <v>1882</v>
      </c>
      <c r="O272" s="62" t="str">
        <f t="shared" si="4"/>
        <v>GH24_GLOBAL HES XtremIO</v>
      </c>
      <c r="P272" s="62" t="s">
        <v>930</v>
      </c>
      <c r="Q272" s="62" t="s">
        <v>972</v>
      </c>
      <c r="R272" s="62">
        <v>14</v>
      </c>
      <c r="S272" s="64"/>
      <c r="T272" s="62" t="s">
        <v>905</v>
      </c>
      <c r="U272" s="62">
        <v>13</v>
      </c>
      <c r="V272" s="65" t="s">
        <v>1886</v>
      </c>
      <c r="W272" s="65">
        <v>0</v>
      </c>
      <c r="X272" s="62" t="str">
        <f>VLOOKUP(A272,'CQNs Merged_Split'!B:E,4,0)</f>
        <v>GLOBAL HES MIDRANGE Backline</v>
      </c>
      <c r="Y272" s="66" t="s">
        <v>1971</v>
      </c>
      <c r="Z272" s="62" t="s">
        <v>1972</v>
      </c>
      <c r="AA272" s="62" t="str">
        <f>IFERROR("Queue Got Merged in "&amp;VLOOKUP(A272,'CQNs Merged_Split'!$B$7:$D$103,3,FALSE),"")</f>
        <v>Queue Got Merged in BL17</v>
      </c>
      <c r="AB272" s="62" t="s">
        <v>2208</v>
      </c>
      <c r="AC272" s="62" t="e">
        <v>#N/A</v>
      </c>
    </row>
    <row r="273" spans="1:29" ht="15" customHeight="1" outlineLevel="1" x14ac:dyDescent="0.3">
      <c r="A273" s="62" t="s">
        <v>316</v>
      </c>
      <c r="B273" s="62" t="s">
        <v>317</v>
      </c>
      <c r="C273" s="62" t="s">
        <v>914</v>
      </c>
      <c r="D273" s="62" t="s">
        <v>301</v>
      </c>
      <c r="E273" s="62" t="s">
        <v>305</v>
      </c>
      <c r="F273" s="62" t="s">
        <v>8</v>
      </c>
      <c r="G273" s="62" t="s">
        <v>2249</v>
      </c>
      <c r="H273" s="62" t="s">
        <v>903</v>
      </c>
      <c r="I273" s="62" t="s">
        <v>906</v>
      </c>
      <c r="J273" s="63">
        <v>0.629</v>
      </c>
      <c r="K273" s="63">
        <v>2.278539874447803E-2</v>
      </c>
      <c r="L273" s="62"/>
      <c r="M273" s="62" t="s">
        <v>1071</v>
      </c>
      <c r="N273" s="62" t="s">
        <v>916</v>
      </c>
      <c r="O273" s="62" t="str">
        <f t="shared" si="4"/>
        <v>IS14_APJ HES Connectivity</v>
      </c>
      <c r="P273" s="62" t="s">
        <v>930</v>
      </c>
      <c r="Q273" s="62" t="s">
        <v>972</v>
      </c>
      <c r="R273" s="62">
        <v>13</v>
      </c>
      <c r="S273" s="64"/>
      <c r="T273" s="62" t="s">
        <v>905</v>
      </c>
      <c r="U273" s="62">
        <v>13</v>
      </c>
      <c r="V273" s="65" t="s">
        <v>1886</v>
      </c>
      <c r="W273" s="65">
        <v>0</v>
      </c>
      <c r="X273" s="62" t="str">
        <f>VLOOKUP(A273,'CQNs Merged_Split'!B:E,4,0)</f>
        <v>Global Connectivity</v>
      </c>
      <c r="Y273" s="66" t="s">
        <v>2059</v>
      </c>
      <c r="Z273" s="62" t="s">
        <v>1972</v>
      </c>
      <c r="AA273" s="62" t="str">
        <f>IFERROR("Queue Got Merged in "&amp;VLOOKUP(A273,'CQNs Merged_Split'!$B$7:$D$103,3,FALSE),"")</f>
        <v>Queue Got Merged in GC22</v>
      </c>
      <c r="AB273" s="62" t="s">
        <v>2210</v>
      </c>
      <c r="AC273" s="62" t="e">
        <v>#N/A</v>
      </c>
    </row>
    <row r="274" spans="1:29" ht="15" customHeight="1" outlineLevel="1" x14ac:dyDescent="0.3">
      <c r="A274" s="62" t="s">
        <v>344</v>
      </c>
      <c r="B274" s="62" t="s">
        <v>345</v>
      </c>
      <c r="C274" s="62" t="s">
        <v>914</v>
      </c>
      <c r="D274" s="62" t="s">
        <v>301</v>
      </c>
      <c r="E274" s="62" t="s">
        <v>334</v>
      </c>
      <c r="F274" s="62" t="s">
        <v>8</v>
      </c>
      <c r="G274" s="62" t="s">
        <v>2249</v>
      </c>
      <c r="H274" s="62" t="s">
        <v>903</v>
      </c>
      <c r="I274" s="62" t="s">
        <v>904</v>
      </c>
      <c r="J274" s="63">
        <v>0.629</v>
      </c>
      <c r="K274" s="63">
        <v>2.278539874447803E-2</v>
      </c>
      <c r="L274" s="62"/>
      <c r="M274" s="62" t="s">
        <v>1072</v>
      </c>
      <c r="N274" s="62" t="s">
        <v>916</v>
      </c>
      <c r="O274" s="62" t="str">
        <f t="shared" si="4"/>
        <v>IS21_APJ HES Integrated_Software</v>
      </c>
      <c r="P274" s="62" t="s">
        <v>930</v>
      </c>
      <c r="Q274" s="62" t="s">
        <v>972</v>
      </c>
      <c r="R274" s="62">
        <v>16</v>
      </c>
      <c r="S274" s="64"/>
      <c r="T274" s="62" t="s">
        <v>905</v>
      </c>
      <c r="U274" s="62">
        <v>13</v>
      </c>
      <c r="V274" s="65" t="s">
        <v>1886</v>
      </c>
      <c r="W274" s="65">
        <v>0</v>
      </c>
      <c r="X274" s="62" t="str">
        <f>VLOOKUP(A274,'CQNs Merged_Split'!B:E,4,0)</f>
        <v>Global Integrated Software</v>
      </c>
      <c r="Y274" s="66" t="s">
        <v>2055</v>
      </c>
      <c r="Z274" s="62" t="s">
        <v>1972</v>
      </c>
      <c r="AA274" s="62" t="str">
        <f>IFERROR("Queue Got Merged in "&amp;VLOOKUP(A274,'CQNs Merged_Split'!$B$7:$D$103,3,FALSE),"")</f>
        <v>Queue Got Merged in HE12</v>
      </c>
      <c r="AB274" s="62" t="s">
        <v>2210</v>
      </c>
      <c r="AC274" s="62" t="e">
        <v>#N/A</v>
      </c>
    </row>
    <row r="275" spans="1:29" ht="15" customHeight="1" outlineLevel="1" x14ac:dyDescent="0.3">
      <c r="A275" s="62" t="s">
        <v>376</v>
      </c>
      <c r="B275" s="62" t="s">
        <v>377</v>
      </c>
      <c r="C275" s="62" t="s">
        <v>914</v>
      </c>
      <c r="D275" s="62" t="s">
        <v>301</v>
      </c>
      <c r="E275" s="62" t="s">
        <v>357</v>
      </c>
      <c r="F275" s="62" t="s">
        <v>8</v>
      </c>
      <c r="G275" s="62" t="s">
        <v>2249</v>
      </c>
      <c r="H275" s="62" t="s">
        <v>903</v>
      </c>
      <c r="I275" s="62" t="s">
        <v>904</v>
      </c>
      <c r="J275" s="63">
        <v>0.629</v>
      </c>
      <c r="K275" s="63">
        <v>2.278539874447803E-2</v>
      </c>
      <c r="L275" s="62"/>
      <c r="M275" s="62" t="s">
        <v>1068</v>
      </c>
      <c r="N275" s="62" t="s">
        <v>916</v>
      </c>
      <c r="O275" s="62" t="str">
        <f t="shared" si="4"/>
        <v>IS31_APJ HES Symmetrix</v>
      </c>
      <c r="P275" s="62" t="s">
        <v>930</v>
      </c>
      <c r="Q275" s="62" t="s">
        <v>972</v>
      </c>
      <c r="R275" s="62">
        <v>12</v>
      </c>
      <c r="S275" s="64"/>
      <c r="T275" s="62" t="s">
        <v>905</v>
      </c>
      <c r="U275" s="62">
        <v>13</v>
      </c>
      <c r="V275" s="65" t="s">
        <v>1886</v>
      </c>
      <c r="W275" s="65">
        <v>0</v>
      </c>
      <c r="X275" s="62" t="str">
        <f>VLOOKUP(A275,'CQNs Merged_Split'!B:E,4,0)</f>
        <v>Global Symmetrix</v>
      </c>
      <c r="Y275" s="66" t="s">
        <v>2056</v>
      </c>
      <c r="Z275" s="62" t="s">
        <v>1972</v>
      </c>
      <c r="AA275" s="62" t="str">
        <f>IFERROR("Queue Got Merged in "&amp;VLOOKUP(A275,'CQNs Merged_Split'!$B$7:$D$103,3,FALSE),"")</f>
        <v>Queue Got Merged in GC23</v>
      </c>
      <c r="AB275" s="62" t="s">
        <v>2210</v>
      </c>
      <c r="AC275" s="62" t="e">
        <v>#N/A</v>
      </c>
    </row>
    <row r="276" spans="1:29" ht="15" customHeight="1" outlineLevel="1" x14ac:dyDescent="0.3">
      <c r="A276" s="62" t="s">
        <v>393</v>
      </c>
      <c r="B276" s="62" t="s">
        <v>394</v>
      </c>
      <c r="C276" s="62" t="s">
        <v>914</v>
      </c>
      <c r="D276" s="62" t="s">
        <v>301</v>
      </c>
      <c r="E276" s="62" t="s">
        <v>386</v>
      </c>
      <c r="F276" s="62" t="s">
        <v>8</v>
      </c>
      <c r="G276" s="62" t="s">
        <v>2249</v>
      </c>
      <c r="H276" s="62" t="s">
        <v>903</v>
      </c>
      <c r="I276" s="62" t="s">
        <v>904</v>
      </c>
      <c r="J276" s="63">
        <v>0.629</v>
      </c>
      <c r="K276" s="63">
        <v>2.278539874447803E-2</v>
      </c>
      <c r="L276" s="62"/>
      <c r="M276" s="62" t="s">
        <v>1068</v>
      </c>
      <c r="N276" s="62" t="s">
        <v>916</v>
      </c>
      <c r="O276" s="62" t="str">
        <f t="shared" si="4"/>
        <v>IS32_APJ HES SymmSW</v>
      </c>
      <c r="P276" s="62" t="s">
        <v>930</v>
      </c>
      <c r="Q276" s="62" t="s">
        <v>972</v>
      </c>
      <c r="R276" s="62">
        <v>12</v>
      </c>
      <c r="S276" s="64"/>
      <c r="T276" s="62" t="s">
        <v>905</v>
      </c>
      <c r="U276" s="62">
        <v>13</v>
      </c>
      <c r="V276" s="65" t="s">
        <v>1886</v>
      </c>
      <c r="W276" s="65">
        <v>0</v>
      </c>
      <c r="X276" s="62" t="str">
        <f>VLOOKUP(A276,'CQNs Merged_Split'!B:E,4,0)</f>
        <v>Global Symmetrix SW</v>
      </c>
      <c r="Y276" s="66" t="s">
        <v>2060</v>
      </c>
      <c r="Z276" s="62" t="s">
        <v>1972</v>
      </c>
      <c r="AA276" s="62" t="str">
        <f>IFERROR("Queue Got Merged in "&amp;VLOOKUP(A276,'CQNs Merged_Split'!$B$7:$D$103,3,FALSE),"")</f>
        <v>Queue Got Merged in GC24</v>
      </c>
      <c r="AB276" s="62" t="s">
        <v>2210</v>
      </c>
      <c r="AC276" s="62" t="e">
        <v>#N/A</v>
      </c>
    </row>
    <row r="277" spans="1:29" ht="15" customHeight="1" outlineLevel="1" x14ac:dyDescent="0.3">
      <c r="A277" s="62" t="s">
        <v>252</v>
      </c>
      <c r="B277" s="62" t="s">
        <v>253</v>
      </c>
      <c r="C277" s="62" t="s">
        <v>914</v>
      </c>
      <c r="D277" s="62" t="s">
        <v>229</v>
      </c>
      <c r="E277" s="62" t="s">
        <v>229</v>
      </c>
      <c r="F277" s="62" t="s">
        <v>8</v>
      </c>
      <c r="G277" s="62" t="s">
        <v>2249</v>
      </c>
      <c r="H277" s="62" t="s">
        <v>903</v>
      </c>
      <c r="I277" s="62" t="s">
        <v>904</v>
      </c>
      <c r="J277" s="63">
        <v>0.629</v>
      </c>
      <c r="K277" s="63">
        <v>2.033898305084746E-2</v>
      </c>
      <c r="L277" s="62"/>
      <c r="M277" s="62" t="s">
        <v>1073</v>
      </c>
      <c r="N277" s="62" t="s">
        <v>916</v>
      </c>
      <c r="O277" s="62" t="str">
        <f t="shared" si="4"/>
        <v>IS34_APJ HES MIDRANGE</v>
      </c>
      <c r="P277" s="62" t="s">
        <v>930</v>
      </c>
      <c r="Q277" s="62" t="s">
        <v>972</v>
      </c>
      <c r="R277" s="62">
        <v>16</v>
      </c>
      <c r="S277" s="64"/>
      <c r="T277" s="62" t="s">
        <v>905</v>
      </c>
      <c r="U277" s="62">
        <v>13</v>
      </c>
      <c r="V277" s="65" t="s">
        <v>1886</v>
      </c>
      <c r="W277" s="65">
        <v>0</v>
      </c>
      <c r="X277" s="62" t="str">
        <f>VLOOKUP(A277,'CQNs Merged_Split'!B:E,4,0)</f>
        <v>Global HES Midrange FL</v>
      </c>
      <c r="Y277" s="66" t="s">
        <v>2046</v>
      </c>
      <c r="Z277" s="62" t="s">
        <v>1972</v>
      </c>
      <c r="AA277" s="62" t="str">
        <f>IFERROR("Queue Got Merged in "&amp;VLOOKUP(A277,'CQNs Merged_Split'!$B$7:$D$103,3,FALSE),"")</f>
        <v>Queue Got Merged in GS05</v>
      </c>
      <c r="AB277" s="62" t="s">
        <v>2210</v>
      </c>
      <c r="AC277" s="62" t="e">
        <v>#N/A</v>
      </c>
    </row>
    <row r="278" spans="1:29" ht="15" customHeight="1" outlineLevel="1" x14ac:dyDescent="0.3">
      <c r="A278" s="62" t="s">
        <v>410</v>
      </c>
      <c r="B278" s="62" t="s">
        <v>411</v>
      </c>
      <c r="C278" s="62" t="s">
        <v>914</v>
      </c>
      <c r="D278" s="62" t="s">
        <v>301</v>
      </c>
      <c r="E278" s="62" t="s">
        <v>403</v>
      </c>
      <c r="F278" s="62" t="s">
        <v>8</v>
      </c>
      <c r="G278" s="62" t="s">
        <v>2249</v>
      </c>
      <c r="H278" s="62" t="s">
        <v>903</v>
      </c>
      <c r="I278" s="62" t="s">
        <v>904</v>
      </c>
      <c r="J278" s="63">
        <v>0.629</v>
      </c>
      <c r="K278" s="63">
        <v>2.278539874447803E-2</v>
      </c>
      <c r="L278" s="62"/>
      <c r="M278" s="62" t="s">
        <v>925</v>
      </c>
      <c r="N278" s="62" t="s">
        <v>916</v>
      </c>
      <c r="O278" s="62" t="str">
        <f t="shared" si="4"/>
        <v>IS36_APJ HES Vplex</v>
      </c>
      <c r="P278" s="62" t="s">
        <v>930</v>
      </c>
      <c r="Q278" s="62" t="s">
        <v>972</v>
      </c>
      <c r="R278" s="62">
        <v>9</v>
      </c>
      <c r="S278" s="64"/>
      <c r="T278" s="62" t="s">
        <v>905</v>
      </c>
      <c r="U278" s="62">
        <v>13</v>
      </c>
      <c r="V278" s="65" t="s">
        <v>1886</v>
      </c>
      <c r="W278" s="65">
        <v>0</v>
      </c>
      <c r="X278" s="62" t="str">
        <f>VLOOKUP(A278,'CQNs Merged_Split'!B:E,4,0)</f>
        <v>Global Vplex FL</v>
      </c>
      <c r="Y278" s="66" t="s">
        <v>2061</v>
      </c>
      <c r="Z278" s="62" t="s">
        <v>1972</v>
      </c>
      <c r="AA278" s="62" t="str">
        <f>IFERROR("Queue Got Merged in "&amp;VLOOKUP(A278,'CQNs Merged_Split'!$B$7:$D$103,3,FALSE),"")</f>
        <v>Queue Got Merged in GC25</v>
      </c>
      <c r="AB278" s="62" t="s">
        <v>2210</v>
      </c>
      <c r="AC278" s="62" t="e">
        <v>#N/A</v>
      </c>
    </row>
    <row r="279" spans="1:29" ht="15" customHeight="1" outlineLevel="1" x14ac:dyDescent="0.3">
      <c r="A279" s="62" t="s">
        <v>318</v>
      </c>
      <c r="B279" s="62" t="s">
        <v>319</v>
      </c>
      <c r="C279" s="62" t="s">
        <v>973</v>
      </c>
      <c r="D279" s="62" t="s">
        <v>301</v>
      </c>
      <c r="E279" s="62" t="s">
        <v>305</v>
      </c>
      <c r="F279" s="62" t="s">
        <v>8</v>
      </c>
      <c r="G279" s="62" t="s">
        <v>2249</v>
      </c>
      <c r="H279" s="62" t="s">
        <v>912</v>
      </c>
      <c r="I279" s="62" t="s">
        <v>966</v>
      </c>
      <c r="J279" s="63">
        <v>0.61699999999999999</v>
      </c>
      <c r="K279" s="63">
        <v>3.8967379973253502E-2</v>
      </c>
      <c r="L279" s="62"/>
      <c r="M279" s="62" t="s">
        <v>925</v>
      </c>
      <c r="N279" s="62" t="s">
        <v>916</v>
      </c>
      <c r="O279" s="62" t="str">
        <f t="shared" si="4"/>
        <v>IS41_EMEA HES Connectivity</v>
      </c>
      <c r="P279" s="62" t="s">
        <v>930</v>
      </c>
      <c r="Q279" s="62" t="s">
        <v>972</v>
      </c>
      <c r="R279" s="62">
        <v>9</v>
      </c>
      <c r="S279" s="64"/>
      <c r="T279" s="62" t="s">
        <v>905</v>
      </c>
      <c r="U279" s="62">
        <v>13</v>
      </c>
      <c r="V279" s="65" t="s">
        <v>1886</v>
      </c>
      <c r="W279" s="65">
        <v>0</v>
      </c>
      <c r="X279" s="62" t="str">
        <f>VLOOKUP(A279,'CQNs Merged_Split'!B:E,4,0)</f>
        <v>Global Connectivity</v>
      </c>
      <c r="Y279" s="66" t="s">
        <v>1976</v>
      </c>
      <c r="Z279" s="62" t="s">
        <v>1972</v>
      </c>
      <c r="AA279" s="62" t="str">
        <f>IFERROR("Queue Got Merged in "&amp;VLOOKUP(A279,'CQNs Merged_Split'!$B$7:$D$103,3,FALSE),"")</f>
        <v>Queue Got Merged in GC22</v>
      </c>
      <c r="AB279" s="62" t="s">
        <v>2210</v>
      </c>
      <c r="AC279" s="62" t="e">
        <v>#N/A</v>
      </c>
    </row>
    <row r="280" spans="1:29" ht="15" customHeight="1" outlineLevel="1" x14ac:dyDescent="0.3">
      <c r="A280" s="62" t="s">
        <v>346</v>
      </c>
      <c r="B280" s="62" t="s">
        <v>347</v>
      </c>
      <c r="C280" s="62" t="s">
        <v>973</v>
      </c>
      <c r="D280" s="62" t="s">
        <v>301</v>
      </c>
      <c r="E280" s="62" t="s">
        <v>334</v>
      </c>
      <c r="F280" s="62" t="s">
        <v>8</v>
      </c>
      <c r="G280" s="62" t="s">
        <v>2249</v>
      </c>
      <c r="H280" s="62" t="s">
        <v>912</v>
      </c>
      <c r="I280" s="62" t="s">
        <v>966</v>
      </c>
      <c r="J280" s="63">
        <v>0.61699999999999999</v>
      </c>
      <c r="K280" s="63">
        <v>3.8967379973253502E-2</v>
      </c>
      <c r="L280" s="62"/>
      <c r="M280" s="62" t="s">
        <v>925</v>
      </c>
      <c r="N280" s="62" t="s">
        <v>916</v>
      </c>
      <c r="O280" s="62" t="str">
        <f t="shared" si="4"/>
        <v>IS48_EMEA HES Integrated_Software</v>
      </c>
      <c r="P280" s="62" t="s">
        <v>930</v>
      </c>
      <c r="Q280" s="62" t="s">
        <v>972</v>
      </c>
      <c r="R280" s="62">
        <v>9</v>
      </c>
      <c r="S280" s="64"/>
      <c r="T280" s="62" t="s">
        <v>905</v>
      </c>
      <c r="U280" s="62">
        <v>13</v>
      </c>
      <c r="V280" s="65" t="s">
        <v>1886</v>
      </c>
      <c r="W280" s="65">
        <v>0</v>
      </c>
      <c r="X280" s="62" t="str">
        <f>VLOOKUP(A280,'CQNs Merged_Split'!B:E,4,0)</f>
        <v>Global Integrated Software</v>
      </c>
      <c r="Y280" s="66" t="s">
        <v>1976</v>
      </c>
      <c r="Z280" s="62" t="s">
        <v>1972</v>
      </c>
      <c r="AA280" s="62" t="str">
        <f>IFERROR("Queue Got Merged in "&amp;VLOOKUP(A280,'CQNs Merged_Split'!$B$7:$D$103,3,FALSE),"")</f>
        <v>Queue Got Merged in HE12</v>
      </c>
      <c r="AB280" s="62" t="s">
        <v>2210</v>
      </c>
      <c r="AC280" s="62" t="e">
        <v>#N/A</v>
      </c>
    </row>
    <row r="281" spans="1:29" ht="15" customHeight="1" outlineLevel="1" x14ac:dyDescent="0.3">
      <c r="A281" s="62" t="s">
        <v>378</v>
      </c>
      <c r="B281" s="62" t="s">
        <v>379</v>
      </c>
      <c r="C281" s="62" t="s">
        <v>973</v>
      </c>
      <c r="D281" s="62" t="s">
        <v>301</v>
      </c>
      <c r="E281" s="62" t="s">
        <v>357</v>
      </c>
      <c r="F281" s="62" t="s">
        <v>8</v>
      </c>
      <c r="G281" s="62" t="s">
        <v>2249</v>
      </c>
      <c r="H281" s="62" t="s">
        <v>912</v>
      </c>
      <c r="I281" s="62" t="s">
        <v>966</v>
      </c>
      <c r="J281" s="63">
        <v>0.61699999999999999</v>
      </c>
      <c r="K281" s="63">
        <v>3.6022158773668489E-2</v>
      </c>
      <c r="L281" s="62"/>
      <c r="M281" s="62" t="s">
        <v>925</v>
      </c>
      <c r="N281" s="62" t="s">
        <v>916</v>
      </c>
      <c r="O281" s="62" t="str">
        <f t="shared" si="4"/>
        <v>IS58_EMEA HES Symmetrix</v>
      </c>
      <c r="P281" s="62" t="s">
        <v>930</v>
      </c>
      <c r="Q281" s="62" t="s">
        <v>972</v>
      </c>
      <c r="R281" s="62">
        <v>9</v>
      </c>
      <c r="S281" s="64"/>
      <c r="T281" s="62" t="s">
        <v>905</v>
      </c>
      <c r="U281" s="62">
        <v>13</v>
      </c>
      <c r="V281" s="65" t="s">
        <v>1886</v>
      </c>
      <c r="W281" s="65">
        <v>0</v>
      </c>
      <c r="X281" s="62" t="str">
        <f>VLOOKUP(A281,'CQNs Merged_Split'!B:E,4,0)</f>
        <v>Global Symmetrix</v>
      </c>
      <c r="Y281" s="66" t="s">
        <v>1976</v>
      </c>
      <c r="Z281" s="62" t="s">
        <v>1972</v>
      </c>
      <c r="AA281" s="62" t="str">
        <f>IFERROR("Queue Got Merged in "&amp;VLOOKUP(A281,'CQNs Merged_Split'!$B$7:$D$103,3,FALSE),"")</f>
        <v>Queue Got Merged in GC23</v>
      </c>
      <c r="AB281" s="62" t="s">
        <v>2210</v>
      </c>
      <c r="AC281" s="62" t="e">
        <v>#N/A</v>
      </c>
    </row>
    <row r="282" spans="1:29" ht="15" customHeight="1" outlineLevel="1" x14ac:dyDescent="0.3">
      <c r="A282" s="62" t="s">
        <v>395</v>
      </c>
      <c r="B282" s="62" t="s">
        <v>396</v>
      </c>
      <c r="C282" s="62" t="s">
        <v>973</v>
      </c>
      <c r="D282" s="62" t="s">
        <v>301</v>
      </c>
      <c r="E282" s="62" t="s">
        <v>386</v>
      </c>
      <c r="F282" s="62" t="s">
        <v>8</v>
      </c>
      <c r="G282" s="62" t="s">
        <v>2249</v>
      </c>
      <c r="H282" s="62" t="s">
        <v>912</v>
      </c>
      <c r="I282" s="62" t="s">
        <v>966</v>
      </c>
      <c r="J282" s="63">
        <v>0.61699999999999999</v>
      </c>
      <c r="K282" s="63">
        <v>3.8967379973253502E-2</v>
      </c>
      <c r="L282" s="62"/>
      <c r="M282" s="62">
        <v>0</v>
      </c>
      <c r="N282" s="62" t="s">
        <v>916</v>
      </c>
      <c r="O282" s="62" t="str">
        <f t="shared" si="4"/>
        <v>IS59_EMEA HES SymmSW</v>
      </c>
      <c r="P282" s="62" t="s">
        <v>930</v>
      </c>
      <c r="Q282" s="62" t="s">
        <v>972</v>
      </c>
      <c r="R282" s="62">
        <v>4</v>
      </c>
      <c r="S282" s="64"/>
      <c r="T282" s="62" t="s">
        <v>905</v>
      </c>
      <c r="U282" s="62">
        <v>13</v>
      </c>
      <c r="V282" s="65" t="s">
        <v>1886</v>
      </c>
      <c r="W282" s="65">
        <v>0</v>
      </c>
      <c r="X282" s="62" t="str">
        <f>VLOOKUP(A282,'CQNs Merged_Split'!B:E,4,0)</f>
        <v>Global Symmetrix SW</v>
      </c>
      <c r="Y282" s="66" t="s">
        <v>1976</v>
      </c>
      <c r="Z282" s="62" t="s">
        <v>1972</v>
      </c>
      <c r="AA282" s="62" t="str">
        <f>IFERROR("Queue Got Merged in "&amp;VLOOKUP(A282,'CQNs Merged_Split'!$B$7:$D$103,3,FALSE),"")</f>
        <v>Queue Got Merged in GC24</v>
      </c>
      <c r="AB282" s="62" t="s">
        <v>2210</v>
      </c>
      <c r="AC282" s="62" t="e">
        <v>#N/A</v>
      </c>
    </row>
    <row r="283" spans="1:29" ht="15" customHeight="1" outlineLevel="1" x14ac:dyDescent="0.3">
      <c r="A283" s="62" t="s">
        <v>254</v>
      </c>
      <c r="B283" s="62" t="s">
        <v>255</v>
      </c>
      <c r="C283" s="62" t="s">
        <v>973</v>
      </c>
      <c r="D283" s="62" t="s">
        <v>229</v>
      </c>
      <c r="E283" s="62" t="s">
        <v>229</v>
      </c>
      <c r="F283" s="62" t="s">
        <v>8</v>
      </c>
      <c r="G283" s="62" t="s">
        <v>2249</v>
      </c>
      <c r="H283" s="62" t="s">
        <v>912</v>
      </c>
      <c r="I283" s="62" t="s">
        <v>966</v>
      </c>
      <c r="J283" s="63">
        <v>0.61699999999999999</v>
      </c>
      <c r="K283" s="63">
        <v>1.4950166112956811E-2</v>
      </c>
      <c r="L283" s="62"/>
      <c r="M283" s="62" t="s">
        <v>923</v>
      </c>
      <c r="N283" s="62" t="s">
        <v>916</v>
      </c>
      <c r="O283" s="62" t="str">
        <f t="shared" si="4"/>
        <v>IS61_EMEA HES MIDRANGE</v>
      </c>
      <c r="P283" s="62" t="s">
        <v>930</v>
      </c>
      <c r="Q283" s="62" t="s">
        <v>972</v>
      </c>
      <c r="R283" s="62">
        <v>11</v>
      </c>
      <c r="S283" s="64"/>
      <c r="T283" s="62" t="s">
        <v>905</v>
      </c>
      <c r="U283" s="62">
        <v>13</v>
      </c>
      <c r="V283" s="65" t="s">
        <v>1886</v>
      </c>
      <c r="W283" s="65">
        <v>0</v>
      </c>
      <c r="X283" s="62" t="str">
        <f>VLOOKUP(A283,'CQNs Merged_Split'!B:E,4,0)</f>
        <v>Global HES Midrange FL</v>
      </c>
      <c r="Y283" s="66" t="s">
        <v>2040</v>
      </c>
      <c r="Z283" s="62" t="s">
        <v>1972</v>
      </c>
      <c r="AA283" s="62" t="str">
        <f>IFERROR("Queue Got Merged in "&amp;VLOOKUP(A283,'CQNs Merged_Split'!$B$7:$D$103,3,FALSE),"")</f>
        <v>Queue Got Merged in GS05</v>
      </c>
      <c r="AB283" s="62" t="s">
        <v>2210</v>
      </c>
      <c r="AC283" s="62" t="e">
        <v>#N/A</v>
      </c>
    </row>
    <row r="284" spans="1:29" ht="15" customHeight="1" outlineLevel="1" x14ac:dyDescent="0.3">
      <c r="A284" s="62" t="s">
        <v>412</v>
      </c>
      <c r="B284" s="62" t="s">
        <v>413</v>
      </c>
      <c r="C284" s="62" t="s">
        <v>973</v>
      </c>
      <c r="D284" s="62" t="s">
        <v>301</v>
      </c>
      <c r="E284" s="62" t="s">
        <v>403</v>
      </c>
      <c r="F284" s="62" t="s">
        <v>8</v>
      </c>
      <c r="G284" s="62" t="s">
        <v>2249</v>
      </c>
      <c r="H284" s="62" t="s">
        <v>912</v>
      </c>
      <c r="I284" s="62" t="s">
        <v>966</v>
      </c>
      <c r="J284" s="63">
        <v>0.61699999999999999</v>
      </c>
      <c r="K284" s="63">
        <v>3.2258064516129031E-2</v>
      </c>
      <c r="L284" s="62"/>
      <c r="M284" s="62" t="s">
        <v>925</v>
      </c>
      <c r="N284" s="62" t="s">
        <v>916</v>
      </c>
      <c r="O284" s="62" t="str">
        <f t="shared" si="4"/>
        <v>IS63_EMEA HES Vplex</v>
      </c>
      <c r="P284" s="62" t="s">
        <v>930</v>
      </c>
      <c r="Q284" s="62" t="s">
        <v>972</v>
      </c>
      <c r="R284" s="62">
        <v>9</v>
      </c>
      <c r="S284" s="64"/>
      <c r="T284" s="62" t="s">
        <v>905</v>
      </c>
      <c r="U284" s="62">
        <v>13</v>
      </c>
      <c r="V284" s="65" t="s">
        <v>1886</v>
      </c>
      <c r="W284" s="65">
        <v>0</v>
      </c>
      <c r="X284" s="62" t="str">
        <f>VLOOKUP(A284,'CQNs Merged_Split'!B:E,4,0)</f>
        <v>Global Vplex FL</v>
      </c>
      <c r="Y284" s="66" t="s">
        <v>1976</v>
      </c>
      <c r="Z284" s="62" t="s">
        <v>1972</v>
      </c>
      <c r="AA284" s="62" t="str">
        <f>IFERROR("Queue Got Merged in "&amp;VLOOKUP(A284,'CQNs Merged_Split'!$B$7:$D$103,3,FALSE),"")</f>
        <v>Queue Got Merged in GC25</v>
      </c>
      <c r="AB284" s="62" t="s">
        <v>2210</v>
      </c>
      <c r="AC284" s="62" t="e">
        <v>#N/A</v>
      </c>
    </row>
    <row r="285" spans="1:29" ht="15" customHeight="1" outlineLevel="1" x14ac:dyDescent="0.3">
      <c r="A285" s="62" t="s">
        <v>430</v>
      </c>
      <c r="B285" s="62" t="s">
        <v>431</v>
      </c>
      <c r="C285" s="62" t="s">
        <v>973</v>
      </c>
      <c r="D285" s="62" t="s">
        <v>301</v>
      </c>
      <c r="E285" s="62" t="s">
        <v>419</v>
      </c>
      <c r="F285" s="62" t="s">
        <v>8</v>
      </c>
      <c r="G285" s="62" t="s">
        <v>2249</v>
      </c>
      <c r="H285" s="62" t="s">
        <v>912</v>
      </c>
      <c r="I285" s="62" t="s">
        <v>966</v>
      </c>
      <c r="J285" s="63">
        <v>0.61699999999999999</v>
      </c>
      <c r="K285" s="63">
        <v>3.8967379973253502E-2</v>
      </c>
      <c r="L285" s="62"/>
      <c r="M285" s="62" t="s">
        <v>925</v>
      </c>
      <c r="N285" s="62" t="s">
        <v>1882</v>
      </c>
      <c r="O285" s="62" t="str">
        <f t="shared" si="4"/>
        <v>IS64_EMEA HES XtremIO</v>
      </c>
      <c r="P285" s="62" t="s">
        <v>930</v>
      </c>
      <c r="Q285" s="62" t="s">
        <v>972</v>
      </c>
      <c r="R285" s="62">
        <v>9</v>
      </c>
      <c r="S285" s="64"/>
      <c r="T285" s="62" t="s">
        <v>905</v>
      </c>
      <c r="U285" s="62">
        <v>13</v>
      </c>
      <c r="V285" s="65" t="s">
        <v>1886</v>
      </c>
      <c r="W285" s="65">
        <v>0</v>
      </c>
      <c r="X285" s="62" t="str">
        <f>VLOOKUP(A285,'CQNs Merged_Split'!B:E,4,0)</f>
        <v>GLOBAL HES MIDRANGE Backline</v>
      </c>
      <c r="Y285" s="66" t="s">
        <v>1976</v>
      </c>
      <c r="Z285" s="62" t="s">
        <v>1972</v>
      </c>
      <c r="AA285" s="62" t="str">
        <f>IFERROR("Queue Got Merged in "&amp;VLOOKUP(A285,'CQNs Merged_Split'!$B$7:$D$103,3,FALSE),"")</f>
        <v>Queue Got Merged in BL17</v>
      </c>
      <c r="AB285" s="62" t="s">
        <v>2210</v>
      </c>
      <c r="AC285" s="62" t="e">
        <v>#N/A</v>
      </c>
    </row>
    <row r="286" spans="1:29" ht="15" customHeight="1" outlineLevel="1" x14ac:dyDescent="0.3">
      <c r="A286" s="62" t="s">
        <v>399</v>
      </c>
      <c r="B286" s="62" t="s">
        <v>400</v>
      </c>
      <c r="C286" s="62" t="s">
        <v>892</v>
      </c>
      <c r="D286" s="62" t="s">
        <v>301</v>
      </c>
      <c r="E286" s="62" t="s">
        <v>386</v>
      </c>
      <c r="F286" s="62" t="s">
        <v>8</v>
      </c>
      <c r="G286" s="62" t="s">
        <v>2249</v>
      </c>
      <c r="H286" s="62" t="s">
        <v>935</v>
      </c>
      <c r="I286" s="62" t="s">
        <v>1069</v>
      </c>
      <c r="J286" s="63">
        <v>0.626</v>
      </c>
      <c r="K286" s="63"/>
      <c r="L286" s="62"/>
      <c r="M286" s="62">
        <v>0</v>
      </c>
      <c r="N286" s="62" t="s">
        <v>916</v>
      </c>
      <c r="O286" s="62" t="str">
        <f t="shared" si="4"/>
        <v>IU14_LATAM HES SymmSW</v>
      </c>
      <c r="P286" s="62" t="s">
        <v>930</v>
      </c>
      <c r="Q286" s="62" t="s">
        <v>972</v>
      </c>
      <c r="R286" s="62">
        <v>0</v>
      </c>
      <c r="S286" s="64"/>
      <c r="T286" s="62" t="s">
        <v>905</v>
      </c>
      <c r="U286" s="62">
        <v>13</v>
      </c>
      <c r="V286" s="65" t="s">
        <v>1886</v>
      </c>
      <c r="W286" s="65">
        <v>0</v>
      </c>
      <c r="X286" s="62"/>
      <c r="Y286" s="66" t="e">
        <v>#N/A</v>
      </c>
      <c r="Z286" s="62" t="e">
        <v>#N/A</v>
      </c>
      <c r="AA286" s="62"/>
      <c r="AB286" s="62" t="s">
        <v>2210</v>
      </c>
      <c r="AC286" s="62" t="e">
        <v>#N/A</v>
      </c>
    </row>
    <row r="287" spans="1:29" ht="15" customHeight="1" outlineLevel="1" x14ac:dyDescent="0.3">
      <c r="A287" s="62" t="s">
        <v>322</v>
      </c>
      <c r="B287" s="62" t="s">
        <v>323</v>
      </c>
      <c r="C287" s="62" t="s">
        <v>973</v>
      </c>
      <c r="D287" s="62" t="s">
        <v>301</v>
      </c>
      <c r="E287" s="62" t="s">
        <v>305</v>
      </c>
      <c r="F287" s="62" t="s">
        <v>8</v>
      </c>
      <c r="G287" s="62" t="s">
        <v>2249</v>
      </c>
      <c r="H287" s="62" t="s">
        <v>893</v>
      </c>
      <c r="I287" s="62" t="s">
        <v>1070</v>
      </c>
      <c r="J287" s="63">
        <v>0.64800000000000002</v>
      </c>
      <c r="K287" s="63">
        <v>2.0441445869264104E-2</v>
      </c>
      <c r="L287" s="62"/>
      <c r="M287" s="62" t="s">
        <v>895</v>
      </c>
      <c r="N287" s="62" t="s">
        <v>916</v>
      </c>
      <c r="O287" s="62" t="str">
        <f t="shared" si="4"/>
        <v>IU23_NAMER HES Connectivity</v>
      </c>
      <c r="P287" s="62" t="s">
        <v>930</v>
      </c>
      <c r="Q287" s="62" t="s">
        <v>972</v>
      </c>
      <c r="R287" s="62">
        <v>14</v>
      </c>
      <c r="S287" s="64"/>
      <c r="T287" s="62" t="s">
        <v>905</v>
      </c>
      <c r="U287" s="62">
        <v>13</v>
      </c>
      <c r="V287" s="65" t="s">
        <v>1886</v>
      </c>
      <c r="W287" s="65">
        <v>0</v>
      </c>
      <c r="X287" s="62" t="str">
        <f>VLOOKUP(A287,'CQNs Merged_Split'!B:E,4,0)</f>
        <v>Global Connectivity</v>
      </c>
      <c r="Y287" s="66" t="s">
        <v>2045</v>
      </c>
      <c r="Z287" s="62" t="s">
        <v>1974</v>
      </c>
      <c r="AA287" s="62" t="str">
        <f>IFERROR("Queue Got Merged in "&amp;VLOOKUP(A287,'CQNs Merged_Split'!$B$7:$D$103,3,FALSE),"")</f>
        <v>Queue Got Merged in GC22</v>
      </c>
      <c r="AB287" s="62" t="s">
        <v>2208</v>
      </c>
      <c r="AC287" s="62" t="e">
        <v>#N/A</v>
      </c>
    </row>
    <row r="288" spans="1:29" ht="15" customHeight="1" outlineLevel="1" x14ac:dyDescent="0.3">
      <c r="A288" s="62" t="s">
        <v>324</v>
      </c>
      <c r="B288" s="62"/>
      <c r="C288" s="62" t="s">
        <v>892</v>
      </c>
      <c r="D288" s="62" t="s">
        <v>301</v>
      </c>
      <c r="E288" s="62" t="s">
        <v>305</v>
      </c>
      <c r="F288" s="62" t="s">
        <v>8</v>
      </c>
      <c r="G288" s="62" t="e">
        <v>#N/A</v>
      </c>
      <c r="H288" s="62" t="s">
        <v>893</v>
      </c>
      <c r="I288" s="62" t="s">
        <v>1070</v>
      </c>
      <c r="J288" s="63">
        <v>0.64800000000000002</v>
      </c>
      <c r="K288" s="63">
        <v>2.0441445869264104E-2</v>
      </c>
      <c r="L288" s="62"/>
      <c r="M288" s="62">
        <v>0</v>
      </c>
      <c r="N288" s="62" t="s">
        <v>916</v>
      </c>
      <c r="O288" s="62" t="str">
        <f t="shared" si="4"/>
        <v>IU23a_</v>
      </c>
      <c r="P288" s="62" t="e">
        <v>#N/A</v>
      </c>
      <c r="Q288" s="62" t="s">
        <v>972</v>
      </c>
      <c r="R288" s="62">
        <v>0</v>
      </c>
      <c r="S288" s="64"/>
      <c r="T288" s="62" t="s">
        <v>905</v>
      </c>
      <c r="U288" s="62">
        <v>13</v>
      </c>
      <c r="V288" s="65" t="s">
        <v>1886</v>
      </c>
      <c r="W288" s="65">
        <v>0</v>
      </c>
      <c r="X288" s="62"/>
      <c r="Y288" s="66" t="e">
        <v>#N/A</v>
      </c>
      <c r="Z288" s="62" t="e">
        <v>#N/A</v>
      </c>
      <c r="AA288" s="62"/>
      <c r="AB288" s="62" t="e">
        <v>#N/A</v>
      </c>
      <c r="AC288" s="62" t="e">
        <v>#N/A</v>
      </c>
    </row>
    <row r="289" spans="1:29" ht="15" customHeight="1" outlineLevel="1" x14ac:dyDescent="0.3">
      <c r="A289" s="62" t="s">
        <v>350</v>
      </c>
      <c r="B289" s="62" t="s">
        <v>351</v>
      </c>
      <c r="C289" s="62" t="s">
        <v>973</v>
      </c>
      <c r="D289" s="62" t="s">
        <v>301</v>
      </c>
      <c r="E289" s="62" t="s">
        <v>334</v>
      </c>
      <c r="F289" s="62" t="s">
        <v>8</v>
      </c>
      <c r="G289" s="62" t="s">
        <v>2249</v>
      </c>
      <c r="H289" s="62" t="s">
        <v>893</v>
      </c>
      <c r="I289" s="62" t="s">
        <v>894</v>
      </c>
      <c r="J289" s="63">
        <v>0.64800000000000002</v>
      </c>
      <c r="K289" s="63">
        <v>2.0441445869264104E-2</v>
      </c>
      <c r="L289" s="62"/>
      <c r="M289" s="62" t="s">
        <v>923</v>
      </c>
      <c r="N289" s="62" t="s">
        <v>916</v>
      </c>
      <c r="O289" s="62" t="str">
        <f t="shared" si="4"/>
        <v>IU30_NAMER HES Integrated_Software</v>
      </c>
      <c r="P289" s="62" t="s">
        <v>930</v>
      </c>
      <c r="Q289" s="62" t="s">
        <v>972</v>
      </c>
      <c r="R289" s="62">
        <v>11</v>
      </c>
      <c r="S289" s="64"/>
      <c r="T289" s="62" t="s">
        <v>905</v>
      </c>
      <c r="U289" s="62">
        <v>13</v>
      </c>
      <c r="V289" s="65" t="s">
        <v>1886</v>
      </c>
      <c r="W289" s="65">
        <v>0</v>
      </c>
      <c r="X289" s="62" t="str">
        <f>VLOOKUP(A289,'CQNs Merged_Split'!B:E,4,0)</f>
        <v>Global Integrated Software</v>
      </c>
      <c r="Y289" s="66" t="s">
        <v>2045</v>
      </c>
      <c r="Z289" s="62" t="s">
        <v>1974</v>
      </c>
      <c r="AA289" s="62" t="str">
        <f>IFERROR("Queue Got Merged in "&amp;VLOOKUP(A289,'CQNs Merged_Split'!$B$7:$D$103,3,FALSE),"")</f>
        <v>Queue Got Merged in HE12</v>
      </c>
      <c r="AB289" s="62" t="s">
        <v>2208</v>
      </c>
      <c r="AC289" s="62" t="e">
        <v>#N/A</v>
      </c>
    </row>
    <row r="290" spans="1:29" ht="15" customHeight="1" outlineLevel="1" x14ac:dyDescent="0.3">
      <c r="A290" s="62" t="s">
        <v>384</v>
      </c>
      <c r="B290" s="62" t="s">
        <v>385</v>
      </c>
      <c r="C290" s="62" t="s">
        <v>973</v>
      </c>
      <c r="D290" s="62" t="s">
        <v>301</v>
      </c>
      <c r="E290" s="62" t="s">
        <v>357</v>
      </c>
      <c r="F290" s="62" t="s">
        <v>8</v>
      </c>
      <c r="G290" s="62" t="s">
        <v>2249</v>
      </c>
      <c r="H290" s="62" t="s">
        <v>893</v>
      </c>
      <c r="I290" s="62" t="s">
        <v>1070</v>
      </c>
      <c r="J290" s="63">
        <v>0.64800000000000002</v>
      </c>
      <c r="K290" s="63">
        <v>1.119402985074627E-2</v>
      </c>
      <c r="L290" s="62"/>
      <c r="M290" s="62" t="s">
        <v>1072</v>
      </c>
      <c r="N290" s="62" t="s">
        <v>916</v>
      </c>
      <c r="O290" s="62" t="str">
        <f t="shared" si="4"/>
        <v>IU40_NAMER HES Symmetrix</v>
      </c>
      <c r="P290" s="62" t="s">
        <v>930</v>
      </c>
      <c r="Q290" s="62" t="s">
        <v>972</v>
      </c>
      <c r="R290" s="62">
        <v>16</v>
      </c>
      <c r="S290" s="64"/>
      <c r="T290" s="62" t="s">
        <v>905</v>
      </c>
      <c r="U290" s="62">
        <v>13</v>
      </c>
      <c r="V290" s="65" t="s">
        <v>1886</v>
      </c>
      <c r="W290" s="65">
        <v>0</v>
      </c>
      <c r="X290" s="62" t="str">
        <f>VLOOKUP(A290,'CQNs Merged_Split'!B:E,4,0)</f>
        <v>Global Symmetrix</v>
      </c>
      <c r="Y290" s="66" t="s">
        <v>2012</v>
      </c>
      <c r="Z290" s="62" t="s">
        <v>1974</v>
      </c>
      <c r="AA290" s="62" t="str">
        <f>IFERROR("Queue Got Merged in "&amp;VLOOKUP(A290,'CQNs Merged_Split'!$B$7:$D$103,3,FALSE),"")</f>
        <v>Queue Got Merged in GC23</v>
      </c>
      <c r="AB290" s="62" t="s">
        <v>2208</v>
      </c>
      <c r="AC290" s="62" t="e">
        <v>#N/A</v>
      </c>
    </row>
    <row r="291" spans="1:29" ht="15" customHeight="1" outlineLevel="1" x14ac:dyDescent="0.3">
      <c r="A291" s="62" t="s">
        <v>401</v>
      </c>
      <c r="B291" s="62" t="s">
        <v>402</v>
      </c>
      <c r="C291" s="62" t="s">
        <v>973</v>
      </c>
      <c r="D291" s="62" t="s">
        <v>301</v>
      </c>
      <c r="E291" s="62" t="s">
        <v>386</v>
      </c>
      <c r="F291" s="62" t="s">
        <v>8</v>
      </c>
      <c r="G291" s="62" t="s">
        <v>2249</v>
      </c>
      <c r="H291" s="62" t="s">
        <v>893</v>
      </c>
      <c r="I291" s="62" t="s">
        <v>894</v>
      </c>
      <c r="J291" s="63">
        <v>0.64800000000000002</v>
      </c>
      <c r="K291" s="63">
        <v>2.0441445869264104E-2</v>
      </c>
      <c r="L291" s="62"/>
      <c r="M291" s="62" t="s">
        <v>1014</v>
      </c>
      <c r="N291" s="62" t="s">
        <v>916</v>
      </c>
      <c r="O291" s="62" t="str">
        <f t="shared" si="4"/>
        <v>IU41_NAMER HES SymmSW</v>
      </c>
      <c r="P291" s="62" t="s">
        <v>930</v>
      </c>
      <c r="Q291" s="62" t="s">
        <v>972</v>
      </c>
      <c r="R291" s="62">
        <v>4</v>
      </c>
      <c r="S291" s="64"/>
      <c r="T291" s="62" t="s">
        <v>905</v>
      </c>
      <c r="U291" s="62">
        <v>13</v>
      </c>
      <c r="V291" s="65" t="s">
        <v>1886</v>
      </c>
      <c r="W291" s="65">
        <v>0</v>
      </c>
      <c r="X291" s="62" t="str">
        <f>VLOOKUP(A291,'CQNs Merged_Split'!B:E,4,0)</f>
        <v>Global Symmetrix SW</v>
      </c>
      <c r="Y291" s="66" t="s">
        <v>2062</v>
      </c>
      <c r="Z291" s="62" t="s">
        <v>1974</v>
      </c>
      <c r="AA291" s="62" t="str">
        <f>IFERROR("Queue Got Merged in "&amp;VLOOKUP(A291,'CQNs Merged_Split'!$B$7:$D$103,3,FALSE),"")</f>
        <v>Queue Got Merged in GC24</v>
      </c>
      <c r="AB291" s="62" t="s">
        <v>2208</v>
      </c>
      <c r="AC291" s="62" t="e">
        <v>#N/A</v>
      </c>
    </row>
    <row r="292" spans="1:29" ht="15" customHeight="1" outlineLevel="1" x14ac:dyDescent="0.3">
      <c r="A292" s="62" t="s">
        <v>260</v>
      </c>
      <c r="B292" s="62" t="s">
        <v>261</v>
      </c>
      <c r="C292" s="62" t="s">
        <v>973</v>
      </c>
      <c r="D292" s="62" t="s">
        <v>229</v>
      </c>
      <c r="E292" s="62" t="s">
        <v>229</v>
      </c>
      <c r="F292" s="62" t="s">
        <v>8</v>
      </c>
      <c r="G292" s="62" t="s">
        <v>2249</v>
      </c>
      <c r="H292" s="62" t="s">
        <v>893</v>
      </c>
      <c r="I292" s="62" t="s">
        <v>894</v>
      </c>
      <c r="J292" s="63">
        <v>0.64800000000000002</v>
      </c>
      <c r="K292" s="63">
        <v>2.0441445869264104E-2</v>
      </c>
      <c r="L292" s="62"/>
      <c r="M292" s="62" t="s">
        <v>895</v>
      </c>
      <c r="N292" s="62" t="s">
        <v>916</v>
      </c>
      <c r="O292" s="62" t="str">
        <f t="shared" si="4"/>
        <v>IU43_NAMER HES MIDRANGE</v>
      </c>
      <c r="P292" s="62" t="s">
        <v>930</v>
      </c>
      <c r="Q292" s="62" t="s">
        <v>972</v>
      </c>
      <c r="R292" s="62">
        <v>14</v>
      </c>
      <c r="S292" s="64"/>
      <c r="T292" s="62" t="s">
        <v>905</v>
      </c>
      <c r="U292" s="62">
        <v>13</v>
      </c>
      <c r="V292" s="65" t="s">
        <v>1886</v>
      </c>
      <c r="W292" s="65">
        <v>0</v>
      </c>
      <c r="X292" s="62" t="str">
        <f>VLOOKUP(A292,'CQNs Merged_Split'!B:E,4,0)</f>
        <v>Global HES Midrange FL</v>
      </c>
      <c r="Y292" s="66" t="s">
        <v>1971</v>
      </c>
      <c r="Z292" s="62" t="s">
        <v>1972</v>
      </c>
      <c r="AA292" s="62" t="str">
        <f>IFERROR("Queue Got Merged in "&amp;VLOOKUP(A292,'CQNs Merged_Split'!$B$7:$D$103,3,FALSE),"")</f>
        <v>Queue Got Merged in GS05</v>
      </c>
      <c r="AB292" s="62" t="s">
        <v>2208</v>
      </c>
      <c r="AC292" s="62" t="e">
        <v>#N/A</v>
      </c>
    </row>
    <row r="293" spans="1:29" ht="15" customHeight="1" outlineLevel="1" x14ac:dyDescent="0.3">
      <c r="A293" s="62" t="s">
        <v>416</v>
      </c>
      <c r="B293" s="62" t="s">
        <v>417</v>
      </c>
      <c r="C293" s="62" t="s">
        <v>973</v>
      </c>
      <c r="D293" s="62" t="s">
        <v>301</v>
      </c>
      <c r="E293" s="62" t="s">
        <v>403</v>
      </c>
      <c r="F293" s="62" t="s">
        <v>8</v>
      </c>
      <c r="G293" s="62" t="s">
        <v>2249</v>
      </c>
      <c r="H293" s="62" t="s">
        <v>893</v>
      </c>
      <c r="I293" s="62" t="s">
        <v>894</v>
      </c>
      <c r="J293" s="63">
        <v>0.64800000000000002</v>
      </c>
      <c r="K293" s="63">
        <v>2.0441445869264104E-2</v>
      </c>
      <c r="L293" s="62"/>
      <c r="M293" s="62" t="s">
        <v>923</v>
      </c>
      <c r="N293" s="62" t="s">
        <v>916</v>
      </c>
      <c r="O293" s="62" t="str">
        <f t="shared" si="4"/>
        <v>IU45_NAMER HES Vplex</v>
      </c>
      <c r="P293" s="62" t="s">
        <v>930</v>
      </c>
      <c r="Q293" s="62" t="s">
        <v>972</v>
      </c>
      <c r="R293" s="62">
        <v>11</v>
      </c>
      <c r="S293" s="64"/>
      <c r="T293" s="62" t="s">
        <v>905</v>
      </c>
      <c r="U293" s="62">
        <v>13</v>
      </c>
      <c r="V293" s="65" t="s">
        <v>1886</v>
      </c>
      <c r="W293" s="65">
        <v>0</v>
      </c>
      <c r="X293" s="62" t="str">
        <f>VLOOKUP(A293,'CQNs Merged_Split'!B:E,4,0)</f>
        <v>Global Vplex FL</v>
      </c>
      <c r="Y293" s="66" t="s">
        <v>2014</v>
      </c>
      <c r="Z293" s="62" t="s">
        <v>1974</v>
      </c>
      <c r="AA293" s="62" t="str">
        <f>IFERROR("Queue Got Merged in "&amp;VLOOKUP(A293,'CQNs Merged_Split'!$B$7:$D$103,3,FALSE),"")</f>
        <v>Queue Got Merged in GC25</v>
      </c>
      <c r="AB293" s="62" t="s">
        <v>2208</v>
      </c>
      <c r="AC293" s="62" t="e">
        <v>#N/A</v>
      </c>
    </row>
    <row r="294" spans="1:29" ht="15" customHeight="1" outlineLevel="1" x14ac:dyDescent="0.3">
      <c r="A294" s="62" t="s">
        <v>418</v>
      </c>
      <c r="B294" s="62"/>
      <c r="C294" s="62" t="s">
        <v>892</v>
      </c>
      <c r="D294" s="62" t="s">
        <v>301</v>
      </c>
      <c r="E294" s="62" t="s">
        <v>403</v>
      </c>
      <c r="F294" s="62" t="s">
        <v>8</v>
      </c>
      <c r="G294" s="62" t="e">
        <v>#N/A</v>
      </c>
      <c r="H294" s="62" t="s">
        <v>893</v>
      </c>
      <c r="I294" s="62" t="s">
        <v>894</v>
      </c>
      <c r="J294" s="63">
        <v>0.64800000000000002</v>
      </c>
      <c r="K294" s="63">
        <v>2.0441445869264104E-2</v>
      </c>
      <c r="L294" s="62"/>
      <c r="M294" s="62">
        <v>0</v>
      </c>
      <c r="N294" s="62" t="s">
        <v>916</v>
      </c>
      <c r="O294" s="62" t="str">
        <f t="shared" si="4"/>
        <v>IU45a_</v>
      </c>
      <c r="P294" s="62" t="e">
        <v>#N/A</v>
      </c>
      <c r="Q294" s="62" t="s">
        <v>972</v>
      </c>
      <c r="R294" s="62">
        <v>0</v>
      </c>
      <c r="S294" s="64"/>
      <c r="T294" s="62" t="s">
        <v>905</v>
      </c>
      <c r="U294" s="62">
        <v>13</v>
      </c>
      <c r="V294" s="65" t="s">
        <v>1886</v>
      </c>
      <c r="W294" s="65">
        <v>0</v>
      </c>
      <c r="X294" s="62"/>
      <c r="Y294" s="66" t="e">
        <v>#N/A</v>
      </c>
      <c r="Z294" s="62" t="e">
        <v>#N/A</v>
      </c>
      <c r="AA294" s="62"/>
      <c r="AB294" s="62" t="e">
        <v>#N/A</v>
      </c>
      <c r="AC294" s="62" t="e">
        <v>#N/A</v>
      </c>
    </row>
    <row r="295" spans="1:29" ht="15" customHeight="1" outlineLevel="1" x14ac:dyDescent="0.3">
      <c r="A295" s="62" t="s">
        <v>434</v>
      </c>
      <c r="B295" s="62" t="s">
        <v>435</v>
      </c>
      <c r="C295" s="62" t="s">
        <v>892</v>
      </c>
      <c r="D295" s="62" t="s">
        <v>301</v>
      </c>
      <c r="E295" s="62" t="s">
        <v>419</v>
      </c>
      <c r="F295" s="62" t="s">
        <v>8</v>
      </c>
      <c r="G295" s="62" t="s">
        <v>2249</v>
      </c>
      <c r="H295" s="62" t="s">
        <v>893</v>
      </c>
      <c r="I295" s="62" t="s">
        <v>894</v>
      </c>
      <c r="J295" s="63">
        <v>0.64800000000000002</v>
      </c>
      <c r="K295" s="63">
        <v>2.0441445869264104E-2</v>
      </c>
      <c r="L295" s="62"/>
      <c r="M295" s="62">
        <v>0</v>
      </c>
      <c r="N295" s="62" t="s">
        <v>916</v>
      </c>
      <c r="O295" s="62" t="str">
        <f t="shared" si="4"/>
        <v>IU46_NAMER HES XtremIO</v>
      </c>
      <c r="P295" s="62" t="s">
        <v>930</v>
      </c>
      <c r="Q295" s="62" t="s">
        <v>972</v>
      </c>
      <c r="R295" s="62">
        <v>0</v>
      </c>
      <c r="S295" s="64"/>
      <c r="T295" s="62" t="s">
        <v>905</v>
      </c>
      <c r="U295" s="62">
        <v>13</v>
      </c>
      <c r="V295" s="65" t="s">
        <v>1886</v>
      </c>
      <c r="W295" s="65">
        <v>0</v>
      </c>
      <c r="X295" s="62"/>
      <c r="Y295" s="66" t="e">
        <v>#N/A</v>
      </c>
      <c r="Z295" s="62" t="e">
        <v>#N/A</v>
      </c>
      <c r="AA295" s="62"/>
      <c r="AB295" s="62" t="s">
        <v>2208</v>
      </c>
      <c r="AC295" s="62" t="e">
        <v>#N/A</v>
      </c>
    </row>
    <row r="296" spans="1:29" ht="15" customHeight="1" outlineLevel="1" x14ac:dyDescent="0.3">
      <c r="A296" s="62" t="s">
        <v>160</v>
      </c>
      <c r="B296" s="62" t="s">
        <v>161</v>
      </c>
      <c r="C296" s="62" t="s">
        <v>1044</v>
      </c>
      <c r="D296" s="62" t="s">
        <v>158</v>
      </c>
      <c r="E296" s="62" t="s">
        <v>159</v>
      </c>
      <c r="F296" s="62" t="s">
        <v>8</v>
      </c>
      <c r="G296" s="62" t="s">
        <v>2250</v>
      </c>
      <c r="H296" s="62" t="s">
        <v>929</v>
      </c>
      <c r="I296" s="62" t="s">
        <v>929</v>
      </c>
      <c r="J296" s="63">
        <v>0.63300000000000001</v>
      </c>
      <c r="K296" s="63">
        <v>1.8670169726832081E-2</v>
      </c>
      <c r="L296" s="62"/>
      <c r="M296" s="62" t="s">
        <v>895</v>
      </c>
      <c r="N296" s="62" t="s">
        <v>916</v>
      </c>
      <c r="O296" s="62" t="str">
        <f t="shared" si="4"/>
        <v>AX01_HCS Global APEX</v>
      </c>
      <c r="P296" s="62" t="s">
        <v>2177</v>
      </c>
      <c r="Q296" s="62" t="s">
        <v>1883</v>
      </c>
      <c r="R296" s="62">
        <v>14</v>
      </c>
      <c r="S296" s="64"/>
      <c r="T296" s="62" t="s">
        <v>905</v>
      </c>
      <c r="U296" s="62">
        <v>13</v>
      </c>
      <c r="V296" s="65" t="s">
        <v>1886</v>
      </c>
      <c r="W296" s="65">
        <v>0</v>
      </c>
      <c r="X296" s="62"/>
      <c r="Y296" s="66" t="s">
        <v>1971</v>
      </c>
      <c r="Z296" s="62" t="s">
        <v>1972</v>
      </c>
      <c r="AA296" s="62"/>
      <c r="AB296" s="62" t="s">
        <v>2208</v>
      </c>
      <c r="AC296" s="62" t="e">
        <v>#N/A</v>
      </c>
    </row>
    <row r="297" spans="1:29" ht="15" customHeight="1" outlineLevel="1" x14ac:dyDescent="0.3">
      <c r="A297" s="62" t="s">
        <v>103</v>
      </c>
      <c r="B297" s="62" t="s">
        <v>104</v>
      </c>
      <c r="C297" s="62" t="s">
        <v>892</v>
      </c>
      <c r="D297" s="62" t="s">
        <v>44</v>
      </c>
      <c r="E297" s="62" t="s">
        <v>102</v>
      </c>
      <c r="F297" s="62" t="s">
        <v>8</v>
      </c>
      <c r="G297" s="62" t="s">
        <v>2249</v>
      </c>
      <c r="H297" s="62" t="s">
        <v>903</v>
      </c>
      <c r="I297" s="62" t="s">
        <v>909</v>
      </c>
      <c r="J297" s="63">
        <v>0.629</v>
      </c>
      <c r="K297" s="63">
        <v>2.278539874447803E-2</v>
      </c>
      <c r="L297" s="62"/>
      <c r="M297" s="62" t="s">
        <v>920</v>
      </c>
      <c r="N297" s="62" t="s">
        <v>916</v>
      </c>
      <c r="O297" s="62" t="str">
        <f t="shared" si="4"/>
        <v>AP26_APJ DPD DPSolutions Chinese</v>
      </c>
      <c r="P297" s="62" t="s">
        <v>2187</v>
      </c>
      <c r="Q297" s="62" t="s">
        <v>2120</v>
      </c>
      <c r="R297" s="62">
        <v>12</v>
      </c>
      <c r="S297" s="64"/>
      <c r="T297" s="62" t="s">
        <v>905</v>
      </c>
      <c r="U297" s="62">
        <v>13</v>
      </c>
      <c r="V297" s="65" t="s">
        <v>1886</v>
      </c>
      <c r="W297" s="65">
        <v>0</v>
      </c>
      <c r="X297" s="62"/>
      <c r="Y297" s="66" t="e">
        <v>#N/A</v>
      </c>
      <c r="Z297" s="62" t="e">
        <v>#N/A</v>
      </c>
      <c r="AA297" s="62"/>
      <c r="AB297" s="62" t="s">
        <v>2211</v>
      </c>
      <c r="AC297" s="62" t="e">
        <v>#N/A</v>
      </c>
    </row>
    <row r="298" spans="1:29" ht="15" customHeight="1" outlineLevel="1" x14ac:dyDescent="0.3">
      <c r="A298" s="62" t="s">
        <v>692</v>
      </c>
      <c r="B298" s="62" t="s">
        <v>1913</v>
      </c>
      <c r="C298" s="62" t="s">
        <v>1044</v>
      </c>
      <c r="D298" s="62" t="s">
        <v>672</v>
      </c>
      <c r="E298" s="62" t="s">
        <v>2203</v>
      </c>
      <c r="F298" s="62" t="s">
        <v>8</v>
      </c>
      <c r="G298" s="62" t="s">
        <v>2251</v>
      </c>
      <c r="H298" s="62" t="s">
        <v>903</v>
      </c>
      <c r="I298" s="62" t="s">
        <v>904</v>
      </c>
      <c r="J298" s="63">
        <v>0.629</v>
      </c>
      <c r="K298" s="63">
        <v>1.0471204188481676E-2</v>
      </c>
      <c r="L298" s="62"/>
      <c r="M298" s="62" t="s">
        <v>919</v>
      </c>
      <c r="N298" s="62" t="s">
        <v>916</v>
      </c>
      <c r="O298" s="62" t="str">
        <f t="shared" si="4"/>
        <v>IS01_APJ UDS PowerScale</v>
      </c>
      <c r="P298" s="62" t="s">
        <v>2195</v>
      </c>
      <c r="Q298" s="62" t="s">
        <v>1884</v>
      </c>
      <c r="R298" s="62">
        <v>16</v>
      </c>
      <c r="S298" s="64"/>
      <c r="T298" s="62" t="s">
        <v>905</v>
      </c>
      <c r="U298" s="62">
        <v>13</v>
      </c>
      <c r="V298" s="65" t="s">
        <v>1886</v>
      </c>
      <c r="W298" s="65">
        <v>46</v>
      </c>
      <c r="X298" s="62"/>
      <c r="Y298" s="66" t="s">
        <v>2041</v>
      </c>
      <c r="Z298" s="62" t="s">
        <v>1972</v>
      </c>
      <c r="AA298" s="62" t="str">
        <f>IFERROR("Queue Got Merged in "&amp;VLOOKUP(A298,'CQNs Merged_Split'!$B$7:$D$103,3,FALSE),"")</f>
        <v/>
      </c>
      <c r="AB298" s="67" t="s">
        <v>2210</v>
      </c>
      <c r="AC298" s="62" t="s">
        <v>2243</v>
      </c>
    </row>
    <row r="299" spans="1:29" ht="15" customHeight="1" outlineLevel="1" x14ac:dyDescent="0.3">
      <c r="A299" s="62" t="s">
        <v>945</v>
      </c>
      <c r="B299" s="62" t="s">
        <v>946</v>
      </c>
      <c r="C299" s="62" t="s">
        <v>928</v>
      </c>
      <c r="D299" s="62" t="s">
        <v>440</v>
      </c>
      <c r="E299" s="62" t="s">
        <v>440</v>
      </c>
      <c r="F299" s="62" t="s">
        <v>8</v>
      </c>
      <c r="G299" s="62" t="s">
        <v>1881</v>
      </c>
      <c r="H299" s="62" t="s">
        <v>903</v>
      </c>
      <c r="I299" s="62" t="s">
        <v>909</v>
      </c>
      <c r="J299" s="63">
        <v>0.63900000000000001</v>
      </c>
      <c r="K299" s="63"/>
      <c r="L299" s="62"/>
      <c r="M299" s="62" t="s">
        <v>895</v>
      </c>
      <c r="N299" s="62" t="s">
        <v>916</v>
      </c>
      <c r="O299" s="62" t="str">
        <f t="shared" si="4"/>
        <v>CC12_Social Media CCC</v>
      </c>
      <c r="P299" s="62" t="s">
        <v>2195</v>
      </c>
      <c r="Q299" s="62" t="s">
        <v>1883</v>
      </c>
      <c r="R299" s="62">
        <v>14</v>
      </c>
      <c r="S299" s="64"/>
      <c r="T299" s="62" t="s">
        <v>1881</v>
      </c>
      <c r="U299" s="62">
        <v>13</v>
      </c>
      <c r="V299" s="65" t="s">
        <v>1886</v>
      </c>
      <c r="W299" s="65">
        <v>9</v>
      </c>
      <c r="X299" s="62" t="s">
        <v>2146</v>
      </c>
      <c r="Y299" s="66" t="s">
        <v>1790</v>
      </c>
      <c r="Z299" s="62" t="s">
        <v>1790</v>
      </c>
      <c r="AA299" s="62" t="str">
        <f>IFERROR("Queue Got Merged in "&amp;VLOOKUP(A299,'CQNs Merged_Split'!$B$7:$D$103,3,FALSE),"")</f>
        <v/>
      </c>
      <c r="AB299" s="62" t="s">
        <v>2210</v>
      </c>
      <c r="AC299" s="62" t="e">
        <v>#N/A</v>
      </c>
    </row>
    <row r="300" spans="1:29" ht="15" customHeight="1" outlineLevel="1" x14ac:dyDescent="0.3">
      <c r="A300" s="62" t="s">
        <v>898</v>
      </c>
      <c r="B300" s="62" t="s">
        <v>899</v>
      </c>
      <c r="C300" s="62" t="s">
        <v>892</v>
      </c>
      <c r="D300" s="62"/>
      <c r="E300" s="62" t="s">
        <v>440</v>
      </c>
      <c r="F300" s="62" t="s">
        <v>900</v>
      </c>
      <c r="G300" s="62" t="e">
        <v>#N/A</v>
      </c>
      <c r="H300" s="62" t="s">
        <v>901</v>
      </c>
      <c r="I300" s="62" t="s">
        <v>894</v>
      </c>
      <c r="J300" s="63"/>
      <c r="K300" s="63"/>
      <c r="L300" s="62"/>
      <c r="M300" s="62" t="s">
        <v>895</v>
      </c>
      <c r="N300" s="62" t="s">
        <v>902</v>
      </c>
      <c r="O300" s="62" t="str">
        <f t="shared" si="4"/>
        <v>AM08_Quality Lead US</v>
      </c>
      <c r="P300" s="62" t="s">
        <v>2177</v>
      </c>
      <c r="Q300" s="62" t="s">
        <v>896</v>
      </c>
      <c r="R300" s="62">
        <v>14</v>
      </c>
      <c r="S300" s="64"/>
      <c r="T300" s="62" t="s">
        <v>1881</v>
      </c>
      <c r="U300" s="62"/>
      <c r="V300" s="65" t="s">
        <v>1886</v>
      </c>
      <c r="W300" s="65">
        <v>0</v>
      </c>
      <c r="X300" s="62"/>
      <c r="Y300" s="66" t="e">
        <v>#N/A</v>
      </c>
      <c r="Z300" s="62" t="e">
        <v>#N/A</v>
      </c>
      <c r="AA300" s="62"/>
      <c r="AB300" s="62" t="s">
        <v>2208</v>
      </c>
      <c r="AC300" s="62" t="e">
        <v>#N/A</v>
      </c>
    </row>
    <row r="301" spans="1:29" ht="15" customHeight="1" outlineLevel="1" x14ac:dyDescent="0.3">
      <c r="A301" s="62" t="s">
        <v>907</v>
      </c>
      <c r="B301" s="62" t="s">
        <v>908</v>
      </c>
      <c r="C301" s="62" t="s">
        <v>1842</v>
      </c>
      <c r="D301" s="62" t="s">
        <v>5</v>
      </c>
      <c r="E301" s="62" t="s">
        <v>5</v>
      </c>
      <c r="F301" s="62" t="s">
        <v>900</v>
      </c>
      <c r="G301" s="62" t="e">
        <v>#N/A</v>
      </c>
      <c r="H301" s="62" t="s">
        <v>903</v>
      </c>
      <c r="I301" s="62" t="s">
        <v>909</v>
      </c>
      <c r="J301" s="63"/>
      <c r="K301" s="63"/>
      <c r="L301" s="62"/>
      <c r="M301" s="62" t="s">
        <v>895</v>
      </c>
      <c r="N301" s="62"/>
      <c r="O301" s="62" t="str">
        <f t="shared" si="4"/>
        <v>AO11_APJ Biz Ops</v>
      </c>
      <c r="P301" s="62" t="s">
        <v>2177</v>
      </c>
      <c r="Q301" s="62" t="s">
        <v>896</v>
      </c>
      <c r="R301" s="62">
        <v>14</v>
      </c>
      <c r="S301" s="64"/>
      <c r="T301" s="62" t="s">
        <v>1881</v>
      </c>
      <c r="U301" s="62"/>
      <c r="V301" s="65" t="s">
        <v>1886</v>
      </c>
      <c r="W301" s="65">
        <v>1</v>
      </c>
      <c r="X301" s="62"/>
      <c r="Y301" s="66" t="e">
        <v>#N/A</v>
      </c>
      <c r="Z301" s="62" t="e">
        <v>#N/A</v>
      </c>
      <c r="AA301" s="62"/>
      <c r="AB301" s="62" t="s">
        <v>2211</v>
      </c>
      <c r="AC301" s="62" t="e">
        <v>#N/A</v>
      </c>
    </row>
    <row r="302" spans="1:29" ht="15" customHeight="1" outlineLevel="1" x14ac:dyDescent="0.3">
      <c r="A302" s="62" t="s">
        <v>910</v>
      </c>
      <c r="B302" s="62" t="s">
        <v>911</v>
      </c>
      <c r="C302" s="62" t="s">
        <v>892</v>
      </c>
      <c r="D302" s="62" t="s">
        <v>5</v>
      </c>
      <c r="E302" s="62" t="s">
        <v>5</v>
      </c>
      <c r="F302" s="62" t="s">
        <v>900</v>
      </c>
      <c r="G302" s="62" t="e">
        <v>#N/A</v>
      </c>
      <c r="H302" s="62" t="s">
        <v>912</v>
      </c>
      <c r="I302" s="62" t="s">
        <v>913</v>
      </c>
      <c r="J302" s="63"/>
      <c r="K302" s="63"/>
      <c r="L302" s="62"/>
      <c r="M302" s="62" t="s">
        <v>895</v>
      </c>
      <c r="N302" s="62"/>
      <c r="O302" s="62" t="str">
        <f t="shared" si="4"/>
        <v>AO14_EMEA Biz Ops</v>
      </c>
      <c r="P302" s="62" t="s">
        <v>2177</v>
      </c>
      <c r="Q302" s="62" t="s">
        <v>896</v>
      </c>
      <c r="R302" s="62">
        <v>14</v>
      </c>
      <c r="S302" s="64"/>
      <c r="T302" s="62" t="s">
        <v>1881</v>
      </c>
      <c r="U302" s="62"/>
      <c r="V302" s="65" t="s">
        <v>1886</v>
      </c>
      <c r="W302" s="65">
        <v>0</v>
      </c>
      <c r="X302" s="62"/>
      <c r="Y302" s="66" t="e">
        <v>#N/A</v>
      </c>
      <c r="Z302" s="62" t="e">
        <v>#N/A</v>
      </c>
      <c r="AA302" s="62"/>
      <c r="AB302" s="62" t="s">
        <v>2208</v>
      </c>
      <c r="AC302" s="62" t="e">
        <v>#N/A</v>
      </c>
    </row>
    <row r="303" spans="1:29" ht="15" customHeight="1" outlineLevel="1" x14ac:dyDescent="0.3">
      <c r="A303" s="62" t="s">
        <v>932</v>
      </c>
      <c r="B303" s="62" t="s">
        <v>933</v>
      </c>
      <c r="C303" s="62" t="s">
        <v>1843</v>
      </c>
      <c r="D303" s="62" t="s">
        <v>934</v>
      </c>
      <c r="E303" s="62" t="s">
        <v>934</v>
      </c>
      <c r="F303" s="62" t="s">
        <v>900</v>
      </c>
      <c r="G303" s="62" t="e">
        <v>#N/A</v>
      </c>
      <c r="H303" s="62" t="s">
        <v>903</v>
      </c>
      <c r="I303" s="62" t="s">
        <v>904</v>
      </c>
      <c r="J303" s="63"/>
      <c r="K303" s="63"/>
      <c r="L303" s="62"/>
      <c r="M303" s="62" t="s">
        <v>895</v>
      </c>
      <c r="N303" s="62"/>
      <c r="O303" s="62" t="str">
        <f t="shared" si="4"/>
        <v>AZ13_Client ProSupport ANZ</v>
      </c>
      <c r="P303" s="62" t="s">
        <v>2179</v>
      </c>
      <c r="Q303" s="62" t="s">
        <v>896</v>
      </c>
      <c r="R303" s="62">
        <v>14</v>
      </c>
      <c r="S303" s="64"/>
      <c r="T303" s="62" t="s">
        <v>1881</v>
      </c>
      <c r="U303" s="62"/>
      <c r="V303" s="65" t="s">
        <v>1886</v>
      </c>
      <c r="W303" s="65">
        <v>35</v>
      </c>
      <c r="X303" s="62"/>
      <c r="Y303" s="66" t="e">
        <v>#N/A</v>
      </c>
      <c r="Z303" s="62" t="e">
        <v>#N/A</v>
      </c>
      <c r="AA303" s="62"/>
      <c r="AB303" s="62" t="s">
        <v>2208</v>
      </c>
      <c r="AC303" s="62" t="e">
        <v>#N/A</v>
      </c>
    </row>
    <row r="304" spans="1:29" ht="15" customHeight="1" outlineLevel="1" x14ac:dyDescent="0.3">
      <c r="A304" s="62" t="s">
        <v>940</v>
      </c>
      <c r="B304" s="62" t="s">
        <v>941</v>
      </c>
      <c r="C304" s="62" t="s">
        <v>892</v>
      </c>
      <c r="D304" s="62"/>
      <c r="E304" s="62" t="s">
        <v>439</v>
      </c>
      <c r="F304" s="62" t="s">
        <v>900</v>
      </c>
      <c r="G304" s="62" t="e">
        <v>#N/A</v>
      </c>
      <c r="H304" s="62" t="s">
        <v>901</v>
      </c>
      <c r="I304" s="62" t="s">
        <v>936</v>
      </c>
      <c r="J304" s="63"/>
      <c r="K304" s="63"/>
      <c r="L304" s="62"/>
      <c r="M304" s="62" t="s">
        <v>895</v>
      </c>
      <c r="N304" s="62"/>
      <c r="O304" s="62" t="str">
        <f t="shared" si="4"/>
        <v>BZ19_Proactive Systems Maintenance BR</v>
      </c>
      <c r="P304" s="62" t="s">
        <v>2177</v>
      </c>
      <c r="Q304" s="62" t="s">
        <v>896</v>
      </c>
      <c r="R304" s="62">
        <v>14</v>
      </c>
      <c r="S304" s="64"/>
      <c r="T304" s="62" t="s">
        <v>1881</v>
      </c>
      <c r="U304" s="62"/>
      <c r="V304" s="65" t="s">
        <v>1886</v>
      </c>
      <c r="W304" s="65">
        <v>0</v>
      </c>
      <c r="X304" s="62"/>
      <c r="Y304" s="66" t="e">
        <v>#N/A</v>
      </c>
      <c r="Z304" s="62" t="e">
        <v>#N/A</v>
      </c>
      <c r="AA304" s="62"/>
      <c r="AB304" s="62" t="s">
        <v>2209</v>
      </c>
      <c r="AC304" s="62" t="e">
        <v>#N/A</v>
      </c>
    </row>
    <row r="305" spans="1:29" ht="15" customHeight="1" outlineLevel="1" x14ac:dyDescent="0.3">
      <c r="A305" s="62" t="s">
        <v>942</v>
      </c>
      <c r="B305" s="62" t="s">
        <v>1841</v>
      </c>
      <c r="C305" s="62" t="s">
        <v>1844</v>
      </c>
      <c r="D305" s="62" t="s">
        <v>440</v>
      </c>
      <c r="E305" s="62" t="s">
        <v>440</v>
      </c>
      <c r="F305" s="62" t="s">
        <v>900</v>
      </c>
      <c r="G305" s="62" t="e">
        <v>#N/A</v>
      </c>
      <c r="H305" s="62"/>
      <c r="I305" s="62"/>
      <c r="J305" s="63"/>
      <c r="K305" s="63"/>
      <c r="L305" s="62"/>
      <c r="M305" s="62" t="s">
        <v>895</v>
      </c>
      <c r="N305" s="62"/>
      <c r="O305" s="62" t="str">
        <f t="shared" si="4"/>
        <v>BZ20_RM Brazil</v>
      </c>
      <c r="P305" s="62" t="s">
        <v>2177</v>
      </c>
      <c r="Q305" s="62" t="s">
        <v>896</v>
      </c>
      <c r="R305" s="62">
        <v>14</v>
      </c>
      <c r="S305" s="64"/>
      <c r="T305" s="62" t="s">
        <v>1881</v>
      </c>
      <c r="U305" s="62"/>
      <c r="V305" s="65" t="s">
        <v>1886</v>
      </c>
      <c r="W305" s="65">
        <v>0</v>
      </c>
      <c r="X305" s="62"/>
      <c r="Y305" s="66" t="e">
        <v>#N/A</v>
      </c>
      <c r="Z305" s="62" t="e">
        <v>#N/A</v>
      </c>
      <c r="AA305" s="62"/>
      <c r="AB305" s="62" t="s">
        <v>2209</v>
      </c>
      <c r="AC305" s="62" t="e">
        <v>#N/A</v>
      </c>
    </row>
    <row r="306" spans="1:29" ht="15" customHeight="1" outlineLevel="1" x14ac:dyDescent="0.3">
      <c r="A306" s="62" t="s">
        <v>943</v>
      </c>
      <c r="B306" s="62" t="s">
        <v>944</v>
      </c>
      <c r="C306" s="62" t="s">
        <v>1843</v>
      </c>
      <c r="D306" s="62" t="s">
        <v>934</v>
      </c>
      <c r="E306" s="62" t="s">
        <v>934</v>
      </c>
      <c r="F306" s="62" t="s">
        <v>900</v>
      </c>
      <c r="G306" s="62" t="s">
        <v>1881</v>
      </c>
      <c r="H306" s="62" t="s">
        <v>903</v>
      </c>
      <c r="I306" s="62" t="s">
        <v>909</v>
      </c>
      <c r="J306" s="63"/>
      <c r="K306" s="63"/>
      <c r="L306" s="62"/>
      <c r="M306" s="62" t="s">
        <v>895</v>
      </c>
      <c r="N306" s="62"/>
      <c r="O306" s="62" t="str">
        <f t="shared" si="4"/>
        <v>CC03_Client ProSupport CCC BW</v>
      </c>
      <c r="P306" s="62" t="s">
        <v>2180</v>
      </c>
      <c r="Q306" s="62" t="s">
        <v>896</v>
      </c>
      <c r="R306" s="62">
        <v>14</v>
      </c>
      <c r="S306" s="64"/>
      <c r="T306" s="62" t="s">
        <v>1881</v>
      </c>
      <c r="U306" s="62"/>
      <c r="V306" s="65" t="s">
        <v>1886</v>
      </c>
      <c r="W306" s="65">
        <v>55</v>
      </c>
      <c r="X306" s="62"/>
      <c r="Y306" s="66" t="e">
        <v>#N/A</v>
      </c>
      <c r="Z306" s="62" t="e">
        <v>#N/A</v>
      </c>
      <c r="AA306" s="62"/>
      <c r="AB306" s="62" t="s">
        <v>2211</v>
      </c>
      <c r="AC306" s="62" t="e">
        <v>#N/A</v>
      </c>
    </row>
    <row r="307" spans="1:29" ht="15" customHeight="1" outlineLevel="1" x14ac:dyDescent="0.3">
      <c r="A307" s="62" t="s">
        <v>791</v>
      </c>
      <c r="B307" s="62" t="s">
        <v>792</v>
      </c>
      <c r="C307" s="62" t="s">
        <v>1843</v>
      </c>
      <c r="D307" s="62" t="s">
        <v>934</v>
      </c>
      <c r="E307" s="62" t="s">
        <v>934</v>
      </c>
      <c r="F307" s="62" t="s">
        <v>8</v>
      </c>
      <c r="G307" s="62" t="e">
        <v>#N/A</v>
      </c>
      <c r="H307" s="62"/>
      <c r="I307" s="62"/>
      <c r="J307" s="63"/>
      <c r="K307" s="63"/>
      <c r="L307" s="62"/>
      <c r="M307" s="62"/>
      <c r="N307" s="62"/>
      <c r="O307" s="62" t="str">
        <f t="shared" si="4"/>
        <v>CC11_Client ProSupport CCC ML</v>
      </c>
      <c r="P307" s="62" t="s">
        <v>2180</v>
      </c>
      <c r="Q307" s="62" t="s">
        <v>896</v>
      </c>
      <c r="R307" s="62"/>
      <c r="S307" s="64"/>
      <c r="T307" s="62" t="s">
        <v>1881</v>
      </c>
      <c r="U307" s="62"/>
      <c r="V307" s="65" t="s">
        <v>1886</v>
      </c>
      <c r="W307" s="65">
        <v>14</v>
      </c>
      <c r="X307" s="62"/>
      <c r="Y307" s="66" t="e">
        <v>#N/A</v>
      </c>
      <c r="Z307" s="62" t="e">
        <v>#N/A</v>
      </c>
      <c r="AA307" s="62"/>
      <c r="AB307" s="62" t="s">
        <v>2211</v>
      </c>
      <c r="AC307" s="62" t="e">
        <v>#N/A</v>
      </c>
    </row>
    <row r="308" spans="1:29" ht="15" customHeight="1" outlineLevel="1" x14ac:dyDescent="0.3">
      <c r="A308" s="62" t="s">
        <v>948</v>
      </c>
      <c r="B308" s="62" t="s">
        <v>949</v>
      </c>
      <c r="C308" s="62" t="s">
        <v>892</v>
      </c>
      <c r="D308" s="62"/>
      <c r="E308" s="62" t="s">
        <v>439</v>
      </c>
      <c r="F308" s="62" t="s">
        <v>900</v>
      </c>
      <c r="G308" s="62" t="e">
        <v>#N/A</v>
      </c>
      <c r="H308" s="62" t="s">
        <v>903</v>
      </c>
      <c r="I308" s="62" t="s">
        <v>909</v>
      </c>
      <c r="J308" s="63"/>
      <c r="K308" s="63"/>
      <c r="L308" s="62"/>
      <c r="M308" s="62" t="s">
        <v>895</v>
      </c>
      <c r="N308" s="62"/>
      <c r="O308" s="62" t="str">
        <f t="shared" si="4"/>
        <v>CC13_Proactive Systems Maintenance CCC</v>
      </c>
      <c r="P308" s="62" t="s">
        <v>2177</v>
      </c>
      <c r="Q308" s="62" t="s">
        <v>896</v>
      </c>
      <c r="R308" s="62">
        <v>14</v>
      </c>
      <c r="S308" s="64"/>
      <c r="T308" s="62" t="s">
        <v>1881</v>
      </c>
      <c r="U308" s="62"/>
      <c r="V308" s="65" t="s">
        <v>1886</v>
      </c>
      <c r="W308" s="65">
        <v>0</v>
      </c>
      <c r="X308" s="62"/>
      <c r="Y308" s="66" t="e">
        <v>#N/A</v>
      </c>
      <c r="Z308" s="62" t="e">
        <v>#N/A</v>
      </c>
      <c r="AA308" s="62"/>
      <c r="AB308" s="62" t="s">
        <v>2208</v>
      </c>
      <c r="AC308" s="62" t="e">
        <v>#N/A</v>
      </c>
    </row>
    <row r="309" spans="1:29" ht="15" customHeight="1" outlineLevel="1" x14ac:dyDescent="0.3">
      <c r="A309" s="62" t="s">
        <v>953</v>
      </c>
      <c r="B309" s="62"/>
      <c r="C309" s="62" t="s">
        <v>892</v>
      </c>
      <c r="D309" s="62"/>
      <c r="E309" s="62" t="e">
        <v>#N/A</v>
      </c>
      <c r="F309" s="62" t="s">
        <v>900</v>
      </c>
      <c r="G309" s="62" t="e">
        <v>#N/A</v>
      </c>
      <c r="H309" s="62"/>
      <c r="I309" s="62"/>
      <c r="J309" s="63"/>
      <c r="K309" s="63"/>
      <c r="L309" s="62"/>
      <c r="M309" s="62" t="s">
        <v>895</v>
      </c>
      <c r="N309" s="62"/>
      <c r="O309" s="62" t="str">
        <f t="shared" si="4"/>
        <v>CG01_</v>
      </c>
      <c r="P309" s="62" t="e">
        <v>#N/A</v>
      </c>
      <c r="Q309" s="62" t="s">
        <v>896</v>
      </c>
      <c r="R309" s="62">
        <v>14</v>
      </c>
      <c r="S309" s="64"/>
      <c r="T309" s="62" t="s">
        <v>1881</v>
      </c>
      <c r="U309" s="62"/>
      <c r="V309" s="65" t="s">
        <v>1886</v>
      </c>
      <c r="W309" s="65">
        <v>0</v>
      </c>
      <c r="X309" s="62"/>
      <c r="Y309" s="66" t="e">
        <v>#N/A</v>
      </c>
      <c r="Z309" s="62" t="e">
        <v>#N/A</v>
      </c>
      <c r="AA309" s="62"/>
      <c r="AB309" s="62" t="e">
        <v>#N/A</v>
      </c>
      <c r="AC309" s="62" t="e">
        <v>#N/A</v>
      </c>
    </row>
    <row r="310" spans="1:29" ht="15" customHeight="1" outlineLevel="1" x14ac:dyDescent="0.3">
      <c r="A310" s="62" t="s">
        <v>806</v>
      </c>
      <c r="B310" s="62" t="s">
        <v>807</v>
      </c>
      <c r="C310" s="62" t="s">
        <v>1846</v>
      </c>
      <c r="D310" s="62" t="s">
        <v>934</v>
      </c>
      <c r="E310" s="62" t="s">
        <v>934</v>
      </c>
      <c r="F310" s="62" t="s">
        <v>8</v>
      </c>
      <c r="G310" s="62" t="e">
        <v>#N/A</v>
      </c>
      <c r="H310" s="62"/>
      <c r="I310" s="62"/>
      <c r="J310" s="63"/>
      <c r="K310" s="63"/>
      <c r="L310" s="62"/>
      <c r="M310" s="62"/>
      <c r="N310" s="62"/>
      <c r="O310" s="62" t="str">
        <f t="shared" si="4"/>
        <v>CHEQ_CHK Cons Tech CSQ BW</v>
      </c>
      <c r="P310" s="62" t="s">
        <v>2180</v>
      </c>
      <c r="Q310" s="62" t="s">
        <v>896</v>
      </c>
      <c r="R310" s="62"/>
      <c r="S310" s="64"/>
      <c r="T310" s="62" t="s">
        <v>1881</v>
      </c>
      <c r="U310" s="62"/>
      <c r="V310" s="65" t="s">
        <v>1886</v>
      </c>
      <c r="W310" s="65">
        <v>16.333333333333332</v>
      </c>
      <c r="X310" s="62"/>
      <c r="Y310" s="66" t="e">
        <v>#N/A</v>
      </c>
      <c r="Z310" s="62" t="e">
        <v>#N/A</v>
      </c>
      <c r="AA310" s="62"/>
      <c r="AB310" s="62" t="s">
        <v>2211</v>
      </c>
      <c r="AC310" s="62" t="e">
        <v>#N/A</v>
      </c>
    </row>
    <row r="311" spans="1:29" ht="15" customHeight="1" outlineLevel="1" x14ac:dyDescent="0.3">
      <c r="A311" s="62" t="s">
        <v>961</v>
      </c>
      <c r="B311" s="62" t="s">
        <v>962</v>
      </c>
      <c r="C311" s="62" t="s">
        <v>892</v>
      </c>
      <c r="D311" s="62" t="s">
        <v>952</v>
      </c>
      <c r="E311" s="62" t="s">
        <v>960</v>
      </c>
      <c r="F311" s="62" t="s">
        <v>900</v>
      </c>
      <c r="G311" s="62" t="e">
        <v>#N/A</v>
      </c>
      <c r="H311" s="62" t="s">
        <v>893</v>
      </c>
      <c r="I311" s="62" t="s">
        <v>894</v>
      </c>
      <c r="J311" s="63">
        <v>0.64800000000000002</v>
      </c>
      <c r="K311" s="63"/>
      <c r="L311" s="62"/>
      <c r="M311" s="62" t="s">
        <v>931</v>
      </c>
      <c r="N311" s="62" t="s">
        <v>952</v>
      </c>
      <c r="O311" s="62" t="str">
        <f t="shared" si="4"/>
        <v>CST4_CST SPUS</v>
      </c>
      <c r="P311" s="62" t="s">
        <v>2177</v>
      </c>
      <c r="Q311" s="62" t="s">
        <v>896</v>
      </c>
      <c r="R311" s="62">
        <v>8</v>
      </c>
      <c r="S311" s="64"/>
      <c r="T311" s="62" t="s">
        <v>1881</v>
      </c>
      <c r="U311" s="62"/>
      <c r="V311" s="65" t="s">
        <v>1886</v>
      </c>
      <c r="W311" s="65">
        <v>0</v>
      </c>
      <c r="X311" s="62"/>
      <c r="Y311" s="66" t="e">
        <v>#N/A</v>
      </c>
      <c r="Z311" s="62" t="e">
        <v>#N/A</v>
      </c>
      <c r="AA311" s="62"/>
      <c r="AB311" s="62" t="s">
        <v>2208</v>
      </c>
      <c r="AC311" s="62" t="e">
        <v>#N/A</v>
      </c>
    </row>
    <row r="312" spans="1:29" ht="15" customHeight="1" outlineLevel="1" x14ac:dyDescent="0.3">
      <c r="A312" s="62" t="s">
        <v>967</v>
      </c>
      <c r="B312" s="62" t="s">
        <v>968</v>
      </c>
      <c r="C312" s="62" t="s">
        <v>892</v>
      </c>
      <c r="D312" s="62"/>
      <c r="E312" s="62" t="s">
        <v>609</v>
      </c>
      <c r="F312" s="62" t="s">
        <v>900</v>
      </c>
      <c r="G312" s="62" t="e">
        <v>#N/A</v>
      </c>
      <c r="H312" s="62" t="s">
        <v>901</v>
      </c>
      <c r="I312" s="62" t="s">
        <v>936</v>
      </c>
      <c r="J312" s="63"/>
      <c r="K312" s="63"/>
      <c r="L312" s="62"/>
      <c r="M312" s="62" t="s">
        <v>895</v>
      </c>
      <c r="N312" s="62" t="s">
        <v>13</v>
      </c>
      <c r="O312" s="62" t="str">
        <f t="shared" si="4"/>
        <v>CT12_CTE BRZ</v>
      </c>
      <c r="P312" s="62" t="s">
        <v>2177</v>
      </c>
      <c r="Q312" s="62" t="s">
        <v>896</v>
      </c>
      <c r="R312" s="62">
        <v>14</v>
      </c>
      <c r="S312" s="64"/>
      <c r="T312" s="62" t="s">
        <v>1881</v>
      </c>
      <c r="U312" s="62"/>
      <c r="V312" s="65" t="s">
        <v>1886</v>
      </c>
      <c r="W312" s="65">
        <v>0</v>
      </c>
      <c r="X312" s="62"/>
      <c r="Y312" s="66" t="e">
        <v>#N/A</v>
      </c>
      <c r="Z312" s="62" t="e">
        <v>#N/A</v>
      </c>
      <c r="AA312" s="62"/>
      <c r="AB312" s="62" t="s">
        <v>2209</v>
      </c>
      <c r="AC312" s="62" t="e">
        <v>#N/A</v>
      </c>
    </row>
    <row r="313" spans="1:29" ht="15" customHeight="1" outlineLevel="1" x14ac:dyDescent="0.3">
      <c r="A313" s="62" t="s">
        <v>969</v>
      </c>
      <c r="B313" s="62" t="s">
        <v>970</v>
      </c>
      <c r="C313" s="62" t="s">
        <v>892</v>
      </c>
      <c r="D313" s="62"/>
      <c r="E313" s="62" t="s">
        <v>609</v>
      </c>
      <c r="F313" s="62" t="s">
        <v>900</v>
      </c>
      <c r="G313" s="62" t="e">
        <v>#N/A</v>
      </c>
      <c r="H313" s="62" t="s">
        <v>901</v>
      </c>
      <c r="I313" s="62" t="s">
        <v>971</v>
      </c>
      <c r="J313" s="63"/>
      <c r="K313" s="63"/>
      <c r="L313" s="62"/>
      <c r="M313" s="62" t="s">
        <v>895</v>
      </c>
      <c r="N313" s="62" t="s">
        <v>13</v>
      </c>
      <c r="O313" s="62" t="str">
        <f t="shared" si="4"/>
        <v>CT17_CTE ROLA</v>
      </c>
      <c r="P313" s="62" t="s">
        <v>2177</v>
      </c>
      <c r="Q313" s="62" t="s">
        <v>896</v>
      </c>
      <c r="R313" s="62">
        <v>14</v>
      </c>
      <c r="S313" s="64"/>
      <c r="T313" s="62" t="s">
        <v>1881</v>
      </c>
      <c r="U313" s="62"/>
      <c r="V313" s="65" t="s">
        <v>1886</v>
      </c>
      <c r="W313" s="65">
        <v>0</v>
      </c>
      <c r="X313" s="62"/>
      <c r="Y313" s="66" t="e">
        <v>#N/A</v>
      </c>
      <c r="Z313" s="62" t="e">
        <v>#N/A</v>
      </c>
      <c r="AA313" s="62"/>
      <c r="AB313" s="62" t="s">
        <v>779</v>
      </c>
      <c r="AC313" s="62" t="e">
        <v>#N/A</v>
      </c>
    </row>
    <row r="314" spans="1:29" ht="15" customHeight="1" outlineLevel="1" x14ac:dyDescent="0.3">
      <c r="A314" s="62" t="s">
        <v>977</v>
      </c>
      <c r="B314" s="62" t="s">
        <v>978</v>
      </c>
      <c r="C314" s="62" t="s">
        <v>892</v>
      </c>
      <c r="D314" s="62"/>
      <c r="E314" s="62" t="s">
        <v>266</v>
      </c>
      <c r="F314" s="62" t="s">
        <v>900</v>
      </c>
      <c r="G314" s="62" t="s">
        <v>2250</v>
      </c>
      <c r="H314" s="62" t="s">
        <v>929</v>
      </c>
      <c r="I314" s="62" t="s">
        <v>979</v>
      </c>
      <c r="J314" s="63"/>
      <c r="K314" s="63"/>
      <c r="L314" s="62"/>
      <c r="M314" s="62" t="s">
        <v>895</v>
      </c>
      <c r="N314" s="62"/>
      <c r="O314" s="62" t="str">
        <f t="shared" si="4"/>
        <v>CT32_Global Networking RTSE</v>
      </c>
      <c r="P314" s="62" t="s">
        <v>2177</v>
      </c>
      <c r="Q314" s="62" t="s">
        <v>896</v>
      </c>
      <c r="R314" s="62">
        <v>14</v>
      </c>
      <c r="S314" s="64"/>
      <c r="T314" s="62" t="s">
        <v>1881</v>
      </c>
      <c r="U314" s="62"/>
      <c r="V314" s="65" t="s">
        <v>1886</v>
      </c>
      <c r="W314" s="65">
        <v>0</v>
      </c>
      <c r="X314" s="62"/>
      <c r="Y314" s="66" t="e">
        <v>#N/A</v>
      </c>
      <c r="Z314" s="62" t="e">
        <v>#N/A</v>
      </c>
      <c r="AA314" s="62"/>
      <c r="AB314" s="62" t="s">
        <v>2208</v>
      </c>
      <c r="AC314" s="62" t="e">
        <v>#N/A</v>
      </c>
    </row>
    <row r="315" spans="1:29" ht="15" customHeight="1" outlineLevel="1" x14ac:dyDescent="0.3">
      <c r="A315" s="62" t="s">
        <v>980</v>
      </c>
      <c r="B315" s="62" t="s">
        <v>981</v>
      </c>
      <c r="C315" s="62" t="s">
        <v>892</v>
      </c>
      <c r="D315" s="62"/>
      <c r="E315" s="62" t="s">
        <v>609</v>
      </c>
      <c r="F315" s="62" t="s">
        <v>900</v>
      </c>
      <c r="G315" s="62" t="e">
        <v>#N/A</v>
      </c>
      <c r="H315" s="62" t="s">
        <v>929</v>
      </c>
      <c r="I315" s="62" t="s">
        <v>979</v>
      </c>
      <c r="J315" s="63"/>
      <c r="K315" s="63"/>
      <c r="L315" s="62"/>
      <c r="M315" s="62" t="s">
        <v>895</v>
      </c>
      <c r="N315" s="62"/>
      <c r="O315" s="62" t="str">
        <f t="shared" si="4"/>
        <v>CT34_Solutions SPSPE</v>
      </c>
      <c r="P315" s="62" t="s">
        <v>2177</v>
      </c>
      <c r="Q315" s="62" t="s">
        <v>896</v>
      </c>
      <c r="R315" s="62">
        <v>14</v>
      </c>
      <c r="S315" s="64"/>
      <c r="T315" s="62" t="s">
        <v>1881</v>
      </c>
      <c r="U315" s="62"/>
      <c r="V315" s="65" t="s">
        <v>1886</v>
      </c>
      <c r="W315" s="65">
        <v>0</v>
      </c>
      <c r="X315" s="62"/>
      <c r="Y315" s="66" t="e">
        <v>#N/A</v>
      </c>
      <c r="Z315" s="62" t="e">
        <v>#N/A</v>
      </c>
      <c r="AA315" s="62"/>
      <c r="AB315" s="62" t="s">
        <v>2208</v>
      </c>
      <c r="AC315" s="62" t="e">
        <v>#N/A</v>
      </c>
    </row>
    <row r="316" spans="1:29" ht="15" customHeight="1" outlineLevel="1" x14ac:dyDescent="0.3">
      <c r="A316" s="62" t="s">
        <v>982</v>
      </c>
      <c r="B316" s="62" t="s">
        <v>983</v>
      </c>
      <c r="C316" s="62" t="s">
        <v>892</v>
      </c>
      <c r="D316" s="62"/>
      <c r="E316" s="62" t="s">
        <v>439</v>
      </c>
      <c r="F316" s="62" t="s">
        <v>900</v>
      </c>
      <c r="G316" s="62" t="e">
        <v>#N/A</v>
      </c>
      <c r="H316" s="62" t="s">
        <v>929</v>
      </c>
      <c r="I316" s="62" t="s">
        <v>979</v>
      </c>
      <c r="J316" s="63"/>
      <c r="K316" s="63"/>
      <c r="L316" s="62"/>
      <c r="M316" s="62" t="s">
        <v>895</v>
      </c>
      <c r="N316" s="62"/>
      <c r="O316" s="62" t="str">
        <f t="shared" si="4"/>
        <v>CT35_Server SPSPE</v>
      </c>
      <c r="P316" s="62" t="s">
        <v>2177</v>
      </c>
      <c r="Q316" s="62" t="s">
        <v>896</v>
      </c>
      <c r="R316" s="62">
        <v>14</v>
      </c>
      <c r="S316" s="64"/>
      <c r="T316" s="62" t="s">
        <v>1881</v>
      </c>
      <c r="U316" s="62"/>
      <c r="V316" s="65" t="s">
        <v>1886</v>
      </c>
      <c r="W316" s="65">
        <v>0</v>
      </c>
      <c r="X316" s="62"/>
      <c r="Y316" s="66" t="e">
        <v>#N/A</v>
      </c>
      <c r="Z316" s="62" t="e">
        <v>#N/A</v>
      </c>
      <c r="AA316" s="62"/>
      <c r="AB316" s="62" t="s">
        <v>2208</v>
      </c>
      <c r="AC316" s="62" t="e">
        <v>#N/A</v>
      </c>
    </row>
    <row r="317" spans="1:29" ht="15" customHeight="1" outlineLevel="1" x14ac:dyDescent="0.3">
      <c r="A317" s="62" t="s">
        <v>984</v>
      </c>
      <c r="B317" s="62" t="s">
        <v>985</v>
      </c>
      <c r="C317" s="62" t="s">
        <v>892</v>
      </c>
      <c r="D317" s="62"/>
      <c r="E317" s="62" t="s">
        <v>266</v>
      </c>
      <c r="F317" s="62" t="s">
        <v>900</v>
      </c>
      <c r="G317" s="62" t="e">
        <v>#N/A</v>
      </c>
      <c r="H317" s="62" t="s">
        <v>929</v>
      </c>
      <c r="I317" s="62" t="s">
        <v>979</v>
      </c>
      <c r="J317" s="63"/>
      <c r="K317" s="63"/>
      <c r="L317" s="62"/>
      <c r="M317" s="62" t="s">
        <v>895</v>
      </c>
      <c r="N317" s="62" t="s">
        <v>957</v>
      </c>
      <c r="O317" s="62" t="str">
        <f t="shared" si="4"/>
        <v>CT38_Global Service Routing Manager</v>
      </c>
      <c r="P317" s="62" t="s">
        <v>2177</v>
      </c>
      <c r="Q317" s="62" t="s">
        <v>896</v>
      </c>
      <c r="R317" s="62">
        <v>14</v>
      </c>
      <c r="S317" s="64"/>
      <c r="T317" s="62" t="s">
        <v>1881</v>
      </c>
      <c r="U317" s="62"/>
      <c r="V317" s="65" t="s">
        <v>1886</v>
      </c>
      <c r="W317" s="65">
        <v>0</v>
      </c>
      <c r="X317" s="62"/>
      <c r="Y317" s="66" t="e">
        <v>#N/A</v>
      </c>
      <c r="Z317" s="62" t="e">
        <v>#N/A</v>
      </c>
      <c r="AA317" s="62"/>
      <c r="AB317" s="62" t="s">
        <v>2208</v>
      </c>
      <c r="AC317" s="62" t="e">
        <v>#N/A</v>
      </c>
    </row>
    <row r="318" spans="1:29" ht="15" customHeight="1" outlineLevel="1" x14ac:dyDescent="0.3">
      <c r="A318" s="62" t="s">
        <v>1011</v>
      </c>
      <c r="B318" s="62" t="s">
        <v>1012</v>
      </c>
      <c r="C318" s="62" t="s">
        <v>1843</v>
      </c>
      <c r="D318" s="62" t="s">
        <v>934</v>
      </c>
      <c r="E318" s="62" t="s">
        <v>934</v>
      </c>
      <c r="F318" s="62" t="s">
        <v>900</v>
      </c>
      <c r="G318" s="62" t="e">
        <v>#N/A</v>
      </c>
      <c r="H318" s="62" t="s">
        <v>912</v>
      </c>
      <c r="I318" s="62" t="s">
        <v>1013</v>
      </c>
      <c r="J318" s="63"/>
      <c r="K318" s="63"/>
      <c r="L318" s="62"/>
      <c r="M318" s="62" t="s">
        <v>895</v>
      </c>
      <c r="N318" s="62"/>
      <c r="O318" s="62" t="str">
        <f t="shared" si="4"/>
        <v>EC04_ISR Client (Netanya)</v>
      </c>
      <c r="P318" s="62" t="s">
        <v>2182</v>
      </c>
      <c r="Q318" s="62" t="s">
        <v>896</v>
      </c>
      <c r="R318" s="62">
        <v>14</v>
      </c>
      <c r="S318" s="64"/>
      <c r="T318" s="62" t="s">
        <v>1881</v>
      </c>
      <c r="U318" s="62"/>
      <c r="V318" s="65" t="s">
        <v>1886</v>
      </c>
      <c r="W318" s="65">
        <v>38.666666666666664</v>
      </c>
      <c r="X318" s="62"/>
      <c r="Y318" s="66" t="e">
        <v>#N/A</v>
      </c>
      <c r="Z318" s="62" t="e">
        <v>#N/A</v>
      </c>
      <c r="AA318" s="62"/>
      <c r="AB318" s="62" t="s">
        <v>2214</v>
      </c>
      <c r="AC318" s="62" t="e">
        <v>#N/A</v>
      </c>
    </row>
    <row r="319" spans="1:29" ht="15" customHeight="1" outlineLevel="1" x14ac:dyDescent="0.3">
      <c r="A319" s="62" t="s">
        <v>1017</v>
      </c>
      <c r="B319" s="62" t="s">
        <v>1901</v>
      </c>
      <c r="C319" s="62" t="s">
        <v>892</v>
      </c>
      <c r="D319" s="62"/>
      <c r="E319" s="62"/>
      <c r="F319" s="62" t="s">
        <v>900</v>
      </c>
      <c r="G319" s="62" t="e">
        <v>#N/A</v>
      </c>
      <c r="H319" s="62"/>
      <c r="I319" s="62"/>
      <c r="J319" s="63"/>
      <c r="K319" s="63"/>
      <c r="L319" s="62"/>
      <c r="M319" s="62" t="s">
        <v>1007</v>
      </c>
      <c r="N319" s="62"/>
      <c r="O319" s="62" t="str">
        <f t="shared" si="4"/>
        <v>EMC1_EMEA Storage CTE</v>
      </c>
      <c r="P319" s="62" t="s">
        <v>2184</v>
      </c>
      <c r="Q319" s="62" t="s">
        <v>896</v>
      </c>
      <c r="R319" s="62">
        <v>8</v>
      </c>
      <c r="S319" s="64"/>
      <c r="T319" s="62" t="s">
        <v>1881</v>
      </c>
      <c r="U319" s="62"/>
      <c r="V319" s="65" t="s">
        <v>1886</v>
      </c>
      <c r="W319" s="65">
        <v>0</v>
      </c>
      <c r="X319" s="62"/>
      <c r="Y319" s="66" t="e">
        <v>#N/A</v>
      </c>
      <c r="Z319" s="62" t="e">
        <v>#N/A</v>
      </c>
      <c r="AA319" s="62"/>
      <c r="AB319" s="62" t="s">
        <v>2210</v>
      </c>
      <c r="AC319" s="62" t="e">
        <v>#N/A</v>
      </c>
    </row>
    <row r="320" spans="1:29" ht="15" customHeight="1" outlineLevel="1" x14ac:dyDescent="0.3">
      <c r="A320" s="62" t="s">
        <v>1018</v>
      </c>
      <c r="B320" s="62" t="s">
        <v>1019</v>
      </c>
      <c r="C320" s="62" t="s">
        <v>892</v>
      </c>
      <c r="D320" s="62"/>
      <c r="E320" s="62" t="s">
        <v>266</v>
      </c>
      <c r="F320" s="62" t="s">
        <v>900</v>
      </c>
      <c r="G320" s="62" t="e">
        <v>#N/A</v>
      </c>
      <c r="H320" s="62" t="s">
        <v>912</v>
      </c>
      <c r="I320" s="62" t="s">
        <v>913</v>
      </c>
      <c r="J320" s="63"/>
      <c r="K320" s="63"/>
      <c r="L320" s="62"/>
      <c r="M320" s="62" t="s">
        <v>895</v>
      </c>
      <c r="N320" s="62"/>
      <c r="O320" s="62" t="str">
        <f t="shared" si="4"/>
        <v>EN01_Networking Product Escalations</v>
      </c>
      <c r="P320" s="62" t="s">
        <v>2177</v>
      </c>
      <c r="Q320" s="62" t="s">
        <v>896</v>
      </c>
      <c r="R320" s="62">
        <v>14</v>
      </c>
      <c r="S320" s="64"/>
      <c r="T320" s="62" t="s">
        <v>1881</v>
      </c>
      <c r="U320" s="62"/>
      <c r="V320" s="65" t="s">
        <v>1886</v>
      </c>
      <c r="W320" s="65">
        <v>0</v>
      </c>
      <c r="X320" s="62"/>
      <c r="Y320" s="66" t="e">
        <v>#N/A</v>
      </c>
      <c r="Z320" s="62" t="e">
        <v>#N/A</v>
      </c>
      <c r="AA320" s="62"/>
      <c r="AB320" s="62" t="s">
        <v>2210</v>
      </c>
      <c r="AC320" s="62" t="e">
        <v>#N/A</v>
      </c>
    </row>
    <row r="321" spans="1:29" ht="15" customHeight="1" outlineLevel="1" x14ac:dyDescent="0.3">
      <c r="A321" s="62" t="s">
        <v>724</v>
      </c>
      <c r="B321" s="62" t="s">
        <v>725</v>
      </c>
      <c r="C321" s="62" t="s">
        <v>1848</v>
      </c>
      <c r="D321" s="62" t="s">
        <v>440</v>
      </c>
      <c r="E321" s="62" t="s">
        <v>440</v>
      </c>
      <c r="F321" s="62" t="s">
        <v>8</v>
      </c>
      <c r="G321" s="62" t="e">
        <v>#N/A</v>
      </c>
      <c r="H321" s="62" t="s">
        <v>912</v>
      </c>
      <c r="I321" s="62" t="s">
        <v>913</v>
      </c>
      <c r="J321" s="63">
        <v>0.61699999999999999</v>
      </c>
      <c r="K321" s="63"/>
      <c r="L321" s="62"/>
      <c r="M321" s="62" t="s">
        <v>895</v>
      </c>
      <c r="N321" s="62"/>
      <c r="O321" s="62" t="str">
        <f t="shared" ref="O321:O384" si="5">A321&amp;"_"&amp;B321</f>
        <v>ER02_EMEA Support Resolution Team</v>
      </c>
      <c r="P321" s="62" t="s">
        <v>2177</v>
      </c>
      <c r="Q321" s="62" t="s">
        <v>896</v>
      </c>
      <c r="R321" s="62">
        <v>14</v>
      </c>
      <c r="S321" s="64"/>
      <c r="T321" s="62" t="s">
        <v>1881</v>
      </c>
      <c r="U321" s="62"/>
      <c r="V321" s="65" t="s">
        <v>1886</v>
      </c>
      <c r="W321" s="65">
        <v>4</v>
      </c>
      <c r="X321" s="62"/>
      <c r="Y321" s="66" t="e">
        <v>#N/A</v>
      </c>
      <c r="Z321" s="62" t="e">
        <v>#N/A</v>
      </c>
      <c r="AA321" s="62"/>
      <c r="AB321" s="62" t="s">
        <v>2210</v>
      </c>
      <c r="AC321" s="62" t="e">
        <v>#N/A</v>
      </c>
    </row>
    <row r="322" spans="1:29" ht="15" customHeight="1" outlineLevel="1" x14ac:dyDescent="0.3">
      <c r="A322" s="62" t="s">
        <v>1020</v>
      </c>
      <c r="B322" s="62" t="s">
        <v>1021</v>
      </c>
      <c r="C322" s="62" t="s">
        <v>892</v>
      </c>
      <c r="D322" s="62"/>
      <c r="E322" s="62" t="s">
        <v>440</v>
      </c>
      <c r="F322" s="62" t="s">
        <v>900</v>
      </c>
      <c r="G322" s="62" t="e">
        <v>#N/A</v>
      </c>
      <c r="H322" s="62" t="s">
        <v>912</v>
      </c>
      <c r="I322" s="62" t="s">
        <v>913</v>
      </c>
      <c r="J322" s="63"/>
      <c r="K322" s="63"/>
      <c r="L322" s="62"/>
      <c r="M322" s="62" t="s">
        <v>895</v>
      </c>
      <c r="N322" s="62"/>
      <c r="O322" s="62" t="str">
        <f t="shared" si="5"/>
        <v>ES03_EMEA SME Team</v>
      </c>
      <c r="P322" s="62" t="s">
        <v>2177</v>
      </c>
      <c r="Q322" s="62" t="s">
        <v>896</v>
      </c>
      <c r="R322" s="62">
        <v>14</v>
      </c>
      <c r="S322" s="64"/>
      <c r="T322" s="62" t="s">
        <v>1881</v>
      </c>
      <c r="U322" s="62"/>
      <c r="V322" s="65" t="s">
        <v>1886</v>
      </c>
      <c r="W322" s="65">
        <v>0</v>
      </c>
      <c r="X322" s="62"/>
      <c r="Y322" s="66" t="e">
        <v>#N/A</v>
      </c>
      <c r="Z322" s="62" t="e">
        <v>#N/A</v>
      </c>
      <c r="AA322" s="62"/>
      <c r="AB322" s="62" t="s">
        <v>2210</v>
      </c>
      <c r="AC322" s="62" t="e">
        <v>#N/A</v>
      </c>
    </row>
    <row r="323" spans="1:29" ht="15" customHeight="1" outlineLevel="1" x14ac:dyDescent="0.3">
      <c r="A323" s="62" t="s">
        <v>1022</v>
      </c>
      <c r="B323" s="62" t="s">
        <v>1023</v>
      </c>
      <c r="C323" s="62" t="s">
        <v>1849</v>
      </c>
      <c r="D323" s="62" t="s">
        <v>5</v>
      </c>
      <c r="E323" s="62" t="s">
        <v>5</v>
      </c>
      <c r="F323" s="62" t="s">
        <v>900</v>
      </c>
      <c r="G323" s="62" t="e">
        <v>#N/A</v>
      </c>
      <c r="H323" s="62" t="s">
        <v>912</v>
      </c>
      <c r="I323" s="62" t="s">
        <v>913</v>
      </c>
      <c r="J323" s="63"/>
      <c r="K323" s="63"/>
      <c r="L323" s="62"/>
      <c r="M323" s="62" t="s">
        <v>895</v>
      </c>
      <c r="N323" s="62"/>
      <c r="O323" s="62" t="str">
        <f t="shared" si="5"/>
        <v>ES06_EMEA Technical Support Operations</v>
      </c>
      <c r="P323" s="62" t="s">
        <v>2177</v>
      </c>
      <c r="Q323" s="62" t="s">
        <v>896</v>
      </c>
      <c r="R323" s="62">
        <v>14</v>
      </c>
      <c r="S323" s="64"/>
      <c r="T323" s="62" t="s">
        <v>1881</v>
      </c>
      <c r="U323" s="62"/>
      <c r="V323" s="65" t="s">
        <v>1886</v>
      </c>
      <c r="W323" s="65">
        <v>1</v>
      </c>
      <c r="X323" s="62"/>
      <c r="Y323" s="66" t="e">
        <v>#N/A</v>
      </c>
      <c r="Z323" s="62" t="e">
        <v>#N/A</v>
      </c>
      <c r="AA323" s="62"/>
      <c r="AB323" s="62" t="s">
        <v>2210</v>
      </c>
      <c r="AC323" s="62" t="e">
        <v>#N/A</v>
      </c>
    </row>
    <row r="324" spans="1:29" ht="15" customHeight="1" outlineLevel="1" x14ac:dyDescent="0.3">
      <c r="A324" s="62" t="s">
        <v>1024</v>
      </c>
      <c r="B324" s="62" t="s">
        <v>1025</v>
      </c>
      <c r="C324" s="62" t="s">
        <v>892</v>
      </c>
      <c r="D324" s="62"/>
      <c r="E324" s="62" t="s">
        <v>740</v>
      </c>
      <c r="F324" s="62" t="s">
        <v>900</v>
      </c>
      <c r="G324" s="62" t="e">
        <v>#N/A</v>
      </c>
      <c r="H324" s="62" t="s">
        <v>912</v>
      </c>
      <c r="I324" s="62" t="s">
        <v>913</v>
      </c>
      <c r="J324" s="63"/>
      <c r="K324" s="63"/>
      <c r="L324" s="62"/>
      <c r="M324" s="62" t="s">
        <v>895</v>
      </c>
      <c r="N324" s="62"/>
      <c r="O324" s="62" t="str">
        <f t="shared" si="5"/>
        <v>ES07_EMEA VX Rail Storage</v>
      </c>
      <c r="P324" s="62" t="s">
        <v>2177</v>
      </c>
      <c r="Q324" s="62" t="s">
        <v>896</v>
      </c>
      <c r="R324" s="62">
        <v>14</v>
      </c>
      <c r="S324" s="64"/>
      <c r="T324" s="62" t="s">
        <v>1881</v>
      </c>
      <c r="U324" s="62"/>
      <c r="V324" s="65" t="s">
        <v>1886</v>
      </c>
      <c r="W324" s="65">
        <v>0</v>
      </c>
      <c r="X324" s="62"/>
      <c r="Y324" s="66" t="e">
        <v>#N/A</v>
      </c>
      <c r="Z324" s="62" t="e">
        <v>#N/A</v>
      </c>
      <c r="AA324" s="62"/>
      <c r="AB324" s="62" t="s">
        <v>2210</v>
      </c>
      <c r="AC324" s="62" t="e">
        <v>#N/A</v>
      </c>
    </row>
    <row r="325" spans="1:29" ht="15" customHeight="1" outlineLevel="1" x14ac:dyDescent="0.3">
      <c r="A325" s="62" t="s">
        <v>1031</v>
      </c>
      <c r="B325" s="62" t="s">
        <v>1032</v>
      </c>
      <c r="C325" s="62" t="s">
        <v>892</v>
      </c>
      <c r="D325" s="62"/>
      <c r="E325" s="62" t="s">
        <v>1033</v>
      </c>
      <c r="F325" s="62" t="s">
        <v>900</v>
      </c>
      <c r="G325" s="62" t="e">
        <v>#N/A</v>
      </c>
      <c r="H325" s="62" t="s">
        <v>912</v>
      </c>
      <c r="I325" s="62" t="s">
        <v>913</v>
      </c>
      <c r="J325" s="63"/>
      <c r="K325" s="63"/>
      <c r="L325" s="62"/>
      <c r="M325" s="62" t="s">
        <v>895</v>
      </c>
      <c r="N325" s="62"/>
      <c r="O325" s="62" t="str">
        <f t="shared" si="5"/>
        <v>GB19_EMEA ProSupp SST</v>
      </c>
      <c r="P325" s="62" t="s">
        <v>2177</v>
      </c>
      <c r="Q325" s="62" t="s">
        <v>896</v>
      </c>
      <c r="R325" s="62">
        <v>14</v>
      </c>
      <c r="S325" s="64"/>
      <c r="T325" s="62" t="s">
        <v>1881</v>
      </c>
      <c r="U325" s="62"/>
      <c r="V325" s="65" t="s">
        <v>1886</v>
      </c>
      <c r="W325" s="65">
        <v>0</v>
      </c>
      <c r="X325" s="62"/>
      <c r="Y325" s="66" t="e">
        <v>#N/A</v>
      </c>
      <c r="Z325" s="62" t="e">
        <v>#N/A</v>
      </c>
      <c r="AA325" s="62"/>
      <c r="AB325" s="62" t="s">
        <v>2208</v>
      </c>
      <c r="AC325" s="62" t="e">
        <v>#N/A</v>
      </c>
    </row>
    <row r="326" spans="1:29" ht="15" customHeight="1" outlineLevel="1" x14ac:dyDescent="0.3">
      <c r="A326" s="62" t="s">
        <v>1034</v>
      </c>
      <c r="B326" s="62" t="s">
        <v>1035</v>
      </c>
      <c r="C326" s="62" t="s">
        <v>892</v>
      </c>
      <c r="D326" s="62"/>
      <c r="E326" s="62" t="s">
        <v>439</v>
      </c>
      <c r="F326" s="62" t="s">
        <v>900</v>
      </c>
      <c r="G326" s="62" t="e">
        <v>#N/A</v>
      </c>
      <c r="H326" s="62" t="s">
        <v>912</v>
      </c>
      <c r="I326" s="62" t="s">
        <v>913</v>
      </c>
      <c r="J326" s="63"/>
      <c r="K326" s="63"/>
      <c r="L326" s="62"/>
      <c r="M326" s="62" t="s">
        <v>895</v>
      </c>
      <c r="N326" s="62"/>
      <c r="O326" s="62" t="str">
        <f t="shared" si="5"/>
        <v>GB23_Proactive Systems Maintenance EMEA</v>
      </c>
      <c r="P326" s="62" t="s">
        <v>2177</v>
      </c>
      <c r="Q326" s="62" t="s">
        <v>896</v>
      </c>
      <c r="R326" s="62">
        <v>14</v>
      </c>
      <c r="S326" s="64"/>
      <c r="T326" s="62" t="s">
        <v>1881</v>
      </c>
      <c r="U326" s="62"/>
      <c r="V326" s="65" t="s">
        <v>1886</v>
      </c>
      <c r="W326" s="65">
        <v>0</v>
      </c>
      <c r="X326" s="62"/>
      <c r="Y326" s="66" t="e">
        <v>#N/A</v>
      </c>
      <c r="Z326" s="62" t="e">
        <v>#N/A</v>
      </c>
      <c r="AA326" s="62"/>
      <c r="AB326" s="62" t="s">
        <v>2208</v>
      </c>
      <c r="AC326" s="62" t="e">
        <v>#N/A</v>
      </c>
    </row>
    <row r="327" spans="1:29" ht="15" customHeight="1" outlineLevel="1" x14ac:dyDescent="0.3">
      <c r="A327" s="62" t="s">
        <v>1050</v>
      </c>
      <c r="B327" s="62" t="s">
        <v>1051</v>
      </c>
      <c r="C327" s="62" t="s">
        <v>892</v>
      </c>
      <c r="D327" s="62"/>
      <c r="E327" s="62" t="s">
        <v>960</v>
      </c>
      <c r="F327" s="62" t="s">
        <v>900</v>
      </c>
      <c r="G327" s="62" t="e">
        <v>#N/A</v>
      </c>
      <c r="H327" s="62" t="s">
        <v>901</v>
      </c>
      <c r="I327" s="62" t="s">
        <v>894</v>
      </c>
      <c r="J327" s="63"/>
      <c r="K327" s="63"/>
      <c r="L327" s="62"/>
      <c r="M327" s="62" t="s">
        <v>895</v>
      </c>
      <c r="N327" s="62"/>
      <c r="O327" s="62" t="str">
        <f t="shared" si="5"/>
        <v>HE03_HES Global CST Management</v>
      </c>
      <c r="P327" s="62" t="s">
        <v>2177</v>
      </c>
      <c r="Q327" s="62" t="s">
        <v>896</v>
      </c>
      <c r="R327" s="62">
        <v>14</v>
      </c>
      <c r="S327" s="64"/>
      <c r="T327" s="62" t="s">
        <v>1881</v>
      </c>
      <c r="U327" s="62"/>
      <c r="V327" s="65" t="s">
        <v>1886</v>
      </c>
      <c r="W327" s="65">
        <v>0</v>
      </c>
      <c r="X327" s="62"/>
      <c r="Y327" s="66" t="e">
        <v>#N/A</v>
      </c>
      <c r="Z327" s="62" t="e">
        <v>#N/A</v>
      </c>
      <c r="AA327" s="62"/>
      <c r="AB327" s="62" t="s">
        <v>2208</v>
      </c>
      <c r="AC327" s="62" t="e">
        <v>#N/A</v>
      </c>
    </row>
    <row r="328" spans="1:29" ht="15" customHeight="1" outlineLevel="1" x14ac:dyDescent="0.3">
      <c r="A328" s="62" t="s">
        <v>1052</v>
      </c>
      <c r="B328" s="62" t="s">
        <v>1407</v>
      </c>
      <c r="C328" s="62" t="s">
        <v>892</v>
      </c>
      <c r="D328" s="62"/>
      <c r="E328" s="62" t="s">
        <v>960</v>
      </c>
      <c r="F328" s="62" t="s">
        <v>900</v>
      </c>
      <c r="G328" s="62" t="e">
        <v>#N/A</v>
      </c>
      <c r="H328" s="62" t="s">
        <v>901</v>
      </c>
      <c r="I328" s="62" t="s">
        <v>894</v>
      </c>
      <c r="J328" s="63"/>
      <c r="K328" s="63"/>
      <c r="L328" s="62"/>
      <c r="M328" s="62" t="s">
        <v>895</v>
      </c>
      <c r="N328" s="62"/>
      <c r="O328" s="62" t="str">
        <f t="shared" si="5"/>
        <v>HE04_HES Global CST VIC</v>
      </c>
      <c r="P328" s="62" t="s">
        <v>2177</v>
      </c>
      <c r="Q328" s="62" t="s">
        <v>896</v>
      </c>
      <c r="R328" s="62">
        <v>14</v>
      </c>
      <c r="S328" s="64"/>
      <c r="T328" s="62" t="s">
        <v>1881</v>
      </c>
      <c r="U328" s="62"/>
      <c r="V328" s="65" t="s">
        <v>1886</v>
      </c>
      <c r="W328" s="65">
        <v>0</v>
      </c>
      <c r="X328" s="62"/>
      <c r="Y328" s="66" t="e">
        <v>#N/A</v>
      </c>
      <c r="Z328" s="62" t="e">
        <v>#N/A</v>
      </c>
      <c r="AA328" s="62"/>
      <c r="AB328" s="62" t="s">
        <v>2208</v>
      </c>
      <c r="AC328" s="62" t="e">
        <v>#N/A</v>
      </c>
    </row>
    <row r="329" spans="1:29" ht="15" customHeight="1" outlineLevel="1" x14ac:dyDescent="0.3">
      <c r="A329" s="62" t="s">
        <v>1053</v>
      </c>
      <c r="B329" s="62" t="s">
        <v>1054</v>
      </c>
      <c r="C329" s="62" t="s">
        <v>892</v>
      </c>
      <c r="D329" s="62"/>
      <c r="E329" s="62" t="s">
        <v>1055</v>
      </c>
      <c r="F329" s="62" t="s">
        <v>900</v>
      </c>
      <c r="G329" s="62" t="e">
        <v>#N/A</v>
      </c>
      <c r="H329" s="62" t="s">
        <v>929</v>
      </c>
      <c r="I329" s="62" t="s">
        <v>979</v>
      </c>
      <c r="J329" s="63"/>
      <c r="K329" s="63"/>
      <c r="L329" s="62"/>
      <c r="M329" s="62" t="s">
        <v>895</v>
      </c>
      <c r="N329" s="62"/>
      <c r="O329" s="62" t="str">
        <f t="shared" si="5"/>
        <v>HE09_HES Global Remote Proactive</v>
      </c>
      <c r="P329" s="62" t="s">
        <v>2177</v>
      </c>
      <c r="Q329" s="62" t="s">
        <v>896</v>
      </c>
      <c r="R329" s="62">
        <v>14</v>
      </c>
      <c r="S329" s="64"/>
      <c r="T329" s="62" t="s">
        <v>1881</v>
      </c>
      <c r="U329" s="62"/>
      <c r="V329" s="65" t="s">
        <v>1886</v>
      </c>
      <c r="W329" s="65">
        <v>0</v>
      </c>
      <c r="X329" s="62"/>
      <c r="Y329" s="66" t="e">
        <v>#N/A</v>
      </c>
      <c r="Z329" s="62" t="e">
        <v>#N/A</v>
      </c>
      <c r="AA329" s="62"/>
      <c r="AB329" s="62" t="s">
        <v>2208</v>
      </c>
      <c r="AC329" s="62" t="e">
        <v>#N/A</v>
      </c>
    </row>
    <row r="330" spans="1:29" ht="15" customHeight="1" outlineLevel="1" x14ac:dyDescent="0.3">
      <c r="A330" s="62" t="s">
        <v>1056</v>
      </c>
      <c r="B330" s="62" t="s">
        <v>1057</v>
      </c>
      <c r="C330" s="62" t="s">
        <v>892</v>
      </c>
      <c r="D330" s="62"/>
      <c r="E330" s="62" t="s">
        <v>1058</v>
      </c>
      <c r="F330" s="62" t="s">
        <v>900</v>
      </c>
      <c r="G330" s="62" t="e">
        <v>#N/A</v>
      </c>
      <c r="H330" s="62" t="s">
        <v>929</v>
      </c>
      <c r="I330" s="62" t="s">
        <v>979</v>
      </c>
      <c r="J330" s="63"/>
      <c r="K330" s="63"/>
      <c r="L330" s="62"/>
      <c r="M330" s="62" t="s">
        <v>895</v>
      </c>
      <c r="N330" s="62" t="s">
        <v>976</v>
      </c>
      <c r="O330" s="62" t="str">
        <f t="shared" si="5"/>
        <v>HE16_HES Global DSE</v>
      </c>
      <c r="P330" s="62" t="s">
        <v>2177</v>
      </c>
      <c r="Q330" s="62" t="s">
        <v>896</v>
      </c>
      <c r="R330" s="62">
        <v>14</v>
      </c>
      <c r="S330" s="64"/>
      <c r="T330" s="62" t="s">
        <v>1881</v>
      </c>
      <c r="U330" s="62"/>
      <c r="V330" s="65" t="s">
        <v>1886</v>
      </c>
      <c r="W330" s="65">
        <v>0</v>
      </c>
      <c r="X330" s="62"/>
      <c r="Y330" s="66" t="e">
        <v>#N/A</v>
      </c>
      <c r="Z330" s="62" t="e">
        <v>#N/A</v>
      </c>
      <c r="AA330" s="62"/>
      <c r="AB330" s="62" t="s">
        <v>2208</v>
      </c>
      <c r="AC330" s="62" t="e">
        <v>#N/A</v>
      </c>
    </row>
    <row r="331" spans="1:29" ht="15" customHeight="1" outlineLevel="1" x14ac:dyDescent="0.3">
      <c r="A331" s="62" t="s">
        <v>1061</v>
      </c>
      <c r="B331" s="62" t="s">
        <v>1062</v>
      </c>
      <c r="C331" s="62" t="s">
        <v>892</v>
      </c>
      <c r="D331" s="62" t="s">
        <v>436</v>
      </c>
      <c r="E331" s="62" t="s">
        <v>960</v>
      </c>
      <c r="F331" s="62" t="s">
        <v>900</v>
      </c>
      <c r="G331" s="62" t="e">
        <v>#N/A</v>
      </c>
      <c r="H331" s="62" t="s">
        <v>929</v>
      </c>
      <c r="I331" s="62" t="s">
        <v>929</v>
      </c>
      <c r="J331" s="63">
        <v>0.63300000000000001</v>
      </c>
      <c r="K331" s="63"/>
      <c r="L331" s="62"/>
      <c r="M331" s="62" t="s">
        <v>895</v>
      </c>
      <c r="N331" s="62"/>
      <c r="O331" s="62" t="str">
        <f t="shared" si="5"/>
        <v>HE52_HES Global RCM</v>
      </c>
      <c r="P331" s="62" t="s">
        <v>2177</v>
      </c>
      <c r="Q331" s="62" t="s">
        <v>896</v>
      </c>
      <c r="R331" s="62">
        <v>14</v>
      </c>
      <c r="S331" s="64"/>
      <c r="T331" s="62" t="s">
        <v>1881</v>
      </c>
      <c r="U331" s="62"/>
      <c r="V331" s="65" t="s">
        <v>1886</v>
      </c>
      <c r="W331" s="65">
        <v>0</v>
      </c>
      <c r="X331" s="62"/>
      <c r="Y331" s="66" t="e">
        <v>#N/A</v>
      </c>
      <c r="Z331" s="62" t="e">
        <v>#N/A</v>
      </c>
      <c r="AA331" s="62"/>
      <c r="AB331" s="62" t="s">
        <v>2210</v>
      </c>
      <c r="AC331" s="62" t="e">
        <v>#N/A</v>
      </c>
    </row>
    <row r="332" spans="1:29" ht="15" customHeight="1" outlineLevel="1" x14ac:dyDescent="0.3">
      <c r="A332" s="62" t="s">
        <v>824</v>
      </c>
      <c r="B332" s="62" t="s">
        <v>825</v>
      </c>
      <c r="C332" s="62" t="s">
        <v>1843</v>
      </c>
      <c r="D332" s="62" t="s">
        <v>934</v>
      </c>
      <c r="E332" s="62"/>
      <c r="F332" s="62" t="s">
        <v>8</v>
      </c>
      <c r="G332" s="62" t="e">
        <v>#N/A</v>
      </c>
      <c r="H332" s="62"/>
      <c r="I332" s="62"/>
      <c r="J332" s="63"/>
      <c r="K332" s="63"/>
      <c r="L332" s="62"/>
      <c r="M332" s="62"/>
      <c r="N332" s="62"/>
      <c r="O332" s="62" t="str">
        <f t="shared" si="5"/>
        <v>IN01_Workstation IND</v>
      </c>
      <c r="P332" s="62" t="s">
        <v>2189</v>
      </c>
      <c r="Q332" s="62" t="s">
        <v>896</v>
      </c>
      <c r="R332" s="62"/>
      <c r="S332" s="64"/>
      <c r="T332" s="62" t="s">
        <v>1881</v>
      </c>
      <c r="U332" s="62"/>
      <c r="V332" s="65" t="s">
        <v>1886</v>
      </c>
      <c r="W332" s="65">
        <v>0</v>
      </c>
      <c r="X332" s="62"/>
      <c r="Y332" s="66" t="s">
        <v>1790</v>
      </c>
      <c r="Z332" s="62" t="s">
        <v>1790</v>
      </c>
      <c r="AA332" s="62"/>
      <c r="AB332" s="62" t="s">
        <v>2208</v>
      </c>
      <c r="AC332" s="62" t="e">
        <v>#N/A</v>
      </c>
    </row>
    <row r="333" spans="1:29" ht="15" customHeight="1" outlineLevel="1" x14ac:dyDescent="0.3">
      <c r="A333" s="62" t="s">
        <v>1065</v>
      </c>
      <c r="B333" s="62" t="s">
        <v>1066</v>
      </c>
      <c r="C333" s="62" t="s">
        <v>1843</v>
      </c>
      <c r="D333" s="62" t="s">
        <v>934</v>
      </c>
      <c r="E333" s="62" t="s">
        <v>1067</v>
      </c>
      <c r="F333" s="62" t="s">
        <v>900</v>
      </c>
      <c r="G333" s="62" t="e">
        <v>#N/A</v>
      </c>
      <c r="H333" s="62" t="s">
        <v>903</v>
      </c>
      <c r="I333" s="62" t="s">
        <v>906</v>
      </c>
      <c r="J333" s="63">
        <v>0.629</v>
      </c>
      <c r="K333" s="63"/>
      <c r="L333" s="62"/>
      <c r="M333" s="62" t="s">
        <v>895</v>
      </c>
      <c r="N333" s="62"/>
      <c r="O333" s="62" t="str">
        <f t="shared" si="5"/>
        <v>IN19_Wyse IND</v>
      </c>
      <c r="P333" s="62" t="s">
        <v>2181</v>
      </c>
      <c r="Q333" s="62" t="s">
        <v>896</v>
      </c>
      <c r="R333" s="62">
        <v>14</v>
      </c>
      <c r="S333" s="64"/>
      <c r="T333" s="62" t="s">
        <v>1881</v>
      </c>
      <c r="U333" s="62"/>
      <c r="V333" s="65" t="s">
        <v>1886</v>
      </c>
      <c r="W333" s="65">
        <v>12</v>
      </c>
      <c r="X333" s="62"/>
      <c r="Y333" s="66" t="e">
        <v>#N/A</v>
      </c>
      <c r="Z333" s="62" t="e">
        <v>#N/A</v>
      </c>
      <c r="AA333" s="62"/>
      <c r="AB333" s="62" t="s">
        <v>2208</v>
      </c>
      <c r="AC333" s="62" t="e">
        <v>#N/A</v>
      </c>
    </row>
    <row r="334" spans="1:29" ht="15" customHeight="1" outlineLevel="1" x14ac:dyDescent="0.3">
      <c r="A334" s="62" t="s">
        <v>826</v>
      </c>
      <c r="B334" s="62" t="s">
        <v>827</v>
      </c>
      <c r="C334" s="62" t="s">
        <v>1846</v>
      </c>
      <c r="D334" s="62" t="s">
        <v>934</v>
      </c>
      <c r="E334" s="62"/>
      <c r="F334" s="62" t="s">
        <v>8</v>
      </c>
      <c r="G334" s="62" t="e">
        <v>#N/A</v>
      </c>
      <c r="H334" s="62"/>
      <c r="I334" s="62"/>
      <c r="J334" s="63"/>
      <c r="K334" s="63"/>
      <c r="L334" s="62"/>
      <c r="M334" s="62"/>
      <c r="N334" s="62"/>
      <c r="O334" s="62" t="str">
        <f t="shared" si="5"/>
        <v>INCV_India Core Concentrix</v>
      </c>
      <c r="P334" s="62" t="s">
        <v>2189</v>
      </c>
      <c r="Q334" s="62" t="s">
        <v>896</v>
      </c>
      <c r="R334" s="62"/>
      <c r="S334" s="64"/>
      <c r="T334" s="62" t="s">
        <v>1881</v>
      </c>
      <c r="U334" s="62"/>
      <c r="V334" s="65" t="s">
        <v>1886</v>
      </c>
      <c r="W334" s="65">
        <v>326.33333333333331</v>
      </c>
      <c r="X334" s="62"/>
      <c r="Y334" s="66" t="e">
        <v>#N/A</v>
      </c>
      <c r="Z334" s="62" t="e">
        <v>#N/A</v>
      </c>
      <c r="AA334" s="62"/>
      <c r="AB334" s="62" t="s">
        <v>2208</v>
      </c>
      <c r="AC334" s="62" t="e">
        <v>#N/A</v>
      </c>
    </row>
    <row r="335" spans="1:29" ht="15" customHeight="1" outlineLevel="1" x14ac:dyDescent="0.3">
      <c r="A335" s="62" t="s">
        <v>828</v>
      </c>
      <c r="B335" s="62" t="s">
        <v>829</v>
      </c>
      <c r="C335" s="62" t="s">
        <v>1846</v>
      </c>
      <c r="D335" s="62" t="s">
        <v>934</v>
      </c>
      <c r="E335" s="62"/>
      <c r="F335" s="62" t="s">
        <v>8</v>
      </c>
      <c r="G335" s="62" t="e">
        <v>#N/A</v>
      </c>
      <c r="H335" s="62"/>
      <c r="I335" s="62"/>
      <c r="J335" s="63"/>
      <c r="K335" s="63"/>
      <c r="L335" s="62"/>
      <c r="M335" s="62"/>
      <c r="N335" s="62"/>
      <c r="O335" s="62" t="str">
        <f t="shared" si="5"/>
        <v>INPX_India Premium Support</v>
      </c>
      <c r="P335" s="62" t="s">
        <v>2189</v>
      </c>
      <c r="Q335" s="62" t="s">
        <v>896</v>
      </c>
      <c r="R335" s="62"/>
      <c r="S335" s="64"/>
      <c r="T335" s="62" t="s">
        <v>1881</v>
      </c>
      <c r="U335" s="62"/>
      <c r="V335" s="65" t="s">
        <v>1886</v>
      </c>
      <c r="W335" s="65">
        <v>37.333333333333336</v>
      </c>
      <c r="X335" s="62"/>
      <c r="Y335" s="66" t="e">
        <v>#N/A</v>
      </c>
      <c r="Z335" s="62" t="e">
        <v>#N/A</v>
      </c>
      <c r="AA335" s="62"/>
      <c r="AB335" s="62" t="s">
        <v>2208</v>
      </c>
      <c r="AC335" s="62" t="e">
        <v>#N/A</v>
      </c>
    </row>
    <row r="336" spans="1:29" ht="15" customHeight="1" outlineLevel="1" x14ac:dyDescent="0.3">
      <c r="A336" s="62" t="s">
        <v>1079</v>
      </c>
      <c r="B336" s="62" t="s">
        <v>1080</v>
      </c>
      <c r="C336" s="62" t="s">
        <v>1843</v>
      </c>
      <c r="D336" s="62" t="s">
        <v>934</v>
      </c>
      <c r="E336" s="62" t="s">
        <v>934</v>
      </c>
      <c r="F336" s="62" t="s">
        <v>900</v>
      </c>
      <c r="G336" s="62" t="e">
        <v>#N/A</v>
      </c>
      <c r="H336" s="62" t="s">
        <v>929</v>
      </c>
      <c r="I336" s="62" t="s">
        <v>929</v>
      </c>
      <c r="J336" s="63">
        <v>0.63300000000000001</v>
      </c>
      <c r="K336" s="63"/>
      <c r="L336" s="62"/>
      <c r="M336" s="62" t="s">
        <v>895</v>
      </c>
      <c r="N336" s="62" t="s">
        <v>916</v>
      </c>
      <c r="O336" s="62" t="str">
        <f t="shared" si="5"/>
        <v>L2G4_ARS System Exchange</v>
      </c>
      <c r="P336" s="62" t="s">
        <v>2182</v>
      </c>
      <c r="Q336" s="62" t="s">
        <v>896</v>
      </c>
      <c r="R336" s="62">
        <v>14</v>
      </c>
      <c r="S336" s="64"/>
      <c r="T336" s="62" t="s">
        <v>1881</v>
      </c>
      <c r="U336" s="62"/>
      <c r="V336" s="65" t="s">
        <v>1886</v>
      </c>
      <c r="W336" s="65">
        <v>106</v>
      </c>
      <c r="X336" s="62"/>
      <c r="Y336" s="66" t="e">
        <v>#N/A</v>
      </c>
      <c r="Z336" s="62" t="e">
        <v>#N/A</v>
      </c>
      <c r="AA336" s="62"/>
      <c r="AB336" s="62" t="s">
        <v>2210</v>
      </c>
      <c r="AC336" s="62" t="e">
        <v>#N/A</v>
      </c>
    </row>
    <row r="337" spans="1:29" ht="15" customHeight="1" outlineLevel="1" x14ac:dyDescent="0.3">
      <c r="A337" s="62" t="s">
        <v>1081</v>
      </c>
      <c r="B337" s="62" t="s">
        <v>1082</v>
      </c>
      <c r="C337" s="62" t="s">
        <v>892</v>
      </c>
      <c r="D337" s="62"/>
      <c r="E337" s="62" t="s">
        <v>439</v>
      </c>
      <c r="F337" s="62" t="s">
        <v>900</v>
      </c>
      <c r="G337" s="62" t="e">
        <v>#N/A</v>
      </c>
      <c r="H337" s="62" t="s">
        <v>903</v>
      </c>
      <c r="I337" s="62" t="s">
        <v>1083</v>
      </c>
      <c r="J337" s="63"/>
      <c r="K337" s="63"/>
      <c r="L337" s="62"/>
      <c r="M337" s="62" t="s">
        <v>895</v>
      </c>
      <c r="N337" s="62"/>
      <c r="O337" s="62" t="str">
        <f t="shared" si="5"/>
        <v>MY15_Proactive Systems Maintenance SA</v>
      </c>
      <c r="P337" s="62" t="s">
        <v>2177</v>
      </c>
      <c r="Q337" s="62" t="s">
        <v>896</v>
      </c>
      <c r="R337" s="62">
        <v>14</v>
      </c>
      <c r="S337" s="64"/>
      <c r="T337" s="62" t="s">
        <v>1881</v>
      </c>
      <c r="U337" s="62"/>
      <c r="V337" s="65" t="s">
        <v>1886</v>
      </c>
      <c r="W337" s="65">
        <v>0</v>
      </c>
      <c r="X337" s="62"/>
      <c r="Y337" s="66" t="e">
        <v>#N/A</v>
      </c>
      <c r="Z337" s="62" t="e">
        <v>#N/A</v>
      </c>
      <c r="AA337" s="62"/>
      <c r="AB337" s="62" t="s">
        <v>2208</v>
      </c>
      <c r="AC337" s="62" t="e">
        <v>#N/A</v>
      </c>
    </row>
    <row r="338" spans="1:29" s="32" customFormat="1" ht="15" customHeight="1" outlineLevel="1" x14ac:dyDescent="0.3">
      <c r="A338" s="62" t="s">
        <v>838</v>
      </c>
      <c r="B338" s="62" t="s">
        <v>839</v>
      </c>
      <c r="C338" s="62" t="s">
        <v>1843</v>
      </c>
      <c r="D338" s="62" t="s">
        <v>934</v>
      </c>
      <c r="E338" s="62"/>
      <c r="F338" s="62" t="s">
        <v>8</v>
      </c>
      <c r="G338" s="62" t="e">
        <v>#N/A</v>
      </c>
      <c r="H338" s="62"/>
      <c r="I338" s="62"/>
      <c r="J338" s="63"/>
      <c r="K338" s="63"/>
      <c r="L338" s="62"/>
      <c r="M338" s="62"/>
      <c r="N338" s="62"/>
      <c r="O338" s="62" t="str">
        <f t="shared" si="5"/>
        <v>NC04_Client ProSupport US</v>
      </c>
      <c r="P338" s="62" t="s">
        <v>2190</v>
      </c>
      <c r="Q338" s="62" t="s">
        <v>896</v>
      </c>
      <c r="R338" s="62"/>
      <c r="S338" s="64"/>
      <c r="T338" s="62" t="s">
        <v>1881</v>
      </c>
      <c r="U338" s="62"/>
      <c r="V338" s="65" t="s">
        <v>1886</v>
      </c>
      <c r="W338" s="65">
        <v>47.333333333333336</v>
      </c>
      <c r="X338" s="62"/>
      <c r="Y338" s="66" t="e">
        <v>#N/A</v>
      </c>
      <c r="Z338" s="62" t="e">
        <v>#N/A</v>
      </c>
      <c r="AA338" s="62"/>
      <c r="AB338" s="62" t="s">
        <v>2208</v>
      </c>
      <c r="AC338" s="62" t="e">
        <v>#N/A</v>
      </c>
    </row>
    <row r="339" spans="1:29" ht="15" customHeight="1" outlineLevel="1" x14ac:dyDescent="0.3">
      <c r="A339" s="62" t="s">
        <v>1088</v>
      </c>
      <c r="B339" s="62" t="s">
        <v>1089</v>
      </c>
      <c r="C339" s="62" t="s">
        <v>892</v>
      </c>
      <c r="D339" s="62"/>
      <c r="E339" s="62" t="s">
        <v>439</v>
      </c>
      <c r="F339" s="62" t="s">
        <v>900</v>
      </c>
      <c r="G339" s="62" t="e">
        <v>#N/A</v>
      </c>
      <c r="H339" s="62" t="s">
        <v>901</v>
      </c>
      <c r="I339" s="62" t="s">
        <v>894</v>
      </c>
      <c r="J339" s="63"/>
      <c r="K339" s="63"/>
      <c r="L339" s="62"/>
      <c r="M339" s="62" t="s">
        <v>895</v>
      </c>
      <c r="N339" s="62"/>
      <c r="O339" s="62" t="str">
        <f t="shared" si="5"/>
        <v>NE21_Server eSupport Case Director US</v>
      </c>
      <c r="P339" s="62" t="s">
        <v>2177</v>
      </c>
      <c r="Q339" s="62" t="s">
        <v>896</v>
      </c>
      <c r="R339" s="62">
        <v>14</v>
      </c>
      <c r="S339" s="64"/>
      <c r="T339" s="62" t="s">
        <v>1881</v>
      </c>
      <c r="U339" s="62"/>
      <c r="V339" s="65" t="s">
        <v>1886</v>
      </c>
      <c r="W339" s="65">
        <v>0</v>
      </c>
      <c r="X339" s="62"/>
      <c r="Y339" s="66" t="e">
        <v>#N/A</v>
      </c>
      <c r="Z339" s="62" t="e">
        <v>#N/A</v>
      </c>
      <c r="AA339" s="62"/>
      <c r="AB339" s="62" t="s">
        <v>2208</v>
      </c>
      <c r="AC339" s="62" t="e">
        <v>#N/A</v>
      </c>
    </row>
    <row r="340" spans="1:29" ht="15" customHeight="1" outlineLevel="1" x14ac:dyDescent="0.3">
      <c r="A340" s="62" t="s">
        <v>1090</v>
      </c>
      <c r="B340" s="62" t="s">
        <v>1091</v>
      </c>
      <c r="C340" s="62" t="s">
        <v>892</v>
      </c>
      <c r="D340" s="62"/>
      <c r="E340" s="62" t="s">
        <v>439</v>
      </c>
      <c r="F340" s="62" t="s">
        <v>900</v>
      </c>
      <c r="G340" s="62" t="e">
        <v>#N/A</v>
      </c>
      <c r="H340" s="62" t="s">
        <v>901</v>
      </c>
      <c r="I340" s="62" t="s">
        <v>894</v>
      </c>
      <c r="J340" s="63"/>
      <c r="K340" s="63"/>
      <c r="L340" s="62"/>
      <c r="M340" s="62" t="s">
        <v>895</v>
      </c>
      <c r="N340" s="62"/>
      <c r="O340" s="62" t="str">
        <f t="shared" si="5"/>
        <v>NE29_Proactive Systems Maintenance NA</v>
      </c>
      <c r="P340" s="62" t="s">
        <v>2177</v>
      </c>
      <c r="Q340" s="62" t="s">
        <v>896</v>
      </c>
      <c r="R340" s="62">
        <v>14</v>
      </c>
      <c r="S340" s="64"/>
      <c r="T340" s="62" t="s">
        <v>1881</v>
      </c>
      <c r="U340" s="62"/>
      <c r="V340" s="65" t="s">
        <v>1886</v>
      </c>
      <c r="W340" s="65">
        <v>0</v>
      </c>
      <c r="X340" s="62"/>
      <c r="Y340" s="66" t="e">
        <v>#N/A</v>
      </c>
      <c r="Z340" s="62" t="e">
        <v>#N/A</v>
      </c>
      <c r="AA340" s="62"/>
      <c r="AB340" s="62" t="s">
        <v>2208</v>
      </c>
      <c r="AC340" s="62" t="e">
        <v>#N/A</v>
      </c>
    </row>
    <row r="341" spans="1:29" ht="15" customHeight="1" outlineLevel="1" x14ac:dyDescent="0.3">
      <c r="A341" s="62" t="s">
        <v>1100</v>
      </c>
      <c r="B341" s="62" t="s">
        <v>1101</v>
      </c>
      <c r="C341" s="62" t="s">
        <v>1852</v>
      </c>
      <c r="D341" s="62"/>
      <c r="E341" s="62"/>
      <c r="F341" s="62" t="s">
        <v>900</v>
      </c>
      <c r="G341" s="62" t="e">
        <v>#N/A</v>
      </c>
      <c r="H341" s="62"/>
      <c r="I341" s="62"/>
      <c r="J341" s="63"/>
      <c r="K341" s="63"/>
      <c r="L341" s="62"/>
      <c r="M341" s="62"/>
      <c r="N341" s="62"/>
      <c r="O341" s="62" t="str">
        <f t="shared" si="5"/>
        <v>NF05_Social Media Non-Frontline</v>
      </c>
      <c r="P341" s="62" t="s">
        <v>2177</v>
      </c>
      <c r="Q341" s="62" t="s">
        <v>896</v>
      </c>
      <c r="R341" s="62"/>
      <c r="S341" s="64"/>
      <c r="T341" s="62" t="s">
        <v>1881</v>
      </c>
      <c r="U341" s="62"/>
      <c r="V341" s="65" t="s">
        <v>1886</v>
      </c>
      <c r="W341" s="65">
        <v>8</v>
      </c>
      <c r="X341" s="62"/>
      <c r="Y341" s="66" t="e">
        <v>#N/A</v>
      </c>
      <c r="Z341" s="62" t="e">
        <v>#N/A</v>
      </c>
      <c r="AA341" s="62"/>
      <c r="AB341" s="62" t="s">
        <v>2210</v>
      </c>
      <c r="AC341" s="62" t="e">
        <v>#N/A</v>
      </c>
    </row>
    <row r="342" spans="1:29" ht="15" customHeight="1" outlineLevel="1" x14ac:dyDescent="0.3">
      <c r="A342" s="62" t="s">
        <v>1108</v>
      </c>
      <c r="B342" s="62" t="s">
        <v>1109</v>
      </c>
      <c r="C342" s="62" t="s">
        <v>892</v>
      </c>
      <c r="D342" s="62" t="s">
        <v>44</v>
      </c>
      <c r="E342" s="62" t="s">
        <v>440</v>
      </c>
      <c r="F342" s="62" t="s">
        <v>900</v>
      </c>
      <c r="G342" s="62" t="e">
        <v>#N/A</v>
      </c>
      <c r="H342" s="62" t="s">
        <v>929</v>
      </c>
      <c r="I342" s="62" t="s">
        <v>979</v>
      </c>
      <c r="J342" s="63"/>
      <c r="K342" s="63"/>
      <c r="L342" s="62"/>
      <c r="M342" s="62"/>
      <c r="N342" s="62"/>
      <c r="O342" s="62" t="str">
        <f t="shared" si="5"/>
        <v>NF11_DPD/UDS NR-FLS</v>
      </c>
      <c r="P342" s="62" t="s">
        <v>2177</v>
      </c>
      <c r="Q342" s="62" t="s">
        <v>896</v>
      </c>
      <c r="R342" s="62"/>
      <c r="S342" s="64"/>
      <c r="T342" s="62" t="s">
        <v>1881</v>
      </c>
      <c r="U342" s="62"/>
      <c r="V342" s="65" t="s">
        <v>1886</v>
      </c>
      <c r="W342" s="65">
        <v>0</v>
      </c>
      <c r="X342" s="62"/>
      <c r="Y342" s="66" t="e">
        <v>#N/A</v>
      </c>
      <c r="Z342" s="62" t="e">
        <v>#N/A</v>
      </c>
      <c r="AA342" s="62"/>
      <c r="AB342" s="62" t="s">
        <v>2210</v>
      </c>
      <c r="AC342" s="62" t="e">
        <v>#N/A</v>
      </c>
    </row>
    <row r="343" spans="1:29" ht="15" customHeight="1" outlineLevel="1" x14ac:dyDescent="0.3">
      <c r="A343" s="62" t="s">
        <v>1117</v>
      </c>
      <c r="B343" s="62" t="s">
        <v>1118</v>
      </c>
      <c r="C343" s="62" t="s">
        <v>892</v>
      </c>
      <c r="D343" s="62"/>
      <c r="E343" s="62"/>
      <c r="F343" s="62" t="s">
        <v>900</v>
      </c>
      <c r="G343" s="62" t="e">
        <v>#N/A</v>
      </c>
      <c r="H343" s="62"/>
      <c r="I343" s="62"/>
      <c r="J343" s="63"/>
      <c r="K343" s="63"/>
      <c r="L343" s="62"/>
      <c r="M343" s="62"/>
      <c r="N343" s="62"/>
      <c r="O343" s="62" t="str">
        <f t="shared" si="5"/>
        <v>NF15_EMEA Non-Frontline</v>
      </c>
      <c r="P343" s="62" t="s">
        <v>2177</v>
      </c>
      <c r="Q343" s="62" t="s">
        <v>896</v>
      </c>
      <c r="R343" s="62"/>
      <c r="S343" s="64"/>
      <c r="T343" s="62" t="s">
        <v>1881</v>
      </c>
      <c r="U343" s="62"/>
      <c r="V343" s="65" t="s">
        <v>1886</v>
      </c>
      <c r="W343" s="65">
        <v>0</v>
      </c>
      <c r="X343" s="62"/>
      <c r="Y343" s="66" t="e">
        <v>#N/A</v>
      </c>
      <c r="Z343" s="62" t="e">
        <v>#N/A</v>
      </c>
      <c r="AA343" s="62"/>
      <c r="AB343" s="62" t="s">
        <v>2210</v>
      </c>
      <c r="AC343" s="62" t="e">
        <v>#N/A</v>
      </c>
    </row>
    <row r="344" spans="1:29" ht="15" customHeight="1" outlineLevel="1" x14ac:dyDescent="0.3">
      <c r="A344" s="62" t="s">
        <v>1119</v>
      </c>
      <c r="B344" s="62" t="s">
        <v>1120</v>
      </c>
      <c r="C344" s="62" t="s">
        <v>892</v>
      </c>
      <c r="D344" s="62"/>
      <c r="E344" s="62" t="s">
        <v>440</v>
      </c>
      <c r="F344" s="62" t="s">
        <v>900</v>
      </c>
      <c r="G344" s="62" t="e">
        <v>#N/A</v>
      </c>
      <c r="H344" s="62" t="s">
        <v>929</v>
      </c>
      <c r="I344" s="62" t="s">
        <v>979</v>
      </c>
      <c r="J344" s="63"/>
      <c r="K344" s="63"/>
      <c r="L344" s="62"/>
      <c r="M344" s="62"/>
      <c r="N344" s="62"/>
      <c r="O344" s="62" t="str">
        <f t="shared" si="5"/>
        <v>NF16_EMEA NR-FLS</v>
      </c>
      <c r="P344" s="62" t="s">
        <v>2177</v>
      </c>
      <c r="Q344" s="62" t="s">
        <v>896</v>
      </c>
      <c r="R344" s="62"/>
      <c r="S344" s="64"/>
      <c r="T344" s="62" t="s">
        <v>1881</v>
      </c>
      <c r="U344" s="62"/>
      <c r="V344" s="65" t="s">
        <v>1886</v>
      </c>
      <c r="W344" s="65">
        <v>0</v>
      </c>
      <c r="X344" s="62"/>
      <c r="Y344" s="66" t="e">
        <v>#N/A</v>
      </c>
      <c r="Z344" s="62" t="e">
        <v>#N/A</v>
      </c>
      <c r="AA344" s="62"/>
      <c r="AB344" s="62" t="s">
        <v>2210</v>
      </c>
      <c r="AC344" s="62" t="e">
        <v>#N/A</v>
      </c>
    </row>
    <row r="345" spans="1:29" ht="15" customHeight="1" outlineLevel="1" x14ac:dyDescent="0.3">
      <c r="A345" s="62" t="s">
        <v>1127</v>
      </c>
      <c r="B345" s="62" t="s">
        <v>1128</v>
      </c>
      <c r="C345" s="62" t="s">
        <v>892</v>
      </c>
      <c r="D345" s="62" t="s">
        <v>158</v>
      </c>
      <c r="E345" s="62" t="s">
        <v>440</v>
      </c>
      <c r="F345" s="62" t="s">
        <v>900</v>
      </c>
      <c r="G345" s="62" t="e">
        <v>#N/A</v>
      </c>
      <c r="H345" s="62" t="s">
        <v>929</v>
      </c>
      <c r="I345" s="62" t="s">
        <v>979</v>
      </c>
      <c r="J345" s="63"/>
      <c r="K345" s="63"/>
      <c r="L345" s="62"/>
      <c r="M345" s="62"/>
      <c r="N345" s="62"/>
      <c r="O345" s="62" t="str">
        <f t="shared" si="5"/>
        <v>NF20_HCS NR-FLS</v>
      </c>
      <c r="P345" s="62" t="s">
        <v>2177</v>
      </c>
      <c r="Q345" s="62" t="s">
        <v>896</v>
      </c>
      <c r="R345" s="62"/>
      <c r="S345" s="64"/>
      <c r="T345" s="62" t="s">
        <v>1881</v>
      </c>
      <c r="U345" s="62"/>
      <c r="V345" s="65" t="s">
        <v>1886</v>
      </c>
      <c r="W345" s="65">
        <v>0</v>
      </c>
      <c r="X345" s="62"/>
      <c r="Y345" s="66" t="e">
        <v>#N/A</v>
      </c>
      <c r="Z345" s="62" t="e">
        <v>#N/A</v>
      </c>
      <c r="AA345" s="62"/>
      <c r="AB345" s="62" t="s">
        <v>2210</v>
      </c>
      <c r="AC345" s="62" t="e">
        <v>#N/A</v>
      </c>
    </row>
    <row r="346" spans="1:29" ht="15" customHeight="1" outlineLevel="1" x14ac:dyDescent="0.3">
      <c r="A346" s="62" t="s">
        <v>1135</v>
      </c>
      <c r="B346" s="62" t="s">
        <v>1136</v>
      </c>
      <c r="C346" s="62" t="s">
        <v>892</v>
      </c>
      <c r="D346" s="62"/>
      <c r="E346" s="62" t="s">
        <v>440</v>
      </c>
      <c r="F346" s="62" t="s">
        <v>900</v>
      </c>
      <c r="G346" s="62" t="e">
        <v>#N/A</v>
      </c>
      <c r="H346" s="62" t="s">
        <v>929</v>
      </c>
      <c r="I346" s="62" t="s">
        <v>979</v>
      </c>
      <c r="J346" s="63"/>
      <c r="K346" s="63"/>
      <c r="L346" s="62"/>
      <c r="M346" s="62"/>
      <c r="N346" s="62"/>
      <c r="O346" s="62" t="str">
        <f t="shared" si="5"/>
        <v>NF24_HES NR-FLS</v>
      </c>
      <c r="P346" s="62" t="s">
        <v>2177</v>
      </c>
      <c r="Q346" s="62" t="s">
        <v>896</v>
      </c>
      <c r="R346" s="62"/>
      <c r="S346" s="64"/>
      <c r="T346" s="62" t="s">
        <v>1881</v>
      </c>
      <c r="U346" s="62"/>
      <c r="V346" s="65" t="s">
        <v>1886</v>
      </c>
      <c r="W346" s="65">
        <v>0</v>
      </c>
      <c r="X346" s="62"/>
      <c r="Y346" s="66" t="e">
        <v>#N/A</v>
      </c>
      <c r="Z346" s="62" t="e">
        <v>#N/A</v>
      </c>
      <c r="AA346" s="62"/>
      <c r="AB346" s="62" t="s">
        <v>2210</v>
      </c>
      <c r="AC346" s="62" t="e">
        <v>#N/A</v>
      </c>
    </row>
    <row r="347" spans="1:29" ht="15" customHeight="1" outlineLevel="1" x14ac:dyDescent="0.3">
      <c r="A347" s="62" t="s">
        <v>1145</v>
      </c>
      <c r="B347" s="62" t="s">
        <v>1146</v>
      </c>
      <c r="C347" s="62" t="s">
        <v>892</v>
      </c>
      <c r="D347" s="62"/>
      <c r="E347" s="62" t="s">
        <v>440</v>
      </c>
      <c r="F347" s="62" t="s">
        <v>900</v>
      </c>
      <c r="G347" s="62" t="e">
        <v>#N/A</v>
      </c>
      <c r="H347" s="62" t="s">
        <v>929</v>
      </c>
      <c r="I347" s="62" t="s">
        <v>979</v>
      </c>
      <c r="J347" s="63"/>
      <c r="K347" s="63"/>
      <c r="L347" s="62"/>
      <c r="M347" s="62"/>
      <c r="N347" s="62"/>
      <c r="O347" s="62" t="str">
        <f t="shared" si="5"/>
        <v>NF29_LATAM NR-FLS</v>
      </c>
      <c r="P347" s="62" t="s">
        <v>2177</v>
      </c>
      <c r="Q347" s="62" t="s">
        <v>896</v>
      </c>
      <c r="R347" s="62"/>
      <c r="S347" s="64"/>
      <c r="T347" s="62" t="s">
        <v>1881</v>
      </c>
      <c r="U347" s="62"/>
      <c r="V347" s="65" t="s">
        <v>1886</v>
      </c>
      <c r="W347" s="65">
        <v>0</v>
      </c>
      <c r="X347" s="62"/>
      <c r="Y347" s="66" t="e">
        <v>#N/A</v>
      </c>
      <c r="Z347" s="62" t="e">
        <v>#N/A</v>
      </c>
      <c r="AA347" s="62"/>
      <c r="AB347" s="62" t="s">
        <v>2210</v>
      </c>
      <c r="AC347" s="62" t="e">
        <v>#N/A</v>
      </c>
    </row>
    <row r="348" spans="1:29" ht="15" customHeight="1" outlineLevel="1" x14ac:dyDescent="0.3">
      <c r="A348" s="62" t="s">
        <v>1151</v>
      </c>
      <c r="B348" s="62" t="s">
        <v>1925</v>
      </c>
      <c r="C348" s="62" t="s">
        <v>892</v>
      </c>
      <c r="D348" s="62"/>
      <c r="E348" s="62" t="s">
        <v>440</v>
      </c>
      <c r="F348" s="62" t="s">
        <v>900</v>
      </c>
      <c r="G348" s="62" t="e">
        <v>#N/A</v>
      </c>
      <c r="H348" s="62" t="s">
        <v>893</v>
      </c>
      <c r="I348" s="62" t="s">
        <v>894</v>
      </c>
      <c r="J348" s="63">
        <v>0.64800000000000002</v>
      </c>
      <c r="K348" s="63"/>
      <c r="L348" s="62"/>
      <c r="M348" s="62" t="s">
        <v>895</v>
      </c>
      <c r="N348" s="62"/>
      <c r="O348" s="62" t="str">
        <f t="shared" si="5"/>
        <v>NF32_NCS Non-Frontline</v>
      </c>
      <c r="P348" s="62" t="s">
        <v>2177</v>
      </c>
      <c r="Q348" s="62" t="s">
        <v>896</v>
      </c>
      <c r="R348" s="62">
        <v>14</v>
      </c>
      <c r="S348" s="64"/>
      <c r="T348" s="62" t="s">
        <v>1881</v>
      </c>
      <c r="U348" s="62"/>
      <c r="V348" s="65" t="s">
        <v>1886</v>
      </c>
      <c r="W348" s="65">
        <v>0</v>
      </c>
      <c r="X348" s="62"/>
      <c r="Y348" s="66" t="e">
        <v>#N/A</v>
      </c>
      <c r="Z348" s="62" t="e">
        <v>#N/A</v>
      </c>
      <c r="AA348" s="62"/>
      <c r="AB348" s="62" t="s">
        <v>2210</v>
      </c>
      <c r="AC348" s="62" t="e">
        <v>#N/A</v>
      </c>
    </row>
    <row r="349" spans="1:29" ht="15" customHeight="1" outlineLevel="1" x14ac:dyDescent="0.3">
      <c r="A349" s="62" t="s">
        <v>1153</v>
      </c>
      <c r="B349" s="62" t="s">
        <v>1154</v>
      </c>
      <c r="C349" s="62" t="s">
        <v>892</v>
      </c>
      <c r="D349" s="62"/>
      <c r="E349" s="62" t="s">
        <v>440</v>
      </c>
      <c r="F349" s="62" t="s">
        <v>900</v>
      </c>
      <c r="G349" s="62" t="e">
        <v>#N/A</v>
      </c>
      <c r="H349" s="62" t="s">
        <v>929</v>
      </c>
      <c r="I349" s="62" t="s">
        <v>979</v>
      </c>
      <c r="J349" s="63"/>
      <c r="K349" s="63"/>
      <c r="L349" s="62"/>
      <c r="M349" s="62"/>
      <c r="N349" s="62"/>
      <c r="O349" s="62" t="str">
        <f t="shared" si="5"/>
        <v>NF33_NAMER NR-FLS</v>
      </c>
      <c r="P349" s="62" t="s">
        <v>2177</v>
      </c>
      <c r="Q349" s="62" t="s">
        <v>896</v>
      </c>
      <c r="R349" s="62"/>
      <c r="S349" s="64"/>
      <c r="T349" s="62" t="s">
        <v>1881</v>
      </c>
      <c r="U349" s="62"/>
      <c r="V349" s="65" t="s">
        <v>1886</v>
      </c>
      <c r="W349" s="65">
        <v>0</v>
      </c>
      <c r="X349" s="62"/>
      <c r="Y349" s="66" t="e">
        <v>#N/A</v>
      </c>
      <c r="Z349" s="62" t="e">
        <v>#N/A</v>
      </c>
      <c r="AA349" s="62"/>
      <c r="AB349" s="62" t="s">
        <v>2210</v>
      </c>
      <c r="AC349" s="62" t="e">
        <v>#N/A</v>
      </c>
    </row>
    <row r="350" spans="1:29" ht="15" customHeight="1" outlineLevel="1" x14ac:dyDescent="0.3">
      <c r="A350" s="62" t="s">
        <v>1160</v>
      </c>
      <c r="B350" s="62" t="s">
        <v>1161</v>
      </c>
      <c r="C350" s="62" t="s">
        <v>965</v>
      </c>
      <c r="D350" s="62"/>
      <c r="E350" s="62" t="s">
        <v>440</v>
      </c>
      <c r="F350" s="62" t="s">
        <v>900</v>
      </c>
      <c r="G350" s="62" t="e">
        <v>#N/A</v>
      </c>
      <c r="H350" s="62" t="s">
        <v>929</v>
      </c>
      <c r="I350" s="62" t="s">
        <v>929</v>
      </c>
      <c r="J350" s="63">
        <v>0.63300000000000001</v>
      </c>
      <c r="K350" s="63"/>
      <c r="L350" s="62"/>
      <c r="M350" s="62" t="s">
        <v>895</v>
      </c>
      <c r="N350" s="62" t="s">
        <v>957</v>
      </c>
      <c r="O350" s="62" t="str">
        <f t="shared" si="5"/>
        <v>NF36_Service Engineering Manager</v>
      </c>
      <c r="P350" s="62" t="s">
        <v>2177</v>
      </c>
      <c r="Q350" s="62" t="s">
        <v>896</v>
      </c>
      <c r="R350" s="62">
        <v>14</v>
      </c>
      <c r="S350" s="64"/>
      <c r="T350" s="62" t="s">
        <v>1881</v>
      </c>
      <c r="U350" s="62"/>
      <c r="V350" s="65" t="s">
        <v>1886</v>
      </c>
      <c r="W350" s="65">
        <v>7</v>
      </c>
      <c r="X350" s="62"/>
      <c r="Y350" s="66" t="e">
        <v>#N/A</v>
      </c>
      <c r="Z350" s="62" t="e">
        <v>#N/A</v>
      </c>
      <c r="AA350" s="62"/>
      <c r="AB350" s="62" t="s">
        <v>2210</v>
      </c>
      <c r="AC350" s="62" t="e">
        <v>#N/A</v>
      </c>
    </row>
    <row r="351" spans="1:29" ht="15" customHeight="1" outlineLevel="1" x14ac:dyDescent="0.3">
      <c r="A351" s="62" t="s">
        <v>1164</v>
      </c>
      <c r="B351" s="62" t="s">
        <v>1165</v>
      </c>
      <c r="C351" s="62" t="s">
        <v>892</v>
      </c>
      <c r="D351" s="62"/>
      <c r="E351" s="62" t="s">
        <v>440</v>
      </c>
      <c r="F351" s="62" t="s">
        <v>900</v>
      </c>
      <c r="G351" s="62" t="e">
        <v>#N/A</v>
      </c>
      <c r="H351" s="62" t="s">
        <v>929</v>
      </c>
      <c r="I351" s="62" t="s">
        <v>979</v>
      </c>
      <c r="J351" s="63"/>
      <c r="K351" s="63"/>
      <c r="L351" s="62"/>
      <c r="M351" s="62"/>
      <c r="N351" s="62" t="s">
        <v>1114</v>
      </c>
      <c r="O351" s="62" t="str">
        <f t="shared" si="5"/>
        <v>NF40_Service Engineering Technical Lead</v>
      </c>
      <c r="P351" s="62" t="s">
        <v>2177</v>
      </c>
      <c r="Q351" s="62" t="s">
        <v>896</v>
      </c>
      <c r="R351" s="62"/>
      <c r="S351" s="64"/>
      <c r="T351" s="62" t="s">
        <v>1881</v>
      </c>
      <c r="U351" s="62"/>
      <c r="V351" s="65" t="s">
        <v>1886</v>
      </c>
      <c r="W351" s="65">
        <v>0</v>
      </c>
      <c r="X351" s="62"/>
      <c r="Y351" s="66" t="e">
        <v>#N/A</v>
      </c>
      <c r="Z351" s="62" t="e">
        <v>#N/A</v>
      </c>
      <c r="AA351" s="62"/>
      <c r="AB351" s="62" t="s">
        <v>2210</v>
      </c>
      <c r="AC351" s="62" t="e">
        <v>#N/A</v>
      </c>
    </row>
    <row r="352" spans="1:29" ht="15" customHeight="1" outlineLevel="1" x14ac:dyDescent="0.3">
      <c r="A352" s="62" t="s">
        <v>1174</v>
      </c>
      <c r="B352" s="62" t="s">
        <v>1175</v>
      </c>
      <c r="C352" s="62" t="s">
        <v>1855</v>
      </c>
      <c r="D352" s="62"/>
      <c r="E352" s="62" t="s">
        <v>440</v>
      </c>
      <c r="F352" s="62" t="s">
        <v>900</v>
      </c>
      <c r="G352" s="62" t="e">
        <v>#N/A</v>
      </c>
      <c r="H352" s="62" t="s">
        <v>929</v>
      </c>
      <c r="I352" s="62" t="s">
        <v>979</v>
      </c>
      <c r="J352" s="63"/>
      <c r="K352" s="63"/>
      <c r="L352" s="62"/>
      <c r="M352" s="62"/>
      <c r="N352" s="62"/>
      <c r="O352" s="62" t="str">
        <f t="shared" si="5"/>
        <v>NF45_STRATEGY Non-Frontline</v>
      </c>
      <c r="P352" s="62" t="s">
        <v>2177</v>
      </c>
      <c r="Q352" s="62" t="s">
        <v>896</v>
      </c>
      <c r="R352" s="62"/>
      <c r="S352" s="64"/>
      <c r="T352" s="62" t="s">
        <v>1881</v>
      </c>
      <c r="U352" s="62"/>
      <c r="V352" s="65" t="s">
        <v>1886</v>
      </c>
      <c r="W352" s="65">
        <v>3</v>
      </c>
      <c r="X352" s="62"/>
      <c r="Y352" s="66" t="e">
        <v>#N/A</v>
      </c>
      <c r="Z352" s="62" t="e">
        <v>#N/A</v>
      </c>
      <c r="AA352" s="62"/>
      <c r="AB352" s="62" t="s">
        <v>2210</v>
      </c>
      <c r="AC352" s="62" t="e">
        <v>#N/A</v>
      </c>
    </row>
    <row r="353" spans="1:29" ht="15" customHeight="1" outlineLevel="1" x14ac:dyDescent="0.3">
      <c r="A353" s="62" t="s">
        <v>1178</v>
      </c>
      <c r="B353" s="62" t="s">
        <v>1179</v>
      </c>
      <c r="C353" s="62" t="s">
        <v>892</v>
      </c>
      <c r="D353" s="62"/>
      <c r="E353" s="62" t="s">
        <v>440</v>
      </c>
      <c r="F353" s="62" t="s">
        <v>900</v>
      </c>
      <c r="G353" s="62" t="e">
        <v>#N/A</v>
      </c>
      <c r="H353" s="62" t="s">
        <v>929</v>
      </c>
      <c r="I353" s="62" t="s">
        <v>979</v>
      </c>
      <c r="J353" s="63"/>
      <c r="K353" s="63"/>
      <c r="L353" s="62"/>
      <c r="M353" s="62"/>
      <c r="N353" s="62" t="s">
        <v>1180</v>
      </c>
      <c r="O353" s="62" t="str">
        <f t="shared" si="5"/>
        <v>NF47_SSO WFM</v>
      </c>
      <c r="P353" s="62" t="s">
        <v>2177</v>
      </c>
      <c r="Q353" s="62" t="s">
        <v>896</v>
      </c>
      <c r="R353" s="62"/>
      <c r="S353" s="64"/>
      <c r="T353" s="62" t="s">
        <v>1881</v>
      </c>
      <c r="U353" s="62"/>
      <c r="V353" s="65" t="s">
        <v>1886</v>
      </c>
      <c r="W353" s="65">
        <v>0</v>
      </c>
      <c r="X353" s="62"/>
      <c r="Y353" s="66" t="e">
        <v>#N/A</v>
      </c>
      <c r="Z353" s="62" t="e">
        <v>#N/A</v>
      </c>
      <c r="AA353" s="62"/>
      <c r="AB353" s="62" t="s">
        <v>2210</v>
      </c>
      <c r="AC353" s="62" t="e">
        <v>#N/A</v>
      </c>
    </row>
    <row r="354" spans="1:29" ht="15" customHeight="1" outlineLevel="1" x14ac:dyDescent="0.3">
      <c r="A354" s="62" t="s">
        <v>1181</v>
      </c>
      <c r="B354" s="62" t="s">
        <v>1182</v>
      </c>
      <c r="C354" s="62" t="s">
        <v>1856</v>
      </c>
      <c r="D354" s="62"/>
      <c r="E354" s="62" t="s">
        <v>440</v>
      </c>
      <c r="F354" s="62" t="s">
        <v>900</v>
      </c>
      <c r="G354" s="62" t="e">
        <v>#N/A</v>
      </c>
      <c r="H354" s="62" t="s">
        <v>929</v>
      </c>
      <c r="I354" s="62" t="s">
        <v>979</v>
      </c>
      <c r="J354" s="63"/>
      <c r="K354" s="63"/>
      <c r="L354" s="62"/>
      <c r="M354" s="62"/>
      <c r="N354" s="62" t="s">
        <v>957</v>
      </c>
      <c r="O354" s="62" t="str">
        <f t="shared" si="5"/>
        <v>NF48_RM Manager</v>
      </c>
      <c r="P354" s="62" t="s">
        <v>2177</v>
      </c>
      <c r="Q354" s="62" t="s">
        <v>896</v>
      </c>
      <c r="R354" s="62"/>
      <c r="S354" s="64"/>
      <c r="T354" s="62" t="s">
        <v>1881</v>
      </c>
      <c r="U354" s="62"/>
      <c r="V354" s="65" t="s">
        <v>1886</v>
      </c>
      <c r="W354" s="65">
        <v>0</v>
      </c>
      <c r="X354" s="62"/>
      <c r="Y354" s="66" t="e">
        <v>#N/A</v>
      </c>
      <c r="Z354" s="62" t="e">
        <v>#N/A</v>
      </c>
      <c r="AA354" s="62"/>
      <c r="AB354" s="62" t="s">
        <v>2210</v>
      </c>
      <c r="AC354" s="62" t="e">
        <v>#N/A</v>
      </c>
    </row>
    <row r="355" spans="1:29" ht="15" customHeight="1" outlineLevel="1" x14ac:dyDescent="0.3">
      <c r="A355" s="62" t="s">
        <v>1183</v>
      </c>
      <c r="B355" s="62" t="s">
        <v>1184</v>
      </c>
      <c r="C355" s="62" t="s">
        <v>892</v>
      </c>
      <c r="D355" s="62"/>
      <c r="E355" s="62" t="s">
        <v>440</v>
      </c>
      <c r="F355" s="62" t="s">
        <v>900</v>
      </c>
      <c r="G355" s="62" t="e">
        <v>#N/A</v>
      </c>
      <c r="H355" s="62" t="s">
        <v>929</v>
      </c>
      <c r="I355" s="62" t="s">
        <v>979</v>
      </c>
      <c r="J355" s="63"/>
      <c r="K355" s="63"/>
      <c r="L355" s="62"/>
      <c r="M355" s="62"/>
      <c r="N355" s="62"/>
      <c r="O355" s="62" t="str">
        <f t="shared" si="5"/>
        <v>NF49_RM NR-FLS</v>
      </c>
      <c r="P355" s="62" t="s">
        <v>2177</v>
      </c>
      <c r="Q355" s="62" t="s">
        <v>896</v>
      </c>
      <c r="R355" s="62"/>
      <c r="S355" s="64"/>
      <c r="T355" s="62" t="s">
        <v>1881</v>
      </c>
      <c r="U355" s="62"/>
      <c r="V355" s="65" t="s">
        <v>1886</v>
      </c>
      <c r="W355" s="65">
        <v>0</v>
      </c>
      <c r="X355" s="62"/>
      <c r="Y355" s="66" t="e">
        <v>#N/A</v>
      </c>
      <c r="Z355" s="62" t="e">
        <v>#N/A</v>
      </c>
      <c r="AA355" s="62"/>
      <c r="AB355" s="62" t="s">
        <v>2210</v>
      </c>
      <c r="AC355" s="62" t="e">
        <v>#N/A</v>
      </c>
    </row>
    <row r="356" spans="1:29" ht="15" customHeight="1" outlineLevel="1" x14ac:dyDescent="0.3">
      <c r="A356" s="62" t="s">
        <v>1185</v>
      </c>
      <c r="B356" s="62" t="s">
        <v>1186</v>
      </c>
      <c r="C356" s="62" t="s">
        <v>892</v>
      </c>
      <c r="D356" s="62"/>
      <c r="E356" s="62" t="s">
        <v>440</v>
      </c>
      <c r="F356" s="62" t="s">
        <v>900</v>
      </c>
      <c r="G356" s="62" t="e">
        <v>#N/A</v>
      </c>
      <c r="H356" s="62" t="s">
        <v>929</v>
      </c>
      <c r="I356" s="62" t="s">
        <v>979</v>
      </c>
      <c r="J356" s="63"/>
      <c r="K356" s="63"/>
      <c r="L356" s="62"/>
      <c r="M356" s="62"/>
      <c r="N356" s="62" t="s">
        <v>1180</v>
      </c>
      <c r="O356" s="62" t="str">
        <f t="shared" si="5"/>
        <v>NF50_Service Engineering WFM</v>
      </c>
      <c r="P356" s="62" t="s">
        <v>2177</v>
      </c>
      <c r="Q356" s="62" t="s">
        <v>896</v>
      </c>
      <c r="R356" s="62"/>
      <c r="S356" s="64"/>
      <c r="T356" s="62" t="s">
        <v>1881</v>
      </c>
      <c r="U356" s="62"/>
      <c r="V356" s="65" t="s">
        <v>1886</v>
      </c>
      <c r="W356" s="65">
        <v>0</v>
      </c>
      <c r="X356" s="62"/>
      <c r="Y356" s="66" t="e">
        <v>#N/A</v>
      </c>
      <c r="Z356" s="62" t="e">
        <v>#N/A</v>
      </c>
      <c r="AA356" s="62"/>
      <c r="AB356" s="62" t="s">
        <v>2210</v>
      </c>
      <c r="AC356" s="62" t="e">
        <v>#N/A</v>
      </c>
    </row>
    <row r="357" spans="1:29" ht="15" customHeight="1" outlineLevel="1" x14ac:dyDescent="0.3">
      <c r="A357" s="62" t="s">
        <v>1187</v>
      </c>
      <c r="B357" s="62" t="s">
        <v>1188</v>
      </c>
      <c r="C357" s="62" t="s">
        <v>892</v>
      </c>
      <c r="D357" s="62"/>
      <c r="E357" s="62" t="s">
        <v>266</v>
      </c>
      <c r="F357" s="62" t="s">
        <v>900</v>
      </c>
      <c r="G357" s="62" t="s">
        <v>2250</v>
      </c>
      <c r="H357" s="62" t="s">
        <v>929</v>
      </c>
      <c r="I357" s="62" t="s">
        <v>929</v>
      </c>
      <c r="J357" s="63">
        <v>0.63300000000000001</v>
      </c>
      <c r="K357" s="63"/>
      <c r="L357" s="62"/>
      <c r="M357" s="62" t="s">
        <v>895</v>
      </c>
      <c r="N357" s="62"/>
      <c r="O357" s="62" t="str">
        <f t="shared" si="5"/>
        <v>NF53_Global TELCO Networking</v>
      </c>
      <c r="P357" s="62" t="s">
        <v>2177</v>
      </c>
      <c r="Q357" s="62" t="s">
        <v>896</v>
      </c>
      <c r="R357" s="62">
        <v>14</v>
      </c>
      <c r="S357" s="64"/>
      <c r="T357" s="62" t="s">
        <v>1881</v>
      </c>
      <c r="U357" s="62"/>
      <c r="V357" s="65" t="s">
        <v>1886</v>
      </c>
      <c r="W357" s="65">
        <v>0</v>
      </c>
      <c r="X357" s="62"/>
      <c r="Y357" s="66" t="e">
        <v>#N/A</v>
      </c>
      <c r="Z357" s="62" t="e">
        <v>#N/A</v>
      </c>
      <c r="AA357" s="62"/>
      <c r="AB357" s="62" t="s">
        <v>2208</v>
      </c>
      <c r="AC357" s="62" t="e">
        <v>#N/A</v>
      </c>
    </row>
    <row r="358" spans="1:29" ht="15" customHeight="1" outlineLevel="1" x14ac:dyDescent="0.3">
      <c r="A358" s="62" t="s">
        <v>1189</v>
      </c>
      <c r="B358" s="62" t="s">
        <v>1190</v>
      </c>
      <c r="C358" s="62" t="s">
        <v>892</v>
      </c>
      <c r="D358" s="62"/>
      <c r="E358" s="62" t="s">
        <v>439</v>
      </c>
      <c r="F358" s="62" t="s">
        <v>900</v>
      </c>
      <c r="G358" s="62" t="s">
        <v>2250</v>
      </c>
      <c r="H358" s="62" t="s">
        <v>929</v>
      </c>
      <c r="I358" s="62" t="s">
        <v>979</v>
      </c>
      <c r="J358" s="63"/>
      <c r="K358" s="63"/>
      <c r="L358" s="62"/>
      <c r="M358" s="62"/>
      <c r="N358" s="62"/>
      <c r="O358" s="62" t="str">
        <f t="shared" si="5"/>
        <v>NF54_Global TELCO - Server</v>
      </c>
      <c r="P358" s="62" t="s">
        <v>2177</v>
      </c>
      <c r="Q358" s="62" t="s">
        <v>896</v>
      </c>
      <c r="R358" s="62"/>
      <c r="S358" s="64"/>
      <c r="T358" s="62" t="s">
        <v>1881</v>
      </c>
      <c r="U358" s="62"/>
      <c r="V358" s="65" t="s">
        <v>1886</v>
      </c>
      <c r="W358" s="65">
        <v>0</v>
      </c>
      <c r="X358" s="62"/>
      <c r="Y358" s="66" t="e">
        <v>#N/A</v>
      </c>
      <c r="Z358" s="62" t="e">
        <v>#N/A</v>
      </c>
      <c r="AA358" s="62"/>
      <c r="AB358" s="62" t="s">
        <v>2208</v>
      </c>
      <c r="AC358" s="62" t="e">
        <v>#N/A</v>
      </c>
    </row>
    <row r="359" spans="1:29" ht="15" customHeight="1" outlineLevel="1" x14ac:dyDescent="0.3">
      <c r="A359" s="62" t="s">
        <v>840</v>
      </c>
      <c r="B359" s="62" t="s">
        <v>841</v>
      </c>
      <c r="C359" s="62" t="s">
        <v>1846</v>
      </c>
      <c r="D359" s="62" t="s">
        <v>934</v>
      </c>
      <c r="E359" s="62"/>
      <c r="F359" s="62" t="s">
        <v>8</v>
      </c>
      <c r="G359" s="62" t="e">
        <v>#N/A</v>
      </c>
      <c r="H359" s="62"/>
      <c r="I359" s="62"/>
      <c r="J359" s="63"/>
      <c r="K359" s="63"/>
      <c r="L359" s="62"/>
      <c r="M359" s="62"/>
      <c r="N359" s="62"/>
      <c r="O359" s="62" t="str">
        <f t="shared" si="5"/>
        <v>PHSS_NA Premium Support</v>
      </c>
      <c r="P359" s="62" t="s">
        <v>2181</v>
      </c>
      <c r="Q359" s="62" t="s">
        <v>896</v>
      </c>
      <c r="R359" s="62"/>
      <c r="S359" s="64"/>
      <c r="T359" s="62" t="s">
        <v>1881</v>
      </c>
      <c r="U359" s="62"/>
      <c r="V359" s="65" t="s">
        <v>1886</v>
      </c>
      <c r="W359" s="65">
        <v>141.33333333333334</v>
      </c>
      <c r="X359" s="62"/>
      <c r="Y359" s="66" t="e">
        <v>#N/A</v>
      </c>
      <c r="Z359" s="62" t="e">
        <v>#N/A</v>
      </c>
      <c r="AA359" s="62"/>
      <c r="AB359" s="62" t="s">
        <v>2208</v>
      </c>
      <c r="AC359" s="62" t="e">
        <v>#N/A</v>
      </c>
    </row>
    <row r="360" spans="1:29" ht="15" customHeight="1" outlineLevel="1" x14ac:dyDescent="0.3">
      <c r="A360" s="62" t="s">
        <v>1198</v>
      </c>
      <c r="B360" s="62" t="s">
        <v>1199</v>
      </c>
      <c r="C360" s="62" t="s">
        <v>892</v>
      </c>
      <c r="D360" s="62" t="s">
        <v>439</v>
      </c>
      <c r="E360" s="62" t="s">
        <v>995</v>
      </c>
      <c r="F360" s="62" t="s">
        <v>900</v>
      </c>
      <c r="G360" s="62" t="e">
        <v>#N/A</v>
      </c>
      <c r="H360" s="62" t="s">
        <v>996</v>
      </c>
      <c r="I360" s="62" t="s">
        <v>1200</v>
      </c>
      <c r="J360" s="63"/>
      <c r="K360" s="63"/>
      <c r="L360" s="62"/>
      <c r="M360" s="62"/>
      <c r="N360" s="62" t="s">
        <v>13</v>
      </c>
      <c r="O360" s="62" t="str">
        <f t="shared" si="5"/>
        <v>PP21_APJ English CTE</v>
      </c>
      <c r="P360" s="62" t="s">
        <v>2178</v>
      </c>
      <c r="Q360" s="62" t="s">
        <v>896</v>
      </c>
      <c r="R360" s="62"/>
      <c r="S360" s="64"/>
      <c r="T360" s="62" t="s">
        <v>1881</v>
      </c>
      <c r="U360" s="62"/>
      <c r="V360" s="65" t="s">
        <v>1886</v>
      </c>
      <c r="W360" s="65">
        <v>0</v>
      </c>
      <c r="X360" s="62"/>
      <c r="Y360" s="66" t="e">
        <v>#N/A</v>
      </c>
      <c r="Z360" s="62" t="e">
        <v>#N/A</v>
      </c>
      <c r="AA360" s="62"/>
      <c r="AB360" s="62" t="s">
        <v>2208</v>
      </c>
      <c r="AC360" s="62" t="e">
        <v>#N/A</v>
      </c>
    </row>
    <row r="361" spans="1:29" ht="15" customHeight="1" outlineLevel="1" x14ac:dyDescent="0.3">
      <c r="A361" s="62" t="s">
        <v>730</v>
      </c>
      <c r="B361" s="62" t="s">
        <v>731</v>
      </c>
      <c r="C361" s="62" t="s">
        <v>1856</v>
      </c>
      <c r="D361" s="62" t="s">
        <v>440</v>
      </c>
      <c r="E361" s="62" t="s">
        <v>440</v>
      </c>
      <c r="F361" s="62" t="s">
        <v>8</v>
      </c>
      <c r="G361" s="62" t="e">
        <v>#N/A</v>
      </c>
      <c r="H361" s="62" t="s">
        <v>903</v>
      </c>
      <c r="I361" s="62" t="s">
        <v>909</v>
      </c>
      <c r="J361" s="63">
        <v>0.629</v>
      </c>
      <c r="K361" s="63"/>
      <c r="L361" s="62"/>
      <c r="M361" s="62"/>
      <c r="N361" s="62"/>
      <c r="O361" s="62" t="str">
        <f t="shared" si="5"/>
        <v>RE03_APJ Support Resolution Team</v>
      </c>
      <c r="P361" s="62" t="s">
        <v>2177</v>
      </c>
      <c r="Q361" s="62" t="s">
        <v>896</v>
      </c>
      <c r="R361" s="62"/>
      <c r="S361" s="64"/>
      <c r="T361" s="62" t="s">
        <v>1881</v>
      </c>
      <c r="U361" s="62"/>
      <c r="V361" s="65" t="s">
        <v>1886</v>
      </c>
      <c r="W361" s="65">
        <v>1</v>
      </c>
      <c r="X361" s="62"/>
      <c r="Y361" s="66" t="e">
        <v>#N/A</v>
      </c>
      <c r="Z361" s="62" t="e">
        <v>#N/A</v>
      </c>
      <c r="AA361" s="62"/>
      <c r="AB361" s="62" t="s">
        <v>2210</v>
      </c>
      <c r="AC361" s="62" t="e">
        <v>#N/A</v>
      </c>
    </row>
    <row r="362" spans="1:29" ht="15" customHeight="1" outlineLevel="1" x14ac:dyDescent="0.3">
      <c r="A362" s="62" t="s">
        <v>1203</v>
      </c>
      <c r="B362" s="62" t="s">
        <v>1204</v>
      </c>
      <c r="C362" s="62" t="s">
        <v>892</v>
      </c>
      <c r="D362" s="62"/>
      <c r="E362" s="62" t="s">
        <v>439</v>
      </c>
      <c r="F362" s="62" t="s">
        <v>8</v>
      </c>
      <c r="G362" s="62" t="e">
        <v>#N/A</v>
      </c>
      <c r="H362" s="62" t="s">
        <v>901</v>
      </c>
      <c r="I362" s="62" t="s">
        <v>1076</v>
      </c>
      <c r="J362" s="63"/>
      <c r="K362" s="63"/>
      <c r="L362" s="62"/>
      <c r="M362" s="62"/>
      <c r="N362" s="62"/>
      <c r="O362" s="62" t="str">
        <f t="shared" si="5"/>
        <v>RL10_Triage Enterprise Support Panama</v>
      </c>
      <c r="P362" s="62" t="s">
        <v>2177</v>
      </c>
      <c r="Q362" s="62" t="s">
        <v>896</v>
      </c>
      <c r="R362" s="62"/>
      <c r="S362" s="64"/>
      <c r="T362" s="62" t="s">
        <v>1881</v>
      </c>
      <c r="U362" s="62"/>
      <c r="V362" s="65" t="s">
        <v>1886</v>
      </c>
      <c r="W362" s="65">
        <v>0</v>
      </c>
      <c r="X362" s="62"/>
      <c r="Y362" s="66" t="e">
        <v>#N/A</v>
      </c>
      <c r="Z362" s="62" t="e">
        <v>#N/A</v>
      </c>
      <c r="AA362" s="62"/>
      <c r="AB362" s="62" t="s">
        <v>2216</v>
      </c>
      <c r="AC362" s="62" t="e">
        <v>#N/A</v>
      </c>
    </row>
    <row r="363" spans="1:29" ht="15" customHeight="1" outlineLevel="1" x14ac:dyDescent="0.3">
      <c r="A363" s="62" t="s">
        <v>732</v>
      </c>
      <c r="B363" s="62" t="s">
        <v>733</v>
      </c>
      <c r="C363" s="62" t="s">
        <v>1844</v>
      </c>
      <c r="D363" s="62" t="s">
        <v>440</v>
      </c>
      <c r="E363" s="62" t="s">
        <v>440</v>
      </c>
      <c r="F363" s="62" t="s">
        <v>8</v>
      </c>
      <c r="G363" s="62" t="e">
        <v>#N/A</v>
      </c>
      <c r="H363" s="62" t="s">
        <v>935</v>
      </c>
      <c r="I363" s="62" t="s">
        <v>1076</v>
      </c>
      <c r="J363" s="63">
        <v>0.626</v>
      </c>
      <c r="K363" s="63"/>
      <c r="L363" s="62"/>
      <c r="M363" s="62"/>
      <c r="N363" s="62"/>
      <c r="O363" s="62" t="str">
        <f t="shared" si="5"/>
        <v>RL12_RM ROLA</v>
      </c>
      <c r="P363" s="62" t="s">
        <v>2177</v>
      </c>
      <c r="Q363" s="62" t="s">
        <v>896</v>
      </c>
      <c r="R363" s="62"/>
      <c r="S363" s="64"/>
      <c r="T363" s="62" t="s">
        <v>1881</v>
      </c>
      <c r="U363" s="62"/>
      <c r="V363" s="65" t="s">
        <v>1886</v>
      </c>
      <c r="W363" s="65">
        <v>0</v>
      </c>
      <c r="X363" s="62"/>
      <c r="Y363" s="66" t="e">
        <v>#N/A</v>
      </c>
      <c r="Z363" s="62" t="e">
        <v>#N/A</v>
      </c>
      <c r="AA363" s="62"/>
      <c r="AB363" s="62" t="s">
        <v>779</v>
      </c>
      <c r="AC363" s="62" t="e">
        <v>#N/A</v>
      </c>
    </row>
    <row r="364" spans="1:29" ht="15" customHeight="1" outlineLevel="1" x14ac:dyDescent="0.3">
      <c r="A364" s="62" t="s">
        <v>734</v>
      </c>
      <c r="B364" s="62" t="s">
        <v>735</v>
      </c>
      <c r="C364" s="62" t="s">
        <v>1844</v>
      </c>
      <c r="D364" s="62" t="s">
        <v>440</v>
      </c>
      <c r="E364" s="62" t="s">
        <v>440</v>
      </c>
      <c r="F364" s="62" t="s">
        <v>8</v>
      </c>
      <c r="G364" s="62" t="e">
        <v>#N/A</v>
      </c>
      <c r="H364" s="62" t="s">
        <v>893</v>
      </c>
      <c r="I364" s="62" t="s">
        <v>894</v>
      </c>
      <c r="J364" s="63">
        <v>0.64800000000000002</v>
      </c>
      <c r="K364" s="63"/>
      <c r="L364" s="62"/>
      <c r="M364" s="62" t="s">
        <v>895</v>
      </c>
      <c r="N364" s="62"/>
      <c r="O364" s="62" t="str">
        <f t="shared" si="5"/>
        <v>RM02_RM NA Enterprise</v>
      </c>
      <c r="P364" s="62" t="s">
        <v>2177</v>
      </c>
      <c r="Q364" s="62" t="s">
        <v>896</v>
      </c>
      <c r="R364" s="62">
        <v>14</v>
      </c>
      <c r="S364" s="64"/>
      <c r="T364" s="62" t="s">
        <v>1881</v>
      </c>
      <c r="U364" s="62"/>
      <c r="V364" s="65" t="s">
        <v>1886</v>
      </c>
      <c r="W364" s="65">
        <v>1</v>
      </c>
      <c r="X364" s="62"/>
      <c r="Y364" s="66" t="e">
        <v>#N/A</v>
      </c>
      <c r="Z364" s="62" t="e">
        <v>#N/A</v>
      </c>
      <c r="AA364" s="62"/>
      <c r="AB364" s="62" t="s">
        <v>2208</v>
      </c>
      <c r="AC364" s="62" t="e">
        <v>#N/A</v>
      </c>
    </row>
    <row r="365" spans="1:29" ht="15" customHeight="1" outlineLevel="1" x14ac:dyDescent="0.3">
      <c r="A365" s="62" t="s">
        <v>1210</v>
      </c>
      <c r="B365" s="62" t="s">
        <v>1211</v>
      </c>
      <c r="C365" s="62" t="s">
        <v>892</v>
      </c>
      <c r="D365" s="62" t="s">
        <v>436</v>
      </c>
      <c r="E365" s="62" t="s">
        <v>439</v>
      </c>
      <c r="F365" s="62" t="s">
        <v>900</v>
      </c>
      <c r="G365" s="62" t="e">
        <v>#N/A</v>
      </c>
      <c r="H365" s="62" t="s">
        <v>929</v>
      </c>
      <c r="I365" s="62" t="s">
        <v>929</v>
      </c>
      <c r="J365" s="63">
        <v>0.63300000000000001</v>
      </c>
      <c r="K365" s="63"/>
      <c r="L365" s="62"/>
      <c r="M365" s="62" t="s">
        <v>895</v>
      </c>
      <c r="N365" s="62"/>
      <c r="O365" s="62" t="str">
        <f t="shared" si="5"/>
        <v>RP03_RPS Non-Frontline</v>
      </c>
      <c r="P365" s="62" t="s">
        <v>2177</v>
      </c>
      <c r="Q365" s="62" t="s">
        <v>896</v>
      </c>
      <c r="R365" s="62">
        <v>14</v>
      </c>
      <c r="S365" s="64"/>
      <c r="T365" s="62" t="s">
        <v>1881</v>
      </c>
      <c r="U365" s="62"/>
      <c r="V365" s="65" t="s">
        <v>1886</v>
      </c>
      <c r="W365" s="65">
        <v>0</v>
      </c>
      <c r="X365" s="62"/>
      <c r="Y365" s="66" t="e">
        <v>#N/A</v>
      </c>
      <c r="Z365" s="62" t="e">
        <v>#N/A</v>
      </c>
      <c r="AA365" s="62"/>
      <c r="AB365" s="62" t="s">
        <v>2208</v>
      </c>
      <c r="AC365" s="62" t="e">
        <v>#N/A</v>
      </c>
    </row>
    <row r="366" spans="1:29" ht="15" customHeight="1" outlineLevel="1" x14ac:dyDescent="0.3">
      <c r="A366" s="62" t="s">
        <v>1214</v>
      </c>
      <c r="B366" s="62" t="s">
        <v>1215</v>
      </c>
      <c r="C366" s="62" t="s">
        <v>892</v>
      </c>
      <c r="D366" s="62"/>
      <c r="E366" s="62" t="s">
        <v>440</v>
      </c>
      <c r="F366" s="62" t="s">
        <v>900</v>
      </c>
      <c r="G366" s="62" t="e">
        <v>#N/A</v>
      </c>
      <c r="H366" s="62" t="s">
        <v>901</v>
      </c>
      <c r="I366" s="62" t="s">
        <v>894</v>
      </c>
      <c r="J366" s="63"/>
      <c r="K366" s="63"/>
      <c r="L366" s="62"/>
      <c r="M366" s="62"/>
      <c r="N366" s="62"/>
      <c r="O366" s="62" t="str">
        <f t="shared" si="5"/>
        <v>SMP1_SMPE English Storage SC</v>
      </c>
      <c r="P366" s="62" t="s">
        <v>2177</v>
      </c>
      <c r="Q366" s="62" t="s">
        <v>896</v>
      </c>
      <c r="R366" s="62"/>
      <c r="S366" s="64"/>
      <c r="T366" s="62" t="s">
        <v>1881</v>
      </c>
      <c r="U366" s="62"/>
      <c r="V366" s="65" t="s">
        <v>1886</v>
      </c>
      <c r="W366" s="65">
        <v>0</v>
      </c>
      <c r="X366" s="62"/>
      <c r="Y366" s="66" t="e">
        <v>#N/A</v>
      </c>
      <c r="Z366" s="62" t="e">
        <v>#N/A</v>
      </c>
      <c r="AA366" s="62"/>
      <c r="AB366" s="62" t="s">
        <v>2208</v>
      </c>
      <c r="AC366" s="62" t="e">
        <v>#N/A</v>
      </c>
    </row>
    <row r="367" spans="1:29" ht="15" customHeight="1" outlineLevel="1" x14ac:dyDescent="0.3">
      <c r="A367" s="62" t="s">
        <v>1216</v>
      </c>
      <c r="B367" s="62" t="s">
        <v>1217</v>
      </c>
      <c r="C367" s="62" t="s">
        <v>892</v>
      </c>
      <c r="D367" s="62"/>
      <c r="E367" s="62" t="s">
        <v>440</v>
      </c>
      <c r="F367" s="62" t="s">
        <v>900</v>
      </c>
      <c r="G367" s="62" t="e">
        <v>#N/A</v>
      </c>
      <c r="H367" s="62" t="s">
        <v>901</v>
      </c>
      <c r="I367" s="62" t="s">
        <v>894</v>
      </c>
      <c r="J367" s="63"/>
      <c r="K367" s="63"/>
      <c r="L367" s="62"/>
      <c r="M367" s="62"/>
      <c r="N367" s="62"/>
      <c r="O367" s="62" t="str">
        <f t="shared" si="5"/>
        <v>SMP2_SMPE English Storage MD</v>
      </c>
      <c r="P367" s="62" t="s">
        <v>2177</v>
      </c>
      <c r="Q367" s="62" t="s">
        <v>896</v>
      </c>
      <c r="R367" s="62"/>
      <c r="S367" s="64"/>
      <c r="T367" s="62" t="s">
        <v>1881</v>
      </c>
      <c r="U367" s="62"/>
      <c r="V367" s="65" t="s">
        <v>1886</v>
      </c>
      <c r="W367" s="65">
        <v>0</v>
      </c>
      <c r="X367" s="62"/>
      <c r="Y367" s="66" t="e">
        <v>#N/A</v>
      </c>
      <c r="Z367" s="62" t="e">
        <v>#N/A</v>
      </c>
      <c r="AA367" s="62"/>
      <c r="AB367" s="62" t="s">
        <v>2208</v>
      </c>
      <c r="AC367" s="62" t="e">
        <v>#N/A</v>
      </c>
    </row>
    <row r="368" spans="1:29" ht="15" customHeight="1" outlineLevel="1" x14ac:dyDescent="0.3">
      <c r="A368" s="62" t="s">
        <v>1218</v>
      </c>
      <c r="B368" s="62" t="s">
        <v>1219</v>
      </c>
      <c r="C368" s="62" t="s">
        <v>892</v>
      </c>
      <c r="D368" s="62"/>
      <c r="E368" s="62" t="s">
        <v>266</v>
      </c>
      <c r="F368" s="62" t="s">
        <v>900</v>
      </c>
      <c r="G368" s="62" t="e">
        <v>#N/A</v>
      </c>
      <c r="H368" s="62" t="s">
        <v>901</v>
      </c>
      <c r="I368" s="62" t="s">
        <v>894</v>
      </c>
      <c r="J368" s="63"/>
      <c r="K368" s="63"/>
      <c r="L368" s="62"/>
      <c r="M368" s="62"/>
      <c r="N368" s="62"/>
      <c r="O368" s="62" t="str">
        <f t="shared" si="5"/>
        <v>SMP3_SMPE English Networking</v>
      </c>
      <c r="P368" s="62" t="s">
        <v>2177</v>
      </c>
      <c r="Q368" s="62" t="s">
        <v>896</v>
      </c>
      <c r="R368" s="62"/>
      <c r="S368" s="64"/>
      <c r="T368" s="62" t="s">
        <v>1881</v>
      </c>
      <c r="U368" s="62"/>
      <c r="V368" s="65" t="s">
        <v>1886</v>
      </c>
      <c r="W368" s="65">
        <v>0</v>
      </c>
      <c r="X368" s="62"/>
      <c r="Y368" s="66" t="e">
        <v>#N/A</v>
      </c>
      <c r="Z368" s="62" t="e">
        <v>#N/A</v>
      </c>
      <c r="AA368" s="62"/>
      <c r="AB368" s="62" t="s">
        <v>2208</v>
      </c>
      <c r="AC368" s="62" t="e">
        <v>#N/A</v>
      </c>
    </row>
    <row r="369" spans="1:29" ht="15" customHeight="1" outlineLevel="1" x14ac:dyDescent="0.3">
      <c r="A369" s="62" t="s">
        <v>1220</v>
      </c>
      <c r="B369" s="62" t="s">
        <v>1221</v>
      </c>
      <c r="C369" s="62" t="s">
        <v>892</v>
      </c>
      <c r="D369" s="62"/>
      <c r="E369" s="62" t="s">
        <v>439</v>
      </c>
      <c r="F369" s="62" t="s">
        <v>900</v>
      </c>
      <c r="G369" s="62" t="e">
        <v>#N/A</v>
      </c>
      <c r="H369" s="62" t="s">
        <v>901</v>
      </c>
      <c r="I369" s="62" t="s">
        <v>894</v>
      </c>
      <c r="J369" s="63"/>
      <c r="K369" s="63"/>
      <c r="L369" s="62"/>
      <c r="M369" s="62"/>
      <c r="N369" s="62"/>
      <c r="O369" s="62" t="str">
        <f t="shared" si="5"/>
        <v>SMP4_SMPE English Server</v>
      </c>
      <c r="P369" s="62" t="s">
        <v>2177</v>
      </c>
      <c r="Q369" s="62" t="s">
        <v>896</v>
      </c>
      <c r="R369" s="62"/>
      <c r="S369" s="64"/>
      <c r="T369" s="62" t="s">
        <v>1881</v>
      </c>
      <c r="U369" s="62"/>
      <c r="V369" s="65" t="s">
        <v>1886</v>
      </c>
      <c r="W369" s="65">
        <v>0</v>
      </c>
      <c r="X369" s="62"/>
      <c r="Y369" s="66" t="e">
        <v>#N/A</v>
      </c>
      <c r="Z369" s="62" t="e">
        <v>#N/A</v>
      </c>
      <c r="AA369" s="62"/>
      <c r="AB369" s="62" t="s">
        <v>2208</v>
      </c>
      <c r="AC369" s="62" t="e">
        <v>#N/A</v>
      </c>
    </row>
    <row r="370" spans="1:29" ht="15" customHeight="1" outlineLevel="1" x14ac:dyDescent="0.3">
      <c r="A370" s="62" t="s">
        <v>1222</v>
      </c>
      <c r="B370" s="62" t="s">
        <v>1223</v>
      </c>
      <c r="C370" s="62" t="s">
        <v>892</v>
      </c>
      <c r="D370" s="62"/>
      <c r="E370" s="62" t="s">
        <v>440</v>
      </c>
      <c r="F370" s="62" t="s">
        <v>900</v>
      </c>
      <c r="G370" s="62" t="e">
        <v>#N/A</v>
      </c>
      <c r="H370" s="62" t="s">
        <v>901</v>
      </c>
      <c r="I370" s="62" t="s">
        <v>894</v>
      </c>
      <c r="J370" s="63"/>
      <c r="K370" s="63"/>
      <c r="L370" s="62"/>
      <c r="M370" s="62"/>
      <c r="N370" s="62"/>
      <c r="O370" s="62" t="str">
        <f t="shared" si="5"/>
        <v>SMP5_SMPE English Storage PS</v>
      </c>
      <c r="P370" s="62" t="s">
        <v>2177</v>
      </c>
      <c r="Q370" s="62" t="s">
        <v>896</v>
      </c>
      <c r="R370" s="62"/>
      <c r="S370" s="64"/>
      <c r="T370" s="62" t="s">
        <v>1881</v>
      </c>
      <c r="U370" s="62"/>
      <c r="V370" s="65" t="s">
        <v>1886</v>
      </c>
      <c r="W370" s="65">
        <v>0</v>
      </c>
      <c r="X370" s="62"/>
      <c r="Y370" s="66" t="e">
        <v>#N/A</v>
      </c>
      <c r="Z370" s="62" t="e">
        <v>#N/A</v>
      </c>
      <c r="AA370" s="62"/>
      <c r="AB370" s="62" t="s">
        <v>2208</v>
      </c>
      <c r="AC370" s="62" t="e">
        <v>#N/A</v>
      </c>
    </row>
    <row r="371" spans="1:29" ht="15" customHeight="1" outlineLevel="1" x14ac:dyDescent="0.3">
      <c r="A371" s="62" t="s">
        <v>1224</v>
      </c>
      <c r="B371" s="62" t="s">
        <v>1225</v>
      </c>
      <c r="C371" s="62" t="s">
        <v>892</v>
      </c>
      <c r="D371" s="62"/>
      <c r="E371" s="62" t="s">
        <v>440</v>
      </c>
      <c r="F371" s="62" t="s">
        <v>900</v>
      </c>
      <c r="G371" s="62" t="e">
        <v>#N/A</v>
      </c>
      <c r="H371" s="62" t="s">
        <v>901</v>
      </c>
      <c r="I371" s="62" t="s">
        <v>894</v>
      </c>
      <c r="J371" s="63"/>
      <c r="K371" s="63"/>
      <c r="L371" s="62"/>
      <c r="M371" s="62"/>
      <c r="N371" s="62"/>
      <c r="O371" s="62" t="str">
        <f t="shared" si="5"/>
        <v>SMP6_SMPE English LVTS</v>
      </c>
      <c r="P371" s="62" t="s">
        <v>2177</v>
      </c>
      <c r="Q371" s="62" t="s">
        <v>896</v>
      </c>
      <c r="R371" s="62"/>
      <c r="S371" s="64"/>
      <c r="T371" s="62" t="s">
        <v>1881</v>
      </c>
      <c r="U371" s="62"/>
      <c r="V371" s="65" t="s">
        <v>1886</v>
      </c>
      <c r="W371" s="65">
        <v>0</v>
      </c>
      <c r="X371" s="62"/>
      <c r="Y371" s="66" t="e">
        <v>#N/A</v>
      </c>
      <c r="Z371" s="62" t="e">
        <v>#N/A</v>
      </c>
      <c r="AA371" s="62"/>
      <c r="AB371" s="62" t="s">
        <v>2208</v>
      </c>
      <c r="AC371" s="62" t="e">
        <v>#N/A</v>
      </c>
    </row>
    <row r="372" spans="1:29" ht="15" customHeight="1" outlineLevel="1" x14ac:dyDescent="0.3">
      <c r="A372" s="62" t="s">
        <v>1226</v>
      </c>
      <c r="B372" s="62" t="s">
        <v>1227</v>
      </c>
      <c r="C372" s="62" t="s">
        <v>892</v>
      </c>
      <c r="D372" s="62"/>
      <c r="E372" s="62" t="s">
        <v>440</v>
      </c>
      <c r="F372" s="62" t="s">
        <v>900</v>
      </c>
      <c r="G372" s="62" t="e">
        <v>#N/A</v>
      </c>
      <c r="H372" s="62" t="s">
        <v>901</v>
      </c>
      <c r="I372" s="62" t="s">
        <v>894</v>
      </c>
      <c r="J372" s="63"/>
      <c r="K372" s="63"/>
      <c r="L372" s="62"/>
      <c r="M372" s="62"/>
      <c r="N372" s="62"/>
      <c r="O372" s="62" t="str">
        <f t="shared" si="5"/>
        <v>SMP7_SMPE English Nutanix</v>
      </c>
      <c r="P372" s="62" t="s">
        <v>2177</v>
      </c>
      <c r="Q372" s="62" t="s">
        <v>896</v>
      </c>
      <c r="R372" s="62"/>
      <c r="S372" s="64"/>
      <c r="T372" s="62" t="s">
        <v>1881</v>
      </c>
      <c r="U372" s="62"/>
      <c r="V372" s="65" t="s">
        <v>1886</v>
      </c>
      <c r="W372" s="65">
        <v>0</v>
      </c>
      <c r="X372" s="62"/>
      <c r="Y372" s="66" t="e">
        <v>#N/A</v>
      </c>
      <c r="Z372" s="62" t="e">
        <v>#N/A</v>
      </c>
      <c r="AA372" s="62"/>
      <c r="AB372" s="62" t="s">
        <v>2208</v>
      </c>
      <c r="AC372" s="62" t="e">
        <v>#N/A</v>
      </c>
    </row>
    <row r="373" spans="1:29" ht="15" customHeight="1" outlineLevel="1" x14ac:dyDescent="0.3">
      <c r="A373" s="62" t="s">
        <v>1228</v>
      </c>
      <c r="B373" s="62" t="s">
        <v>1229</v>
      </c>
      <c r="C373" s="62" t="s">
        <v>892</v>
      </c>
      <c r="D373" s="62"/>
      <c r="E373" s="62" t="s">
        <v>440</v>
      </c>
      <c r="F373" s="62" t="s">
        <v>900</v>
      </c>
      <c r="G373" s="62" t="e">
        <v>#N/A</v>
      </c>
      <c r="H373" s="62" t="s">
        <v>901</v>
      </c>
      <c r="I373" s="62" t="s">
        <v>894</v>
      </c>
      <c r="J373" s="63"/>
      <c r="K373" s="63"/>
      <c r="L373" s="62"/>
      <c r="M373" s="62"/>
      <c r="N373" s="62"/>
      <c r="O373" s="62" t="str">
        <f t="shared" si="5"/>
        <v>SMP8_SMPE English Microsoft</v>
      </c>
      <c r="P373" s="62" t="s">
        <v>2177</v>
      </c>
      <c r="Q373" s="62" t="s">
        <v>896</v>
      </c>
      <c r="R373" s="62"/>
      <c r="S373" s="64"/>
      <c r="T373" s="62" t="s">
        <v>1881</v>
      </c>
      <c r="U373" s="62"/>
      <c r="V373" s="65" t="s">
        <v>1886</v>
      </c>
      <c r="W373" s="65">
        <v>0</v>
      </c>
      <c r="X373" s="62"/>
      <c r="Y373" s="66" t="e">
        <v>#N/A</v>
      </c>
      <c r="Z373" s="62" t="e">
        <v>#N/A</v>
      </c>
      <c r="AA373" s="62"/>
      <c r="AB373" s="62" t="s">
        <v>2208</v>
      </c>
      <c r="AC373" s="62" t="e">
        <v>#N/A</v>
      </c>
    </row>
    <row r="374" spans="1:29" ht="15" customHeight="1" outlineLevel="1" x14ac:dyDescent="0.3">
      <c r="A374" s="62" t="s">
        <v>1230</v>
      </c>
      <c r="B374" s="62" t="s">
        <v>1231</v>
      </c>
      <c r="C374" s="62" t="s">
        <v>892</v>
      </c>
      <c r="D374" s="62" t="s">
        <v>947</v>
      </c>
      <c r="E374" s="62" t="s">
        <v>440</v>
      </c>
      <c r="F374" s="62" t="s">
        <v>900</v>
      </c>
      <c r="G374" s="62" t="e">
        <v>#N/A</v>
      </c>
      <c r="H374" s="62" t="s">
        <v>912</v>
      </c>
      <c r="I374" s="62" t="s">
        <v>1026</v>
      </c>
      <c r="J374" s="63">
        <v>0.61699999999999999</v>
      </c>
      <c r="K374" s="63"/>
      <c r="L374" s="62"/>
      <c r="M374" s="62" t="s">
        <v>895</v>
      </c>
      <c r="N374" s="62" t="s">
        <v>916</v>
      </c>
      <c r="O374" s="62" t="str">
        <f t="shared" si="5"/>
        <v>SP10_SPA Social Media (MTP)</v>
      </c>
      <c r="P374" s="62" t="s">
        <v>2177</v>
      </c>
      <c r="Q374" s="62" t="s">
        <v>896</v>
      </c>
      <c r="R374" s="62">
        <v>14</v>
      </c>
      <c r="S374" s="64"/>
      <c r="T374" s="62" t="s">
        <v>1881</v>
      </c>
      <c r="U374" s="62"/>
      <c r="V374" s="65" t="s">
        <v>1886</v>
      </c>
      <c r="W374" s="65">
        <v>0</v>
      </c>
      <c r="X374" s="62"/>
      <c r="Y374" s="66" t="e">
        <v>#N/A</v>
      </c>
      <c r="Z374" s="62" t="e">
        <v>#N/A</v>
      </c>
      <c r="AA374" s="62"/>
      <c r="AB374" s="62" t="s">
        <v>779</v>
      </c>
      <c r="AC374" s="62" t="e">
        <v>#N/A</v>
      </c>
    </row>
    <row r="375" spans="1:29" ht="15" customHeight="1" outlineLevel="1" x14ac:dyDescent="0.3">
      <c r="A375" s="62" t="s">
        <v>1233</v>
      </c>
      <c r="B375" s="62" t="s">
        <v>1234</v>
      </c>
      <c r="C375" s="62" t="s">
        <v>1846</v>
      </c>
      <c r="D375" s="62" t="s">
        <v>934</v>
      </c>
      <c r="E375" s="62" t="s">
        <v>934</v>
      </c>
      <c r="F375" s="62" t="s">
        <v>900</v>
      </c>
      <c r="G375" s="62" t="e">
        <v>#N/A</v>
      </c>
      <c r="H375" s="62" t="s">
        <v>903</v>
      </c>
      <c r="I375" s="62" t="s">
        <v>1235</v>
      </c>
      <c r="J375" s="63"/>
      <c r="K375" s="63"/>
      <c r="L375" s="62"/>
      <c r="M375" s="62"/>
      <c r="N375" s="62"/>
      <c r="O375" s="62" t="str">
        <f t="shared" si="5"/>
        <v>TH04_Client Prosupport TH (CTX)</v>
      </c>
      <c r="P375" s="62" t="s">
        <v>2179</v>
      </c>
      <c r="Q375" s="62" t="s">
        <v>896</v>
      </c>
      <c r="R375" s="62"/>
      <c r="S375" s="64"/>
      <c r="T375" s="62" t="s">
        <v>1881</v>
      </c>
      <c r="U375" s="62"/>
      <c r="V375" s="65" t="s">
        <v>1886</v>
      </c>
      <c r="W375" s="65">
        <v>28</v>
      </c>
      <c r="X375" s="62"/>
      <c r="Y375" s="66" t="e">
        <v>#N/A</v>
      </c>
      <c r="Z375" s="62" t="e">
        <v>#N/A</v>
      </c>
      <c r="AA375" s="62"/>
      <c r="AB375" s="62" t="s">
        <v>2222</v>
      </c>
      <c r="AC375" s="62" t="e">
        <v>#N/A</v>
      </c>
    </row>
    <row r="376" spans="1:29" ht="15" customHeight="1" outlineLevel="1" x14ac:dyDescent="0.3">
      <c r="A376" s="62" t="s">
        <v>1236</v>
      </c>
      <c r="B376" s="62" t="s">
        <v>1237</v>
      </c>
      <c r="C376" s="62" t="s">
        <v>1846</v>
      </c>
      <c r="D376" s="62" t="s">
        <v>934</v>
      </c>
      <c r="E376" s="62" t="s">
        <v>1238</v>
      </c>
      <c r="F376" s="62" t="s">
        <v>900</v>
      </c>
      <c r="G376" s="62" t="e">
        <v>#N/A</v>
      </c>
      <c r="H376" s="62" t="s">
        <v>903</v>
      </c>
      <c r="I376" s="62" t="s">
        <v>909</v>
      </c>
      <c r="J376" s="63"/>
      <c r="K376" s="63"/>
      <c r="L376" s="62"/>
      <c r="M376" s="62"/>
      <c r="N376" s="62"/>
      <c r="O376" s="62" t="str">
        <f t="shared" si="5"/>
        <v>THBW_CCC Workstation BW</v>
      </c>
      <c r="P376" s="62" t="s">
        <v>2180</v>
      </c>
      <c r="Q376" s="62" t="s">
        <v>896</v>
      </c>
      <c r="R376" s="62"/>
      <c r="S376" s="64"/>
      <c r="T376" s="62" t="s">
        <v>1881</v>
      </c>
      <c r="U376" s="62"/>
      <c r="V376" s="65" t="s">
        <v>1886</v>
      </c>
      <c r="W376" s="65">
        <v>4</v>
      </c>
      <c r="X376" s="62"/>
      <c r="Y376" s="66" t="e">
        <v>#N/A</v>
      </c>
      <c r="Z376" s="62" t="e">
        <v>#N/A</v>
      </c>
      <c r="AA376" s="62"/>
      <c r="AB376" s="62" t="s">
        <v>2211</v>
      </c>
      <c r="AC376" s="62" t="e">
        <v>#N/A</v>
      </c>
    </row>
    <row r="377" spans="1:29" ht="15" customHeight="1" outlineLevel="1" x14ac:dyDescent="0.3">
      <c r="A377" s="62" t="s">
        <v>1240</v>
      </c>
      <c r="B377" s="62" t="s">
        <v>1241</v>
      </c>
      <c r="C377" s="62" t="s">
        <v>1846</v>
      </c>
      <c r="D377" s="62"/>
      <c r="E377" s="62"/>
      <c r="F377" s="62" t="s">
        <v>900</v>
      </c>
      <c r="G377" s="62" t="e">
        <v>#N/A</v>
      </c>
      <c r="H377" s="62"/>
      <c r="I377" s="62"/>
      <c r="J377" s="63"/>
      <c r="K377" s="63"/>
      <c r="L377" s="62"/>
      <c r="M377" s="62"/>
      <c r="N377" s="62"/>
      <c r="O377" s="62" t="str">
        <f t="shared" si="5"/>
        <v>UNOP_NA OOP Resolver</v>
      </c>
      <c r="P377" s="62" t="s">
        <v>2181</v>
      </c>
      <c r="Q377" s="62" t="s">
        <v>896</v>
      </c>
      <c r="R377" s="62"/>
      <c r="S377" s="64"/>
      <c r="T377" s="62" t="s">
        <v>1881</v>
      </c>
      <c r="U377" s="62"/>
      <c r="V377" s="65" t="s">
        <v>1886</v>
      </c>
      <c r="W377" s="65">
        <v>0</v>
      </c>
      <c r="X377" s="62"/>
      <c r="Y377" s="66" t="e">
        <v>#N/A</v>
      </c>
      <c r="Z377" s="62" t="e">
        <v>#N/A</v>
      </c>
      <c r="AA377" s="62"/>
      <c r="AB377" s="62" t="s">
        <v>2208</v>
      </c>
      <c r="AC377" s="62" t="e">
        <v>#N/A</v>
      </c>
    </row>
    <row r="378" spans="1:29" ht="15" customHeight="1" outlineLevel="1" x14ac:dyDescent="0.3">
      <c r="A378" s="62" t="s">
        <v>1242</v>
      </c>
      <c r="B378" s="62" t="s">
        <v>1243</v>
      </c>
      <c r="C378" s="62" t="s">
        <v>892</v>
      </c>
      <c r="D378" s="62"/>
      <c r="E378" s="62" t="s">
        <v>934</v>
      </c>
      <c r="F378" s="62" t="s">
        <v>900</v>
      </c>
      <c r="G378" s="62" t="e">
        <v>#N/A</v>
      </c>
      <c r="H378" s="62" t="s">
        <v>903</v>
      </c>
      <c r="I378" s="62" t="s">
        <v>1244</v>
      </c>
      <c r="J378" s="63"/>
      <c r="K378" s="63"/>
      <c r="L378" s="62"/>
      <c r="M378" s="62"/>
      <c r="N378" s="62"/>
      <c r="O378" s="62" t="str">
        <f t="shared" si="5"/>
        <v>VN02_Client Prosupport VN (CTX)</v>
      </c>
      <c r="P378" s="62" t="s">
        <v>2179</v>
      </c>
      <c r="Q378" s="62" t="s">
        <v>896</v>
      </c>
      <c r="R378" s="62"/>
      <c r="S378" s="64"/>
      <c r="T378" s="62" t="s">
        <v>1881</v>
      </c>
      <c r="U378" s="62"/>
      <c r="V378" s="65" t="s">
        <v>1886</v>
      </c>
      <c r="W378" s="65">
        <v>0</v>
      </c>
      <c r="X378" s="62"/>
      <c r="Y378" s="66" t="e">
        <v>#N/A</v>
      </c>
      <c r="Z378" s="62" t="e">
        <v>#N/A</v>
      </c>
      <c r="AA378" s="62"/>
      <c r="AB378" s="62" t="s">
        <v>2223</v>
      </c>
      <c r="AC378" s="62" t="e">
        <v>#N/A</v>
      </c>
    </row>
    <row r="379" spans="1:29" s="32" customFormat="1" ht="15" customHeight="1" outlineLevel="1" x14ac:dyDescent="0.3">
      <c r="A379" s="62" t="s">
        <v>850</v>
      </c>
      <c r="B379" s="62" t="s">
        <v>851</v>
      </c>
      <c r="C379" s="62" t="s">
        <v>1843</v>
      </c>
      <c r="D379" s="62" t="s">
        <v>934</v>
      </c>
      <c r="E379" s="62"/>
      <c r="F379" s="62" t="s">
        <v>8</v>
      </c>
      <c r="G379" s="62" t="e">
        <v>#N/A</v>
      </c>
      <c r="H379" s="62"/>
      <c r="I379" s="62"/>
      <c r="J379" s="63"/>
      <c r="K379" s="63"/>
      <c r="L379" s="62"/>
      <c r="M379" s="62"/>
      <c r="N379" s="62"/>
      <c r="O379" s="62" t="str">
        <f t="shared" si="5"/>
        <v>VN04_Client Pro/Core VN</v>
      </c>
      <c r="P379" s="62" t="s">
        <v>2179</v>
      </c>
      <c r="Q379" s="62" t="s">
        <v>896</v>
      </c>
      <c r="R379" s="62"/>
      <c r="S379" s="64"/>
      <c r="T379" s="62" t="s">
        <v>1881</v>
      </c>
      <c r="U379" s="62"/>
      <c r="V379" s="65" t="s">
        <v>1886</v>
      </c>
      <c r="W379" s="65">
        <v>25</v>
      </c>
      <c r="X379" s="62"/>
      <c r="Y379" s="66" t="e">
        <v>#N/A</v>
      </c>
      <c r="Z379" s="62" t="e">
        <v>#N/A</v>
      </c>
      <c r="AA379" s="62"/>
      <c r="AB379" s="62" t="s">
        <v>2223</v>
      </c>
      <c r="AC379" s="62" t="e">
        <v>#N/A</v>
      </c>
    </row>
    <row r="380" spans="1:29" ht="15" customHeight="1" outlineLevel="1" x14ac:dyDescent="0.3">
      <c r="A380" s="62" t="s">
        <v>1245</v>
      </c>
      <c r="B380" s="62" t="s">
        <v>1246</v>
      </c>
      <c r="C380" s="62" t="s">
        <v>892</v>
      </c>
      <c r="D380" s="62"/>
      <c r="E380" s="62" t="s">
        <v>960</v>
      </c>
      <c r="F380" s="62" t="s">
        <v>900</v>
      </c>
      <c r="G380" s="62" t="e">
        <v>#N/A</v>
      </c>
      <c r="H380" s="62" t="s">
        <v>929</v>
      </c>
      <c r="I380" s="62" t="s">
        <v>979</v>
      </c>
      <c r="J380" s="63">
        <v>0.63300000000000001</v>
      </c>
      <c r="K380" s="63"/>
      <c r="L380" s="62"/>
      <c r="M380" s="62"/>
      <c r="N380" s="62"/>
      <c r="O380" s="62" t="str">
        <f t="shared" si="5"/>
        <v>WM01_Workflow Management</v>
      </c>
      <c r="P380" s="62" t="s">
        <v>2177</v>
      </c>
      <c r="Q380" s="62" t="s">
        <v>896</v>
      </c>
      <c r="R380" s="62"/>
      <c r="S380" s="64"/>
      <c r="T380" s="62" t="s">
        <v>1881</v>
      </c>
      <c r="U380" s="62"/>
      <c r="V380" s="65" t="s">
        <v>1886</v>
      </c>
      <c r="W380" s="65">
        <v>0</v>
      </c>
      <c r="X380" s="62"/>
      <c r="Y380" s="66" t="e">
        <v>#N/A</v>
      </c>
      <c r="Z380" s="62" t="e">
        <v>#N/A</v>
      </c>
      <c r="AA380" s="62"/>
      <c r="AB380" s="62" t="s">
        <v>2208</v>
      </c>
      <c r="AC380" s="62" t="e">
        <v>#N/A</v>
      </c>
    </row>
    <row r="381" spans="1:29" ht="15" customHeight="1" outlineLevel="1" x14ac:dyDescent="0.3">
      <c r="A381" s="62" t="s">
        <v>1251</v>
      </c>
      <c r="B381" s="62" t="s">
        <v>1252</v>
      </c>
      <c r="C381" s="62" t="s">
        <v>892</v>
      </c>
      <c r="D381" s="62" t="s">
        <v>1180</v>
      </c>
      <c r="E381" s="62" t="s">
        <v>960</v>
      </c>
      <c r="F381" s="62" t="s">
        <v>900</v>
      </c>
      <c r="G381" s="62" t="e">
        <v>#N/A</v>
      </c>
      <c r="H381" s="62" t="s">
        <v>935</v>
      </c>
      <c r="I381" s="62" t="s">
        <v>936</v>
      </c>
      <c r="J381" s="63">
        <v>0.57099999999999995</v>
      </c>
      <c r="K381" s="63"/>
      <c r="L381" s="62"/>
      <c r="M381" s="62" t="s">
        <v>895</v>
      </c>
      <c r="N381" s="62" t="s">
        <v>1180</v>
      </c>
      <c r="O381" s="62" t="str">
        <f t="shared" si="5"/>
        <v>WM04_LATAM WFM</v>
      </c>
      <c r="P381" s="62" t="s">
        <v>2177</v>
      </c>
      <c r="Q381" s="62" t="s">
        <v>896</v>
      </c>
      <c r="R381" s="62">
        <v>14</v>
      </c>
      <c r="S381" s="64"/>
      <c r="T381" s="62" t="s">
        <v>1881</v>
      </c>
      <c r="U381" s="62"/>
      <c r="V381" s="65" t="s">
        <v>1886</v>
      </c>
      <c r="W381" s="65">
        <v>0</v>
      </c>
      <c r="X381" s="62"/>
      <c r="Y381" s="66" t="e">
        <v>#N/A</v>
      </c>
      <c r="Z381" s="62" t="e">
        <v>#N/A</v>
      </c>
      <c r="AA381" s="62"/>
      <c r="AB381" s="62" t="s">
        <v>2210</v>
      </c>
      <c r="AC381" s="62" t="e">
        <v>#N/A</v>
      </c>
    </row>
    <row r="382" spans="1:29" s="32" customFormat="1" ht="15" customHeight="1" outlineLevel="1" x14ac:dyDescent="0.3">
      <c r="A382" s="62" t="s">
        <v>473</v>
      </c>
      <c r="B382" s="62" t="s">
        <v>474</v>
      </c>
      <c r="C382" s="62" t="s">
        <v>928</v>
      </c>
      <c r="D382" s="62" t="s">
        <v>439</v>
      </c>
      <c r="E382" s="62" t="s">
        <v>439</v>
      </c>
      <c r="F382" s="62" t="s">
        <v>8</v>
      </c>
      <c r="G382" s="62" t="s">
        <v>2250</v>
      </c>
      <c r="H382" s="62" t="s">
        <v>929</v>
      </c>
      <c r="I382" s="62" t="s">
        <v>929</v>
      </c>
      <c r="J382" s="63">
        <v>0.63300000000000001</v>
      </c>
      <c r="K382" s="63">
        <v>4.2372881355932203E-3</v>
      </c>
      <c r="L382" s="62"/>
      <c r="M382" s="62" t="s">
        <v>895</v>
      </c>
      <c r="N382" s="62" t="s">
        <v>1882</v>
      </c>
      <c r="O382" s="62" t="str">
        <f t="shared" si="5"/>
        <v>CT27_Global Compute Software</v>
      </c>
      <c r="P382" s="62" t="s">
        <v>2177</v>
      </c>
      <c r="Q382" s="62" t="s">
        <v>1810</v>
      </c>
      <c r="R382" s="62">
        <v>14</v>
      </c>
      <c r="S382" s="64"/>
      <c r="T382" s="62" t="s">
        <v>1881</v>
      </c>
      <c r="U382" s="62">
        <v>13</v>
      </c>
      <c r="V382" s="65" t="s">
        <v>1886</v>
      </c>
      <c r="W382" s="65">
        <v>0</v>
      </c>
      <c r="X382" s="62" t="str">
        <f>VLOOKUP(A382,'CQNs Merged_Split'!B:E,4,0)</f>
        <v>Global Solutions MS DE</v>
      </c>
      <c r="Y382" s="66" t="s">
        <v>1790</v>
      </c>
      <c r="Z382" s="62" t="s">
        <v>1790</v>
      </c>
      <c r="AA382" s="62" t="str">
        <f>IFERROR("Queue Got Merged in "&amp;VLOOKUP(A382,'CQNs Merged_Split'!$B$7:$D$103,3,FALSE),"")</f>
        <v>Queue Got Merged in GS02</v>
      </c>
      <c r="AB382" s="62" t="s">
        <v>2208</v>
      </c>
      <c r="AC382" s="62" t="e">
        <v>#N/A</v>
      </c>
    </row>
    <row r="383" spans="1:29" ht="15" customHeight="1" outlineLevel="1" x14ac:dyDescent="0.3">
      <c r="A383" s="62" t="s">
        <v>481</v>
      </c>
      <c r="B383" s="62" t="s">
        <v>482</v>
      </c>
      <c r="C383" s="62" t="s">
        <v>928</v>
      </c>
      <c r="D383" s="62" t="s">
        <v>439</v>
      </c>
      <c r="E383" s="62" t="s">
        <v>439</v>
      </c>
      <c r="F383" s="62" t="s">
        <v>8</v>
      </c>
      <c r="G383" s="62" t="e">
        <v>#N/A</v>
      </c>
      <c r="H383" s="62" t="s">
        <v>912</v>
      </c>
      <c r="I383" s="62" t="s">
        <v>1009</v>
      </c>
      <c r="J383" s="63">
        <v>0.61699999999999999</v>
      </c>
      <c r="K383" s="63">
        <v>3.8967379973253502E-2</v>
      </c>
      <c r="L383" s="62"/>
      <c r="M383" s="62" t="s">
        <v>895</v>
      </c>
      <c r="N383" s="62" t="s">
        <v>916</v>
      </c>
      <c r="O383" s="62" t="str">
        <f t="shared" si="5"/>
        <v>DE10_GER ProSupp OWR Ent (HAL)</v>
      </c>
      <c r="P383" s="62" t="s">
        <v>2177</v>
      </c>
      <c r="Q383" s="62" t="s">
        <v>1810</v>
      </c>
      <c r="R383" s="62">
        <v>14</v>
      </c>
      <c r="S383" s="64"/>
      <c r="T383" s="62" t="s">
        <v>1881</v>
      </c>
      <c r="U383" s="62">
        <v>13</v>
      </c>
      <c r="V383" s="65" t="s">
        <v>1886</v>
      </c>
      <c r="W383" s="65">
        <v>0</v>
      </c>
      <c r="X383" s="62"/>
      <c r="Y383" s="66" t="s">
        <v>1790</v>
      </c>
      <c r="Z383" s="62" t="s">
        <v>1790</v>
      </c>
      <c r="AA383" s="62"/>
      <c r="AB383" s="62" t="s">
        <v>2213</v>
      </c>
      <c r="AC383" s="62" t="e">
        <v>#N/A</v>
      </c>
    </row>
    <row r="384" spans="1:29" ht="15" customHeight="1" outlineLevel="1" x14ac:dyDescent="0.3">
      <c r="A384" s="62" t="s">
        <v>14</v>
      </c>
      <c r="B384" s="62" t="s">
        <v>15</v>
      </c>
      <c r="C384" s="62" t="s">
        <v>914</v>
      </c>
      <c r="D384" s="62" t="s">
        <v>13</v>
      </c>
      <c r="E384" s="62" t="s">
        <v>13</v>
      </c>
      <c r="F384" s="62" t="s">
        <v>8</v>
      </c>
      <c r="G384" s="62" t="e">
        <v>#N/A</v>
      </c>
      <c r="H384" s="62" t="s">
        <v>929</v>
      </c>
      <c r="I384" s="62" t="s">
        <v>929</v>
      </c>
      <c r="J384" s="63">
        <v>0.63300000000000001</v>
      </c>
      <c r="K384" s="63"/>
      <c r="L384" s="62"/>
      <c r="M384" s="62" t="s">
        <v>939</v>
      </c>
      <c r="N384" s="62" t="s">
        <v>916</v>
      </c>
      <c r="O384" s="62" t="str">
        <f t="shared" si="5"/>
        <v>CT11_CTE ANZ</v>
      </c>
      <c r="P384" s="62" t="s">
        <v>2178</v>
      </c>
      <c r="Q384" s="62" t="s">
        <v>917</v>
      </c>
      <c r="R384" s="62">
        <v>7</v>
      </c>
      <c r="S384" s="64"/>
      <c r="T384" s="62" t="s">
        <v>1881</v>
      </c>
      <c r="U384" s="62">
        <v>13</v>
      </c>
      <c r="V384" s="65" t="s">
        <v>1886</v>
      </c>
      <c r="W384" s="65">
        <v>0</v>
      </c>
      <c r="X384" s="62"/>
      <c r="Y384" s="66" t="s">
        <v>2021</v>
      </c>
      <c r="Z384" s="62" t="s">
        <v>1986</v>
      </c>
      <c r="AA384" s="62"/>
      <c r="AB384" s="62" t="s">
        <v>2208</v>
      </c>
      <c r="AC384" s="62" t="e">
        <v>#N/A</v>
      </c>
    </row>
    <row r="385" spans="1:29" s="32" customFormat="1" ht="15" customHeight="1" outlineLevel="1" x14ac:dyDescent="0.3">
      <c r="A385" s="62" t="s">
        <v>18</v>
      </c>
      <c r="B385" s="62" t="s">
        <v>19</v>
      </c>
      <c r="C385" s="62" t="s">
        <v>914</v>
      </c>
      <c r="D385" s="62" t="s">
        <v>13</v>
      </c>
      <c r="E385" s="62" t="s">
        <v>13</v>
      </c>
      <c r="F385" s="62" t="s">
        <v>8</v>
      </c>
      <c r="G385" s="62" t="e">
        <v>#N/A</v>
      </c>
      <c r="H385" s="62" t="s">
        <v>929</v>
      </c>
      <c r="I385" s="62" t="s">
        <v>929</v>
      </c>
      <c r="J385" s="63">
        <v>0.63300000000000001</v>
      </c>
      <c r="K385" s="63"/>
      <c r="L385" s="62"/>
      <c r="M385" s="62" t="s">
        <v>939</v>
      </c>
      <c r="N385" s="62" t="s">
        <v>916</v>
      </c>
      <c r="O385" s="62" t="str">
        <f t="shared" ref="O385:O448" si="6">A385&amp;"_"&amp;B385</f>
        <v>CT14_CTE IND</v>
      </c>
      <c r="P385" s="62" t="s">
        <v>2178</v>
      </c>
      <c r="Q385" s="62" t="s">
        <v>917</v>
      </c>
      <c r="R385" s="62">
        <v>7</v>
      </c>
      <c r="S385" s="64"/>
      <c r="T385" s="62" t="s">
        <v>1881</v>
      </c>
      <c r="U385" s="62">
        <v>13</v>
      </c>
      <c r="V385" s="65" t="s">
        <v>1886</v>
      </c>
      <c r="W385" s="65">
        <v>0</v>
      </c>
      <c r="X385" s="62"/>
      <c r="Y385" s="66" t="s">
        <v>2020</v>
      </c>
      <c r="Z385" s="62" t="s">
        <v>1974</v>
      </c>
      <c r="AA385" s="62"/>
      <c r="AB385" s="62" t="s">
        <v>2208</v>
      </c>
      <c r="AC385" s="62" t="e">
        <v>#N/A</v>
      </c>
    </row>
    <row r="386" spans="1:29" ht="15" customHeight="1" outlineLevel="1" x14ac:dyDescent="0.3">
      <c r="A386" s="62" t="s">
        <v>9</v>
      </c>
      <c r="B386" s="62" t="s">
        <v>10</v>
      </c>
      <c r="C386" s="62" t="s">
        <v>914</v>
      </c>
      <c r="D386" s="62" t="s">
        <v>5</v>
      </c>
      <c r="E386" s="62" t="s">
        <v>5</v>
      </c>
      <c r="F386" s="62" t="s">
        <v>900</v>
      </c>
      <c r="G386" s="62" t="e">
        <v>#N/A</v>
      </c>
      <c r="H386" s="62" t="s">
        <v>912</v>
      </c>
      <c r="I386" s="62" t="s">
        <v>938</v>
      </c>
      <c r="J386" s="63">
        <v>0.61699999999999999</v>
      </c>
      <c r="K386" s="63"/>
      <c r="L386" s="62"/>
      <c r="M386" s="62" t="s">
        <v>895</v>
      </c>
      <c r="N386" s="62" t="s">
        <v>916</v>
      </c>
      <c r="O386" s="62" t="str">
        <f t="shared" si="6"/>
        <v>ES01_EMEA Static Central</v>
      </c>
      <c r="P386" s="62" t="s">
        <v>2177</v>
      </c>
      <c r="Q386" s="62" t="s">
        <v>917</v>
      </c>
      <c r="R386" s="62">
        <v>14</v>
      </c>
      <c r="S386" s="64"/>
      <c r="T386" s="62" t="s">
        <v>1881</v>
      </c>
      <c r="U386" s="62">
        <v>13</v>
      </c>
      <c r="V386" s="65" t="s">
        <v>1886</v>
      </c>
      <c r="W386" s="65">
        <v>7</v>
      </c>
      <c r="X386" s="62"/>
      <c r="Y386" s="66" t="s">
        <v>1790</v>
      </c>
      <c r="Z386" s="62" t="s">
        <v>1790</v>
      </c>
      <c r="AA386" s="62"/>
      <c r="AB386" s="62" t="s">
        <v>2210</v>
      </c>
      <c r="AC386" s="62" t="e">
        <v>#N/A</v>
      </c>
    </row>
    <row r="387" spans="1:29" ht="15" customHeight="1" outlineLevel="1" x14ac:dyDescent="0.3">
      <c r="A387" s="62" t="s">
        <v>1048</v>
      </c>
      <c r="B387" s="62" t="s">
        <v>1049</v>
      </c>
      <c r="C387" s="62" t="s">
        <v>914</v>
      </c>
      <c r="D387" s="62" t="s">
        <v>5</v>
      </c>
      <c r="E387" s="62" t="s">
        <v>5</v>
      </c>
      <c r="F387" s="62" t="s">
        <v>900</v>
      </c>
      <c r="G387" s="62" t="e">
        <v>#N/A</v>
      </c>
      <c r="H387" s="62" t="s">
        <v>903</v>
      </c>
      <c r="I387" s="62" t="s">
        <v>906</v>
      </c>
      <c r="J387" s="63">
        <v>0.629</v>
      </c>
      <c r="K387" s="63"/>
      <c r="L387" s="62"/>
      <c r="M387" s="62" t="s">
        <v>895</v>
      </c>
      <c r="N387" s="62" t="s">
        <v>916</v>
      </c>
      <c r="O387" s="62" t="str">
        <f t="shared" si="6"/>
        <v>HC06_EMEA Static Revenue</v>
      </c>
      <c r="P387" s="62" t="s">
        <v>2177</v>
      </c>
      <c r="Q387" s="62" t="s">
        <v>917</v>
      </c>
      <c r="R387" s="62">
        <v>14</v>
      </c>
      <c r="S387" s="64"/>
      <c r="T387" s="62" t="s">
        <v>1881</v>
      </c>
      <c r="U387" s="62">
        <v>13</v>
      </c>
      <c r="V387" s="65" t="s">
        <v>1886</v>
      </c>
      <c r="W387" s="65">
        <v>0</v>
      </c>
      <c r="X387" s="62"/>
      <c r="Y387" s="66" t="s">
        <v>1790</v>
      </c>
      <c r="Z387" s="62" t="s">
        <v>1790</v>
      </c>
      <c r="AA387" s="62"/>
      <c r="AB387" s="62" t="s">
        <v>2208</v>
      </c>
      <c r="AC387" s="62" t="e">
        <v>#N/A</v>
      </c>
    </row>
    <row r="388" spans="1:29" s="32" customFormat="1" ht="15" customHeight="1" outlineLevel="1" x14ac:dyDescent="0.3">
      <c r="A388" s="62" t="s">
        <v>1196</v>
      </c>
      <c r="B388" s="62" t="s">
        <v>1197</v>
      </c>
      <c r="C388" s="62" t="s">
        <v>914</v>
      </c>
      <c r="D388" s="62" t="s">
        <v>440</v>
      </c>
      <c r="E388" s="62" t="s">
        <v>440</v>
      </c>
      <c r="F388" s="62" t="s">
        <v>900</v>
      </c>
      <c r="G388" s="62" t="e">
        <v>#N/A</v>
      </c>
      <c r="H388" s="62"/>
      <c r="I388" s="62"/>
      <c r="J388" s="63"/>
      <c r="K388" s="63"/>
      <c r="L388" s="62"/>
      <c r="M388" s="62"/>
      <c r="N388" s="62" t="s">
        <v>1882</v>
      </c>
      <c r="O388" s="62" t="str">
        <f t="shared" si="6"/>
        <v>PM01_Partner Management</v>
      </c>
      <c r="P388" s="62" t="s">
        <v>2177</v>
      </c>
      <c r="Q388" s="62" t="s">
        <v>917</v>
      </c>
      <c r="R388" s="62">
        <v>0</v>
      </c>
      <c r="S388" s="64"/>
      <c r="T388" s="62" t="s">
        <v>1881</v>
      </c>
      <c r="U388" s="62">
        <v>13</v>
      </c>
      <c r="V388" s="65" t="s">
        <v>1886</v>
      </c>
      <c r="W388" s="65">
        <v>0</v>
      </c>
      <c r="X388" s="62"/>
      <c r="Y388" s="66" t="s">
        <v>1790</v>
      </c>
      <c r="Z388" s="62" t="s">
        <v>1790</v>
      </c>
      <c r="AA388" s="62"/>
      <c r="AB388" s="62" t="s">
        <v>2210</v>
      </c>
      <c r="AC388" s="62" t="e">
        <v>#N/A</v>
      </c>
    </row>
    <row r="389" spans="1:29" ht="15" customHeight="1" outlineLevel="1" x14ac:dyDescent="0.3">
      <c r="A389" s="62" t="s">
        <v>988</v>
      </c>
      <c r="B389" s="62" t="s">
        <v>989</v>
      </c>
      <c r="C389" s="62" t="s">
        <v>928</v>
      </c>
      <c r="D389" s="62" t="s">
        <v>440</v>
      </c>
      <c r="E389" s="62" t="s">
        <v>440</v>
      </c>
      <c r="F389" s="62" t="s">
        <v>8</v>
      </c>
      <c r="G389" s="62" t="e">
        <v>#N/A</v>
      </c>
      <c r="H389" s="62" t="s">
        <v>903</v>
      </c>
      <c r="I389" s="62" t="s">
        <v>906</v>
      </c>
      <c r="J389" s="63">
        <v>0.629</v>
      </c>
      <c r="K389" s="63"/>
      <c r="L389" s="62"/>
      <c r="M389" s="62" t="s">
        <v>895</v>
      </c>
      <c r="N389" s="62" t="s">
        <v>916</v>
      </c>
      <c r="O389" s="62" t="str">
        <f t="shared" si="6"/>
        <v>CT69_Social Media English</v>
      </c>
      <c r="P389" s="62" t="s">
        <v>2177</v>
      </c>
      <c r="Q389" s="62" t="s">
        <v>930</v>
      </c>
      <c r="R389" s="62">
        <v>14</v>
      </c>
      <c r="S389" s="64"/>
      <c r="T389" s="62" t="s">
        <v>1881</v>
      </c>
      <c r="U389" s="62">
        <v>13</v>
      </c>
      <c r="V389" s="65" t="s">
        <v>1886</v>
      </c>
      <c r="W389" s="65">
        <v>0</v>
      </c>
      <c r="X389" s="62" t="str">
        <f>VLOOKUP(A389,'CQNs Merged_Split'!B:E,4,0)</f>
        <v>Global Compute English</v>
      </c>
      <c r="Y389" s="66" t="s">
        <v>1790</v>
      </c>
      <c r="Z389" s="62" t="s">
        <v>1790</v>
      </c>
      <c r="AA389" s="62" t="str">
        <f>IFERROR("Queue Got Merged in "&amp;VLOOKUP(A389,'CQNs Merged_Split'!$B$7:$D$103,3,FALSE),"")</f>
        <v>Queue Got Merged in GC21</v>
      </c>
      <c r="AB389" s="62" t="s">
        <v>2208</v>
      </c>
      <c r="AC389" s="62" t="e">
        <v>#N/A</v>
      </c>
    </row>
    <row r="390" spans="1:29" s="32" customFormat="1" ht="15" customHeight="1" outlineLevel="1" x14ac:dyDescent="0.3">
      <c r="A390" s="62" t="s">
        <v>990</v>
      </c>
      <c r="B390" s="62" t="s">
        <v>991</v>
      </c>
      <c r="C390" s="62" t="s">
        <v>928</v>
      </c>
      <c r="D390" s="62" t="s">
        <v>440</v>
      </c>
      <c r="E390" s="62" t="s">
        <v>440</v>
      </c>
      <c r="F390" s="62" t="s">
        <v>900</v>
      </c>
      <c r="G390" s="62" t="e">
        <v>#N/A</v>
      </c>
      <c r="H390" s="62" t="s">
        <v>912</v>
      </c>
      <c r="I390" s="62" t="s">
        <v>966</v>
      </c>
      <c r="J390" s="63">
        <v>0.61699999999999999</v>
      </c>
      <c r="K390" s="63"/>
      <c r="L390" s="62"/>
      <c r="M390" s="62" t="s">
        <v>895</v>
      </c>
      <c r="N390" s="62" t="s">
        <v>916</v>
      </c>
      <c r="O390" s="62" t="str">
        <f t="shared" si="6"/>
        <v>CT70_Social Media EMEA</v>
      </c>
      <c r="P390" s="62" t="s">
        <v>2177</v>
      </c>
      <c r="Q390" s="62" t="s">
        <v>930</v>
      </c>
      <c r="R390" s="62">
        <v>14</v>
      </c>
      <c r="S390" s="64"/>
      <c r="T390" s="62" t="s">
        <v>1881</v>
      </c>
      <c r="U390" s="62">
        <v>13</v>
      </c>
      <c r="V390" s="65" t="s">
        <v>1886</v>
      </c>
      <c r="W390" s="65">
        <v>1</v>
      </c>
      <c r="X390" s="62"/>
      <c r="Y390" s="66" t="s">
        <v>1790</v>
      </c>
      <c r="Z390" s="62" t="s">
        <v>1790</v>
      </c>
      <c r="AA390" s="62"/>
      <c r="AB390" s="62" t="s">
        <v>2210</v>
      </c>
      <c r="AC390" s="62" t="e">
        <v>#N/A</v>
      </c>
    </row>
    <row r="391" spans="1:29" ht="15" customHeight="1" outlineLevel="1" x14ac:dyDescent="0.3">
      <c r="A391" s="62" t="s">
        <v>1077</v>
      </c>
      <c r="B391" s="62" t="s">
        <v>1078</v>
      </c>
      <c r="C391" s="62" t="s">
        <v>928</v>
      </c>
      <c r="D391" s="62" t="s">
        <v>440</v>
      </c>
      <c r="E391" s="62" t="s">
        <v>440</v>
      </c>
      <c r="F391" s="62" t="s">
        <v>900</v>
      </c>
      <c r="G391" s="62" t="e">
        <v>#N/A</v>
      </c>
      <c r="H391" s="62" t="s">
        <v>912</v>
      </c>
      <c r="I391" s="62"/>
      <c r="J391" s="63">
        <v>0.61699999999999999</v>
      </c>
      <c r="K391" s="63"/>
      <c r="L391" s="62"/>
      <c r="M391" s="62"/>
      <c r="N391" s="62" t="s">
        <v>916</v>
      </c>
      <c r="O391" s="62" t="str">
        <f t="shared" si="6"/>
        <v>IT10_ITA Social Media (MTP)</v>
      </c>
      <c r="P391" s="62" t="s">
        <v>2177</v>
      </c>
      <c r="Q391" s="62" t="s">
        <v>930</v>
      </c>
      <c r="R391" s="62">
        <v>0</v>
      </c>
      <c r="S391" s="64"/>
      <c r="T391" s="62" t="s">
        <v>1881</v>
      </c>
      <c r="U391" s="62">
        <v>13</v>
      </c>
      <c r="V391" s="65" t="s">
        <v>1886</v>
      </c>
      <c r="W391" s="65">
        <v>0</v>
      </c>
      <c r="X391" s="62"/>
      <c r="Y391" s="66" t="s">
        <v>1790</v>
      </c>
      <c r="Z391" s="62" t="s">
        <v>1790</v>
      </c>
      <c r="AA391" s="62"/>
      <c r="AB391" s="62" t="s">
        <v>2220</v>
      </c>
      <c r="AC391" s="62" t="e">
        <v>#N/A</v>
      </c>
    </row>
    <row r="392" spans="1:29" ht="15" customHeight="1" outlineLevel="1" x14ac:dyDescent="0.3">
      <c r="A392" s="62" t="s">
        <v>1084</v>
      </c>
      <c r="B392" s="62" t="s">
        <v>1085</v>
      </c>
      <c r="C392" s="62" t="s">
        <v>928</v>
      </c>
      <c r="D392" s="62" t="s">
        <v>440</v>
      </c>
      <c r="E392" s="62" t="s">
        <v>440</v>
      </c>
      <c r="F392" s="62" t="s">
        <v>900</v>
      </c>
      <c r="G392" s="62" t="e">
        <v>#N/A</v>
      </c>
      <c r="H392" s="62" t="s">
        <v>893</v>
      </c>
      <c r="I392" s="62"/>
      <c r="J392" s="63">
        <v>0.64800000000000002</v>
      </c>
      <c r="K392" s="63"/>
      <c r="L392" s="62"/>
      <c r="M392" s="62"/>
      <c r="N392" s="62" t="s">
        <v>916</v>
      </c>
      <c r="O392" s="62" t="str">
        <f t="shared" si="6"/>
        <v>NC14_Social Media English (AMER)</v>
      </c>
      <c r="P392" s="62" t="s">
        <v>2177</v>
      </c>
      <c r="Q392" s="62" t="s">
        <v>930</v>
      </c>
      <c r="R392" s="62">
        <v>0</v>
      </c>
      <c r="S392" s="64"/>
      <c r="T392" s="62" t="s">
        <v>1881</v>
      </c>
      <c r="U392" s="62">
        <v>13</v>
      </c>
      <c r="V392" s="65" t="s">
        <v>1886</v>
      </c>
      <c r="W392" s="65">
        <v>2</v>
      </c>
      <c r="X392" s="62"/>
      <c r="Y392" s="66" t="s">
        <v>1790</v>
      </c>
      <c r="Z392" s="62" t="s">
        <v>1790</v>
      </c>
      <c r="AA392" s="62"/>
      <c r="AB392" s="62" t="s">
        <v>2208</v>
      </c>
      <c r="AC392" s="62" t="e">
        <v>#N/A</v>
      </c>
    </row>
    <row r="393" spans="1:29" ht="15" customHeight="1" outlineLevel="1" x14ac:dyDescent="0.3">
      <c r="A393" s="62" t="s">
        <v>1212</v>
      </c>
      <c r="B393" s="62" t="s">
        <v>1213</v>
      </c>
      <c r="C393" s="62" t="s">
        <v>928</v>
      </c>
      <c r="D393" s="62" t="s">
        <v>440</v>
      </c>
      <c r="E393" s="62" t="s">
        <v>440</v>
      </c>
      <c r="F393" s="62" t="s">
        <v>900</v>
      </c>
      <c r="G393" s="62" t="e">
        <v>#N/A</v>
      </c>
      <c r="H393" s="62" t="s">
        <v>903</v>
      </c>
      <c r="I393" s="62" t="s">
        <v>906</v>
      </c>
      <c r="J393" s="63">
        <v>0.629</v>
      </c>
      <c r="K393" s="63"/>
      <c r="L393" s="62"/>
      <c r="M393" s="62" t="s">
        <v>895</v>
      </c>
      <c r="N393" s="62" t="s">
        <v>916</v>
      </c>
      <c r="O393" s="62" t="str">
        <f t="shared" si="6"/>
        <v>SM02_Social Media English (APJ)</v>
      </c>
      <c r="P393" s="62" t="s">
        <v>2178</v>
      </c>
      <c r="Q393" s="62" t="s">
        <v>930</v>
      </c>
      <c r="R393" s="62">
        <v>14</v>
      </c>
      <c r="S393" s="64"/>
      <c r="T393" s="62" t="s">
        <v>1881</v>
      </c>
      <c r="U393" s="62">
        <v>13</v>
      </c>
      <c r="V393" s="65" t="s">
        <v>1886</v>
      </c>
      <c r="W393" s="65">
        <v>0</v>
      </c>
      <c r="X393" s="62"/>
      <c r="Y393" s="66" t="s">
        <v>1790</v>
      </c>
      <c r="Z393" s="62" t="s">
        <v>1790</v>
      </c>
      <c r="AA393" s="62"/>
      <c r="AB393" s="62" t="s">
        <v>2208</v>
      </c>
      <c r="AC393" s="62" t="e">
        <v>#N/A</v>
      </c>
    </row>
    <row r="394" spans="1:29" ht="15" customHeight="1" outlineLevel="1" x14ac:dyDescent="0.3">
      <c r="A394" s="62" t="s">
        <v>926</v>
      </c>
      <c r="B394" s="62" t="s">
        <v>927</v>
      </c>
      <c r="C394" s="62" t="s">
        <v>892</v>
      </c>
      <c r="D394" s="62" t="s">
        <v>44</v>
      </c>
      <c r="E394" s="62" t="s">
        <v>102</v>
      </c>
      <c r="F394" s="62" t="s">
        <v>900</v>
      </c>
      <c r="G394" s="62" t="e">
        <v>#N/A</v>
      </c>
      <c r="H394" s="62" t="s">
        <v>903</v>
      </c>
      <c r="I394" s="62" t="e">
        <v>#N/A</v>
      </c>
      <c r="J394" s="63"/>
      <c r="K394" s="63"/>
      <c r="L394" s="62"/>
      <c r="M394" s="62" t="s">
        <v>920</v>
      </c>
      <c r="N394" s="62" t="s">
        <v>916</v>
      </c>
      <c r="O394" s="62" t="str">
        <f t="shared" si="6"/>
        <v>AP25_APJ DPD DP Solutions</v>
      </c>
      <c r="P394" s="62" t="s">
        <v>930</v>
      </c>
      <c r="Q394" s="62" t="s">
        <v>1884</v>
      </c>
      <c r="R394" s="62">
        <v>12</v>
      </c>
      <c r="S394" s="64"/>
      <c r="T394" s="62" t="s">
        <v>1881</v>
      </c>
      <c r="U394" s="62"/>
      <c r="V394" s="65" t="s">
        <v>1886</v>
      </c>
      <c r="W394" s="65">
        <v>0</v>
      </c>
      <c r="X394" s="62"/>
      <c r="Y394" s="66" t="e">
        <v>#N/A</v>
      </c>
      <c r="Z394" s="62" t="e">
        <v>#N/A</v>
      </c>
      <c r="AA394" s="62"/>
      <c r="AB394" s="62" t="s">
        <v>2208</v>
      </c>
      <c r="AC394" s="62" t="e">
        <v>#N/A</v>
      </c>
    </row>
    <row r="395" spans="1:29" s="32" customFormat="1" ht="15" customHeight="1" outlineLevel="1" x14ac:dyDescent="0.3">
      <c r="A395" s="62" t="s">
        <v>1157</v>
      </c>
      <c r="B395" s="62" t="s">
        <v>1158</v>
      </c>
      <c r="C395" s="62" t="s">
        <v>973</v>
      </c>
      <c r="D395" s="62" t="s">
        <v>440</v>
      </c>
      <c r="E395" s="62" t="s">
        <v>440</v>
      </c>
      <c r="F395" s="62" t="s">
        <v>900</v>
      </c>
      <c r="G395" s="62" t="e">
        <v>#N/A</v>
      </c>
      <c r="H395" s="62" t="s">
        <v>935</v>
      </c>
      <c r="I395" s="62" t="s">
        <v>1159</v>
      </c>
      <c r="J395" s="63">
        <v>0.626</v>
      </c>
      <c r="K395" s="63"/>
      <c r="L395" s="62"/>
      <c r="M395" s="62" t="s">
        <v>895</v>
      </c>
      <c r="N395" s="62" t="s">
        <v>1882</v>
      </c>
      <c r="O395" s="62" t="str">
        <f t="shared" si="6"/>
        <v>NF35_NAMER Technical Lead</v>
      </c>
      <c r="P395" s="62" t="s">
        <v>2177</v>
      </c>
      <c r="Q395" s="62" t="s">
        <v>972</v>
      </c>
      <c r="R395" s="62">
        <v>14</v>
      </c>
      <c r="S395" s="64"/>
      <c r="T395" s="62" t="s">
        <v>1881</v>
      </c>
      <c r="U395" s="62">
        <v>13</v>
      </c>
      <c r="V395" s="65" t="s">
        <v>1886</v>
      </c>
      <c r="W395" s="65">
        <v>0</v>
      </c>
      <c r="X395" s="62"/>
      <c r="Y395" s="66" t="s">
        <v>1790</v>
      </c>
      <c r="Z395" s="62" t="s">
        <v>1790</v>
      </c>
      <c r="AA395" s="62" t="str">
        <f>IFERROR("Queue Got Merged in "&amp;VLOOKUP(A395,'CQNs Merged_Split'!$B$7:$D$103,3,FALSE),"")</f>
        <v/>
      </c>
      <c r="AB395" s="62" t="s">
        <v>2210</v>
      </c>
      <c r="AC395" s="62" t="e">
        <v>#N/A</v>
      </c>
    </row>
    <row r="396" spans="1:29" ht="15" customHeight="1" outlineLevel="1" x14ac:dyDescent="0.3">
      <c r="A396" s="62" t="s">
        <v>1172</v>
      </c>
      <c r="B396" s="62" t="s">
        <v>1173</v>
      </c>
      <c r="C396" s="62" t="s">
        <v>892</v>
      </c>
      <c r="D396" s="62"/>
      <c r="E396" s="62" t="s">
        <v>440</v>
      </c>
      <c r="F396" s="62" t="s">
        <v>900</v>
      </c>
      <c r="G396" s="62" t="e">
        <v>#N/A</v>
      </c>
      <c r="H396" s="62" t="s">
        <v>912</v>
      </c>
      <c r="I396" s="62" t="s">
        <v>966</v>
      </c>
      <c r="J396" s="63">
        <v>0.61699999999999999</v>
      </c>
      <c r="K396" s="63"/>
      <c r="L396" s="62"/>
      <c r="M396" s="62" t="s">
        <v>895</v>
      </c>
      <c r="N396" s="62" t="s">
        <v>902</v>
      </c>
      <c r="O396" s="62" t="str">
        <f t="shared" si="6"/>
        <v>NF44_SSO Quality Coach</v>
      </c>
      <c r="P396" s="62" t="s">
        <v>2177</v>
      </c>
      <c r="Q396" s="62" t="s">
        <v>972</v>
      </c>
      <c r="R396" s="62">
        <v>14</v>
      </c>
      <c r="S396" s="64"/>
      <c r="T396" s="62" t="s">
        <v>1881</v>
      </c>
      <c r="U396" s="62"/>
      <c r="V396" s="65" t="s">
        <v>1886</v>
      </c>
      <c r="W396" s="65">
        <v>0</v>
      </c>
      <c r="X396" s="62"/>
      <c r="Y396" s="66" t="e">
        <v>#N/A</v>
      </c>
      <c r="Z396" s="62" t="e">
        <v>#N/A</v>
      </c>
      <c r="AA396" s="62"/>
      <c r="AB396" s="62" t="s">
        <v>2210</v>
      </c>
      <c r="AC396" s="62" t="e">
        <v>#N/A</v>
      </c>
    </row>
    <row r="397" spans="1:29" ht="15" customHeight="1" outlineLevel="1" x14ac:dyDescent="0.3">
      <c r="A397" s="62" t="s">
        <v>1208</v>
      </c>
      <c r="B397" s="62" t="s">
        <v>1209</v>
      </c>
      <c r="C397" s="62" t="s">
        <v>965</v>
      </c>
      <c r="D397" s="62" t="s">
        <v>436</v>
      </c>
      <c r="E397" s="62" t="s">
        <v>439</v>
      </c>
      <c r="F397" s="62" t="s">
        <v>900</v>
      </c>
      <c r="G397" s="62" t="e">
        <v>#N/A</v>
      </c>
      <c r="H397" s="62" t="s">
        <v>929</v>
      </c>
      <c r="I397" s="62" t="s">
        <v>929</v>
      </c>
      <c r="J397" s="63">
        <v>0.63300000000000001</v>
      </c>
      <c r="K397" s="63"/>
      <c r="L397" s="62"/>
      <c r="M397" s="62" t="s">
        <v>895</v>
      </c>
      <c r="N397" s="62" t="s">
        <v>1882</v>
      </c>
      <c r="O397" s="62" t="str">
        <f t="shared" si="6"/>
        <v>RP02_RPS WFM</v>
      </c>
      <c r="P397" s="62" t="s">
        <v>2177</v>
      </c>
      <c r="Q397" s="62" t="s">
        <v>1883</v>
      </c>
      <c r="R397" s="62">
        <v>14</v>
      </c>
      <c r="S397" s="64"/>
      <c r="T397" s="62" t="s">
        <v>1881</v>
      </c>
      <c r="U397" s="62">
        <v>13</v>
      </c>
      <c r="V397" s="65" t="s">
        <v>1886</v>
      </c>
      <c r="W397" s="65">
        <v>0</v>
      </c>
      <c r="X397" s="62"/>
      <c r="Y397" s="66" t="s">
        <v>1790</v>
      </c>
      <c r="Z397" s="62" t="s">
        <v>1790</v>
      </c>
      <c r="AA397" s="62"/>
      <c r="AB397" s="62" t="s">
        <v>2208</v>
      </c>
      <c r="AC397" s="62" t="e">
        <v>#N/A</v>
      </c>
    </row>
    <row r="398" spans="1:29" s="32" customFormat="1" ht="15" customHeight="1" outlineLevel="1" x14ac:dyDescent="0.3">
      <c r="A398" s="62" t="s">
        <v>603</v>
      </c>
      <c r="B398" s="62" t="s">
        <v>604</v>
      </c>
      <c r="C398" s="62" t="s">
        <v>965</v>
      </c>
      <c r="D398" s="62" t="s">
        <v>439</v>
      </c>
      <c r="E398" s="62" t="s">
        <v>439</v>
      </c>
      <c r="F398" s="62" t="s">
        <v>8</v>
      </c>
      <c r="G398" s="62" t="e">
        <v>#N/A</v>
      </c>
      <c r="H398" s="62" t="s">
        <v>903</v>
      </c>
      <c r="I398" s="62" t="s">
        <v>906</v>
      </c>
      <c r="J398" s="63">
        <v>0.629</v>
      </c>
      <c r="K398" s="63">
        <v>2.278539874447803E-2</v>
      </c>
      <c r="L398" s="62"/>
      <c r="M398" s="62" t="s">
        <v>1239</v>
      </c>
      <c r="N398" s="62" t="s">
        <v>916</v>
      </c>
      <c r="O398" s="62" t="str">
        <f t="shared" si="6"/>
        <v>UK03_BLR Ent Basic (Alternate)</v>
      </c>
      <c r="P398" s="62" t="s">
        <v>2184</v>
      </c>
      <c r="Q398" s="62" t="s">
        <v>1883</v>
      </c>
      <c r="R398" s="62">
        <v>16</v>
      </c>
      <c r="S398" s="64"/>
      <c r="T398" s="62" t="s">
        <v>1881</v>
      </c>
      <c r="U398" s="62">
        <v>13</v>
      </c>
      <c r="V398" s="65" t="s">
        <v>1886</v>
      </c>
      <c r="W398" s="65">
        <v>0</v>
      </c>
      <c r="X398" s="62"/>
      <c r="Y398" s="66" t="s">
        <v>1971</v>
      </c>
      <c r="Z398" s="62" t="s">
        <v>1972</v>
      </c>
      <c r="AA398" s="62"/>
      <c r="AB398" s="62" t="s">
        <v>2208</v>
      </c>
      <c r="AC398" s="62" t="e">
        <v>#N/A</v>
      </c>
    </row>
    <row r="399" spans="1:29" ht="15" customHeight="1" outlineLevel="1" x14ac:dyDescent="0.3">
      <c r="A399" s="62" t="s">
        <v>1247</v>
      </c>
      <c r="B399" s="62" t="s">
        <v>1248</v>
      </c>
      <c r="C399" s="62" t="s">
        <v>965</v>
      </c>
      <c r="D399" s="62" t="s">
        <v>1180</v>
      </c>
      <c r="E399" s="62" t="s">
        <v>960</v>
      </c>
      <c r="F399" s="62" t="s">
        <v>900</v>
      </c>
      <c r="G399" s="62" t="e">
        <v>#N/A</v>
      </c>
      <c r="H399" s="62" t="s">
        <v>893</v>
      </c>
      <c r="I399" s="62" t="s">
        <v>894</v>
      </c>
      <c r="J399" s="63">
        <v>0.64800000000000002</v>
      </c>
      <c r="K399" s="63"/>
      <c r="L399" s="62"/>
      <c r="M399" s="62" t="s">
        <v>895</v>
      </c>
      <c r="N399" s="62" t="s">
        <v>1882</v>
      </c>
      <c r="O399" s="62" t="str">
        <f t="shared" si="6"/>
        <v>WM02_NAMER WFM</v>
      </c>
      <c r="P399" s="62" t="s">
        <v>2177</v>
      </c>
      <c r="Q399" s="62" t="s">
        <v>1883</v>
      </c>
      <c r="R399" s="62">
        <v>14</v>
      </c>
      <c r="S399" s="64"/>
      <c r="T399" s="62" t="s">
        <v>1881</v>
      </c>
      <c r="U399" s="62">
        <v>13</v>
      </c>
      <c r="V399" s="65" t="s">
        <v>1886</v>
      </c>
      <c r="W399" s="65">
        <v>0</v>
      </c>
      <c r="X399" s="62"/>
      <c r="Y399" s="66" t="s">
        <v>1790</v>
      </c>
      <c r="Z399" s="62" t="s">
        <v>1790</v>
      </c>
      <c r="AA399" s="62"/>
      <c r="AB399" s="62" t="s">
        <v>2208</v>
      </c>
      <c r="AC399" s="62" t="e">
        <v>#N/A</v>
      </c>
    </row>
    <row r="400" spans="1:29" ht="15" customHeight="1" outlineLevel="1" x14ac:dyDescent="0.3">
      <c r="A400" s="62" t="s">
        <v>1249</v>
      </c>
      <c r="B400" s="62" t="s">
        <v>1250</v>
      </c>
      <c r="C400" s="62" t="s">
        <v>965</v>
      </c>
      <c r="D400" s="62" t="s">
        <v>1180</v>
      </c>
      <c r="E400" s="62" t="s">
        <v>960</v>
      </c>
      <c r="F400" s="62" t="s">
        <v>900</v>
      </c>
      <c r="G400" s="62" t="e">
        <v>#N/A</v>
      </c>
      <c r="H400" s="62" t="s">
        <v>903</v>
      </c>
      <c r="I400" s="62" t="s">
        <v>906</v>
      </c>
      <c r="J400" s="63">
        <v>0.629</v>
      </c>
      <c r="K400" s="63"/>
      <c r="L400" s="62"/>
      <c r="M400" s="62" t="s">
        <v>895</v>
      </c>
      <c r="N400" s="62" t="s">
        <v>1882</v>
      </c>
      <c r="O400" s="62" t="str">
        <f t="shared" si="6"/>
        <v>WM03_EMEA WFM</v>
      </c>
      <c r="P400" s="62" t="s">
        <v>2177</v>
      </c>
      <c r="Q400" s="62" t="s">
        <v>1883</v>
      </c>
      <c r="R400" s="62">
        <v>14</v>
      </c>
      <c r="S400" s="64"/>
      <c r="T400" s="62" t="s">
        <v>1881</v>
      </c>
      <c r="U400" s="62">
        <v>13</v>
      </c>
      <c r="V400" s="65" t="s">
        <v>1886</v>
      </c>
      <c r="W400" s="65">
        <v>0</v>
      </c>
      <c r="X400" s="62"/>
      <c r="Y400" s="66" t="s">
        <v>1790</v>
      </c>
      <c r="Z400" s="62" t="s">
        <v>1790</v>
      </c>
      <c r="AA400" s="62" t="str">
        <f>IFERROR("Queue Got Merged in "&amp;VLOOKUP(A400,'CQNs Merged_Split'!$B$7:$D$103,3,FALSE),"")</f>
        <v/>
      </c>
      <c r="AB400" s="62" t="s">
        <v>2210</v>
      </c>
      <c r="AC400" s="62" t="e">
        <v>#N/A</v>
      </c>
    </row>
    <row r="401" spans="1:29" ht="15" customHeight="1" outlineLevel="1" x14ac:dyDescent="0.3">
      <c r="A401" s="62" t="s">
        <v>1253</v>
      </c>
      <c r="B401" s="62" t="s">
        <v>1871</v>
      </c>
      <c r="C401" s="62" t="s">
        <v>965</v>
      </c>
      <c r="D401" s="62" t="s">
        <v>1180</v>
      </c>
      <c r="E401" s="62" t="s">
        <v>960</v>
      </c>
      <c r="F401" s="62" t="s">
        <v>900</v>
      </c>
      <c r="G401" s="62" t="e">
        <v>#N/A</v>
      </c>
      <c r="H401" s="62" t="s">
        <v>903</v>
      </c>
      <c r="I401" s="62" t="s">
        <v>904</v>
      </c>
      <c r="J401" s="63">
        <v>0.629</v>
      </c>
      <c r="K401" s="63"/>
      <c r="L401" s="62"/>
      <c r="M401" s="62" t="s">
        <v>895</v>
      </c>
      <c r="N401" s="62" t="s">
        <v>1882</v>
      </c>
      <c r="O401" s="62" t="str">
        <f t="shared" si="6"/>
        <v>WM05_APJ WFM</v>
      </c>
      <c r="P401" s="62" t="s">
        <v>2177</v>
      </c>
      <c r="Q401" s="62" t="s">
        <v>1883</v>
      </c>
      <c r="R401" s="62">
        <v>14</v>
      </c>
      <c r="S401" s="64"/>
      <c r="T401" s="62" t="s">
        <v>1881</v>
      </c>
      <c r="U401" s="62">
        <v>13</v>
      </c>
      <c r="V401" s="65" t="s">
        <v>1886</v>
      </c>
      <c r="W401" s="65">
        <v>0</v>
      </c>
      <c r="X401" s="62"/>
      <c r="Y401" s="66" t="s">
        <v>1790</v>
      </c>
      <c r="Z401" s="62" t="s">
        <v>1790</v>
      </c>
      <c r="AA401" s="62" t="str">
        <f>IFERROR("Queue Got Merged in "&amp;VLOOKUP(A401,'CQNs Merged_Split'!$B$7:$D$103,3,FALSE),"")</f>
        <v/>
      </c>
      <c r="AB401" s="62" t="s">
        <v>2210</v>
      </c>
      <c r="AC401" s="62" t="e">
        <v>#N/A</v>
      </c>
    </row>
    <row r="402" spans="1:29" ht="15" customHeight="1" outlineLevel="1" x14ac:dyDescent="0.3">
      <c r="A402" s="62" t="s">
        <v>1027</v>
      </c>
      <c r="B402" s="62" t="s">
        <v>1028</v>
      </c>
      <c r="C402" s="62" t="s">
        <v>1843</v>
      </c>
      <c r="D402" s="62" t="s">
        <v>934</v>
      </c>
      <c r="E402" s="62"/>
      <c r="F402" s="62" t="s">
        <v>900</v>
      </c>
      <c r="G402" s="62" t="e">
        <v>#N/A</v>
      </c>
      <c r="H402" s="62" t="s">
        <v>903</v>
      </c>
      <c r="I402" s="62" t="s">
        <v>906</v>
      </c>
      <c r="J402" s="63"/>
      <c r="K402" s="63"/>
      <c r="L402" s="62"/>
      <c r="M402" s="62"/>
      <c r="N402" s="62" t="s">
        <v>916</v>
      </c>
      <c r="O402" s="62" t="str">
        <f t="shared" si="6"/>
        <v>GB01_UKISA Client DSP (BGL)</v>
      </c>
      <c r="P402" s="62" t="s">
        <v>2183</v>
      </c>
      <c r="Q402" s="62"/>
      <c r="R402" s="62"/>
      <c r="S402" s="64"/>
      <c r="T402" s="62" t="s">
        <v>1881</v>
      </c>
      <c r="U402" s="62"/>
      <c r="V402" s="65" t="s">
        <v>1886</v>
      </c>
      <c r="W402" s="65">
        <v>2</v>
      </c>
      <c r="X402" s="62"/>
      <c r="Y402" s="66" t="e">
        <v>#N/A</v>
      </c>
      <c r="Z402" s="62" t="e">
        <v>#N/A</v>
      </c>
      <c r="AA402" s="62"/>
      <c r="AB402" s="62" t="s">
        <v>2208</v>
      </c>
      <c r="AC402" s="62" t="e">
        <v>#N/A</v>
      </c>
    </row>
    <row r="403" spans="1:29" s="11" customFormat="1" ht="15" customHeight="1" outlineLevel="1" collapsed="1" x14ac:dyDescent="0.3">
      <c r="A403" s="62" t="s">
        <v>1036</v>
      </c>
      <c r="B403" s="62" t="s">
        <v>1037</v>
      </c>
      <c r="C403" s="62" t="s">
        <v>1850</v>
      </c>
      <c r="D403" s="62" t="s">
        <v>440</v>
      </c>
      <c r="E403" s="62" t="s">
        <v>440</v>
      </c>
      <c r="F403" s="62" t="s">
        <v>900</v>
      </c>
      <c r="G403" s="62" t="e">
        <v>#N/A</v>
      </c>
      <c r="H403" s="62" t="s">
        <v>929</v>
      </c>
      <c r="I403" s="62" t="s">
        <v>929</v>
      </c>
      <c r="J403" s="63"/>
      <c r="K403" s="63"/>
      <c r="L403" s="62"/>
      <c r="M403" s="62"/>
      <c r="N403" s="62" t="s">
        <v>1882</v>
      </c>
      <c r="O403" s="62" t="str">
        <f t="shared" si="6"/>
        <v>GC11_AST Quality Coach</v>
      </c>
      <c r="P403" s="62" t="s">
        <v>2177</v>
      </c>
      <c r="Q403" s="62"/>
      <c r="R403" s="62">
        <v>0</v>
      </c>
      <c r="S403" s="64"/>
      <c r="T403" s="62" t="s">
        <v>1881</v>
      </c>
      <c r="U403" s="62">
        <v>13</v>
      </c>
      <c r="V403" s="65" t="s">
        <v>1886</v>
      </c>
      <c r="W403" s="65">
        <v>3</v>
      </c>
      <c r="X403" s="62"/>
      <c r="Y403" s="66" t="s">
        <v>1790</v>
      </c>
      <c r="Z403" s="62" t="s">
        <v>1790</v>
      </c>
      <c r="AA403" s="62"/>
      <c r="AB403" s="62" t="s">
        <v>2210</v>
      </c>
      <c r="AC403" s="62" t="e">
        <v>#N/A</v>
      </c>
    </row>
    <row r="404" spans="1:29" ht="15" customHeight="1" outlineLevel="1" collapsed="1" x14ac:dyDescent="0.3">
      <c r="A404" s="62" t="s">
        <v>38</v>
      </c>
      <c r="B404" s="62" t="s">
        <v>39</v>
      </c>
      <c r="C404" s="62" t="s">
        <v>1847</v>
      </c>
      <c r="D404" s="62" t="s">
        <v>13</v>
      </c>
      <c r="E404" s="62" t="s">
        <v>13</v>
      </c>
      <c r="F404" s="62" t="s">
        <v>8</v>
      </c>
      <c r="G404" s="62" t="e">
        <v>#N/A</v>
      </c>
      <c r="H404" s="62" t="s">
        <v>903</v>
      </c>
      <c r="I404" s="62" t="s">
        <v>906</v>
      </c>
      <c r="J404" s="63"/>
      <c r="K404" s="63"/>
      <c r="L404" s="62"/>
      <c r="M404" s="62"/>
      <c r="N404" s="62" t="s">
        <v>13</v>
      </c>
      <c r="O404" s="62" t="str">
        <f t="shared" si="6"/>
        <v>GCTE_CTE Global English</v>
      </c>
      <c r="P404" s="62" t="s">
        <v>2191</v>
      </c>
      <c r="Q404" s="62"/>
      <c r="R404" s="62"/>
      <c r="S404" s="64"/>
      <c r="T404" s="62" t="s">
        <v>1881</v>
      </c>
      <c r="U404" s="62"/>
      <c r="V404" s="65" t="s">
        <v>1886</v>
      </c>
      <c r="W404" s="65">
        <v>111</v>
      </c>
      <c r="X404" s="62"/>
      <c r="Y404" s="66" t="e">
        <v>#N/A</v>
      </c>
      <c r="Z404" s="62" t="e">
        <v>#N/A</v>
      </c>
      <c r="AA404" s="62"/>
      <c r="AB404" s="62" t="s">
        <v>2208</v>
      </c>
      <c r="AC404" s="62" t="e">
        <v>#N/A</v>
      </c>
    </row>
    <row r="405" spans="1:29" ht="15" customHeight="1" outlineLevel="1" collapsed="1" x14ac:dyDescent="0.3">
      <c r="A405" s="62" t="s">
        <v>250</v>
      </c>
      <c r="B405" s="62" t="s">
        <v>2158</v>
      </c>
      <c r="C405" s="62" t="s">
        <v>892</v>
      </c>
      <c r="D405" s="62" t="s">
        <v>229</v>
      </c>
      <c r="E405" s="62" t="s">
        <v>229</v>
      </c>
      <c r="F405" s="62" t="s">
        <v>8</v>
      </c>
      <c r="G405" s="62" t="e">
        <v>#N/A</v>
      </c>
      <c r="H405" s="62" t="s">
        <v>893</v>
      </c>
      <c r="I405" s="62" t="e">
        <v>#N/A</v>
      </c>
      <c r="J405" s="63">
        <v>0.64800000000000002</v>
      </c>
      <c r="K405" s="63"/>
      <c r="L405" s="62"/>
      <c r="M405" s="62" t="s">
        <v>895</v>
      </c>
      <c r="N405" s="62"/>
      <c r="O405" s="62" t="str">
        <f t="shared" si="6"/>
        <v>HE74_Wipro AMER Midrange</v>
      </c>
      <c r="P405" s="62" t="s">
        <v>930</v>
      </c>
      <c r="Q405" s="62" t="s">
        <v>896</v>
      </c>
      <c r="R405" s="62">
        <v>14</v>
      </c>
      <c r="S405" s="64"/>
      <c r="T405" s="62" t="s">
        <v>1881</v>
      </c>
      <c r="U405" s="62">
        <v>13</v>
      </c>
      <c r="V405" s="65" t="s">
        <v>1886</v>
      </c>
      <c r="W405" s="65">
        <v>0</v>
      </c>
      <c r="X405" s="62"/>
      <c r="Y405" s="66" t="e">
        <v>#N/A</v>
      </c>
      <c r="Z405" s="62" t="e">
        <v>#N/A</v>
      </c>
      <c r="AA405" s="62"/>
      <c r="AB405" s="62" t="s">
        <v>2210</v>
      </c>
      <c r="AC405" s="62" t="e">
        <v>#N/A</v>
      </c>
    </row>
    <row r="406" spans="1:29" s="15" customFormat="1" ht="14.9" customHeight="1" outlineLevel="1" x14ac:dyDescent="0.3">
      <c r="A406" s="66" t="s">
        <v>799</v>
      </c>
      <c r="B406" s="66" t="s">
        <v>800</v>
      </c>
      <c r="C406" s="66" t="s">
        <v>1845</v>
      </c>
      <c r="D406" s="66" t="s">
        <v>609</v>
      </c>
      <c r="E406" s="66"/>
      <c r="F406" s="66" t="s">
        <v>8</v>
      </c>
      <c r="G406" s="66" t="s">
        <v>1881</v>
      </c>
      <c r="H406" s="66"/>
      <c r="I406" s="66"/>
      <c r="J406" s="79"/>
      <c r="K406" s="79"/>
      <c r="L406" s="66"/>
      <c r="M406" s="66"/>
      <c r="N406" s="66"/>
      <c r="O406" s="66" t="str">
        <f t="shared" si="6"/>
        <v>CGEQ_GLOBAL Equallogic Capgemini</v>
      </c>
      <c r="P406" s="66" t="s">
        <v>930</v>
      </c>
      <c r="Q406" s="66" t="s">
        <v>896</v>
      </c>
      <c r="R406" s="66"/>
      <c r="S406" s="70"/>
      <c r="T406" s="62" t="s">
        <v>1881</v>
      </c>
      <c r="U406" s="66"/>
      <c r="V406" s="71" t="s">
        <v>1886</v>
      </c>
      <c r="W406" s="71">
        <v>11.333333333333334</v>
      </c>
      <c r="X406" s="66"/>
      <c r="Y406" s="66" t="e">
        <v>#N/A</v>
      </c>
      <c r="Z406" s="66" t="e">
        <v>#N/A</v>
      </c>
      <c r="AA406" s="66"/>
      <c r="AB406" s="66" t="s">
        <v>2208</v>
      </c>
      <c r="AC406" s="66" t="e">
        <v>#N/A</v>
      </c>
    </row>
    <row r="407" spans="1:29" s="15" customFormat="1" ht="15" customHeight="1" outlineLevel="1" collapsed="1" x14ac:dyDescent="0.3">
      <c r="A407" s="66" t="s">
        <v>801</v>
      </c>
      <c r="B407" s="66" t="s">
        <v>2154</v>
      </c>
      <c r="C407" s="66" t="s">
        <v>1845</v>
      </c>
      <c r="D407" s="66"/>
      <c r="E407" s="66"/>
      <c r="F407" s="66" t="s">
        <v>8</v>
      </c>
      <c r="G407" s="66" t="s">
        <v>1881</v>
      </c>
      <c r="H407" s="66"/>
      <c r="I407" s="66"/>
      <c r="J407" s="79"/>
      <c r="K407" s="79"/>
      <c r="L407" s="66"/>
      <c r="M407" s="66"/>
      <c r="N407" s="66"/>
      <c r="O407" s="66" t="str">
        <f t="shared" si="6"/>
        <v>CGGC_GLOBAL Compellent Capgemini</v>
      </c>
      <c r="P407" s="66" t="s">
        <v>930</v>
      </c>
      <c r="Q407" s="66" t="s">
        <v>896</v>
      </c>
      <c r="R407" s="66"/>
      <c r="S407" s="70"/>
      <c r="T407" s="62" t="s">
        <v>1881</v>
      </c>
      <c r="U407" s="66"/>
      <c r="V407" s="71" t="s">
        <v>1886</v>
      </c>
      <c r="W407" s="71">
        <v>51</v>
      </c>
      <c r="X407" s="66"/>
      <c r="Y407" s="66" t="e">
        <v>#N/A</v>
      </c>
      <c r="Z407" s="66" t="e">
        <v>#N/A</v>
      </c>
      <c r="AA407" s="66"/>
      <c r="AB407" s="66" t="s">
        <v>2208</v>
      </c>
      <c r="AC407" s="66" t="e">
        <v>#N/A</v>
      </c>
    </row>
    <row r="408" spans="1:29" s="15" customFormat="1" ht="15" customHeight="1" outlineLevel="1" collapsed="1" x14ac:dyDescent="0.3">
      <c r="A408" s="66" t="s">
        <v>802</v>
      </c>
      <c r="B408" s="66" t="s">
        <v>803</v>
      </c>
      <c r="C408" s="66" t="s">
        <v>1845</v>
      </c>
      <c r="D408" s="66"/>
      <c r="E408" s="66"/>
      <c r="F408" s="66" t="s">
        <v>8</v>
      </c>
      <c r="G408" s="66" t="s">
        <v>1881</v>
      </c>
      <c r="H408" s="66"/>
      <c r="I408" s="66"/>
      <c r="J408" s="79"/>
      <c r="K408" s="79"/>
      <c r="L408" s="66"/>
      <c r="M408" s="66"/>
      <c r="N408" s="66"/>
      <c r="O408" s="66" t="str">
        <f t="shared" si="6"/>
        <v>CGVE_GLOBAL VNXe Capgemini</v>
      </c>
      <c r="P408" s="66" t="s">
        <v>930</v>
      </c>
      <c r="Q408" s="66" t="s">
        <v>896</v>
      </c>
      <c r="R408" s="66"/>
      <c r="S408" s="70"/>
      <c r="T408" s="62" t="s">
        <v>1881</v>
      </c>
      <c r="U408" s="66"/>
      <c r="V408" s="71" t="s">
        <v>1886</v>
      </c>
      <c r="W408" s="71">
        <v>4</v>
      </c>
      <c r="X408" s="66"/>
      <c r="Y408" s="66" t="e">
        <v>#N/A</v>
      </c>
      <c r="Z408" s="66" t="e">
        <v>#N/A</v>
      </c>
      <c r="AA408" s="66"/>
      <c r="AB408" s="66" t="s">
        <v>2208</v>
      </c>
      <c r="AC408" s="66" t="e">
        <v>#N/A</v>
      </c>
    </row>
    <row r="409" spans="1:29" s="15" customFormat="1" ht="15" customHeight="1" outlineLevel="1" collapsed="1" x14ac:dyDescent="0.3">
      <c r="A409" s="66" t="s">
        <v>804</v>
      </c>
      <c r="B409" s="66" t="s">
        <v>805</v>
      </c>
      <c r="C409" s="66" t="s">
        <v>1845</v>
      </c>
      <c r="D409" s="66"/>
      <c r="E409" s="66"/>
      <c r="F409" s="66" t="s">
        <v>8</v>
      </c>
      <c r="G409" s="66" t="s">
        <v>1881</v>
      </c>
      <c r="H409" s="66"/>
      <c r="I409" s="66"/>
      <c r="J409" s="79"/>
      <c r="K409" s="79"/>
      <c r="L409" s="66"/>
      <c r="M409" s="66"/>
      <c r="N409" s="66"/>
      <c r="O409" s="66" t="str">
        <f t="shared" si="6"/>
        <v>CGVX_GLOBAL VNX Capgemini</v>
      </c>
      <c r="P409" s="66" t="s">
        <v>930</v>
      </c>
      <c r="Q409" s="66" t="s">
        <v>896</v>
      </c>
      <c r="R409" s="66"/>
      <c r="S409" s="70"/>
      <c r="T409" s="62" t="s">
        <v>1881</v>
      </c>
      <c r="U409" s="66">
        <v>13</v>
      </c>
      <c r="V409" s="71" t="s">
        <v>1886</v>
      </c>
      <c r="W409" s="71">
        <v>30.333333333333332</v>
      </c>
      <c r="X409" s="66"/>
      <c r="Y409" s="66" t="e">
        <v>#N/A</v>
      </c>
      <c r="Z409" s="66" t="e">
        <v>#N/A</v>
      </c>
      <c r="AA409" s="66"/>
      <c r="AB409" s="66" t="s">
        <v>2208</v>
      </c>
      <c r="AC409" s="66" t="e">
        <v>#N/A</v>
      </c>
    </row>
    <row r="410" spans="1:29" s="32" customFormat="1" ht="15" customHeight="1" x14ac:dyDescent="0.3">
      <c r="A410" s="68" t="s">
        <v>154</v>
      </c>
      <c r="B410" s="68" t="s">
        <v>155</v>
      </c>
      <c r="C410" s="68" t="s">
        <v>965</v>
      </c>
      <c r="D410" s="68" t="s">
        <v>152</v>
      </c>
      <c r="E410" s="68" t="s">
        <v>153</v>
      </c>
      <c r="F410" s="68" t="s">
        <v>8</v>
      </c>
      <c r="G410" s="68" t="s">
        <v>2250</v>
      </c>
      <c r="H410" s="68" t="s">
        <v>929</v>
      </c>
      <c r="I410" s="68" t="s">
        <v>929</v>
      </c>
      <c r="J410" s="69">
        <v>0.63300000000000001</v>
      </c>
      <c r="K410" s="69">
        <v>1.5037593984962405E-2</v>
      </c>
      <c r="L410" s="68"/>
      <c r="M410" s="68" t="s">
        <v>895</v>
      </c>
      <c r="N410" s="68" t="s">
        <v>1882</v>
      </c>
      <c r="O410" s="68" t="str">
        <f t="shared" si="6"/>
        <v>CT20_GLOBAL E2E Connectivity</v>
      </c>
      <c r="P410" s="68" t="s">
        <v>2192</v>
      </c>
      <c r="Q410" s="68" t="s">
        <v>2253</v>
      </c>
      <c r="R410" s="68">
        <v>14</v>
      </c>
      <c r="S410" s="78"/>
      <c r="T410" s="68" t="s">
        <v>1880</v>
      </c>
      <c r="U410" s="68">
        <v>13</v>
      </c>
      <c r="V410" s="72" t="s">
        <v>1958</v>
      </c>
      <c r="W410" s="72">
        <v>28</v>
      </c>
      <c r="X410" s="68"/>
      <c r="Y410" s="68" t="s">
        <v>1971</v>
      </c>
      <c r="Z410" s="68" t="s">
        <v>1972</v>
      </c>
      <c r="AA410" s="68"/>
      <c r="AB410" s="68" t="s">
        <v>2208</v>
      </c>
      <c r="AC410" s="68" t="s">
        <v>2243</v>
      </c>
    </row>
    <row r="411" spans="1:29" ht="15" customHeight="1" collapsed="1" x14ac:dyDescent="0.3">
      <c r="A411" s="68" t="s">
        <v>866</v>
      </c>
      <c r="B411" s="68" t="s">
        <v>867</v>
      </c>
      <c r="C411" s="68" t="s">
        <v>914</v>
      </c>
      <c r="D411" s="68" t="s">
        <v>865</v>
      </c>
      <c r="E411" s="68" t="s">
        <v>865</v>
      </c>
      <c r="F411" s="68" t="s">
        <v>8</v>
      </c>
      <c r="G411" s="68" t="s">
        <v>2249</v>
      </c>
      <c r="H411" s="68" t="s">
        <v>903</v>
      </c>
      <c r="I411" s="68" t="s">
        <v>918</v>
      </c>
      <c r="J411" s="69">
        <v>0.58199999999999996</v>
      </c>
      <c r="K411" s="69">
        <v>2.278539874447803E-2</v>
      </c>
      <c r="L411" s="68"/>
      <c r="M411" s="68">
        <v>0</v>
      </c>
      <c r="N411" s="68" t="s">
        <v>916</v>
      </c>
      <c r="O411" s="68" t="str">
        <f t="shared" si="6"/>
        <v>CT37_APJ HES CST Japanese</v>
      </c>
      <c r="P411" s="73" t="s">
        <v>2197</v>
      </c>
      <c r="Q411" s="68" t="s">
        <v>1883</v>
      </c>
      <c r="R411" s="68">
        <v>12</v>
      </c>
      <c r="S411" s="78"/>
      <c r="T411" s="74" t="s">
        <v>1880</v>
      </c>
      <c r="U411" s="68">
        <v>13</v>
      </c>
      <c r="V411" s="72" t="s">
        <v>1958</v>
      </c>
      <c r="W411" s="72">
        <v>10</v>
      </c>
      <c r="X411" s="68"/>
      <c r="Y411" s="68" t="s">
        <v>1971</v>
      </c>
      <c r="Z411" s="68" t="s">
        <v>1972</v>
      </c>
      <c r="AA411" s="68" t="str">
        <f>IFERROR("Queue Got Merged in "&amp;VLOOKUP(A411,'CQNs Merged_Split'!$B$7:$D$103,3,FALSE),"")</f>
        <v/>
      </c>
      <c r="AB411" s="68" t="s">
        <v>2217</v>
      </c>
      <c r="AC411" s="68" t="s">
        <v>2233</v>
      </c>
    </row>
    <row r="412" spans="1:29" ht="15" customHeight="1" collapsed="1" x14ac:dyDescent="0.3">
      <c r="A412" s="68" t="s">
        <v>1928</v>
      </c>
      <c r="B412" s="68" t="s">
        <v>1932</v>
      </c>
      <c r="C412" s="68" t="s">
        <v>928</v>
      </c>
      <c r="D412" s="68" t="s">
        <v>158</v>
      </c>
      <c r="E412" s="68" t="s">
        <v>218</v>
      </c>
      <c r="F412" s="68" t="s">
        <v>8</v>
      </c>
      <c r="G412" s="68" t="s">
        <v>2249</v>
      </c>
      <c r="H412" s="68" t="s">
        <v>929</v>
      </c>
      <c r="I412" s="68" t="s">
        <v>929</v>
      </c>
      <c r="J412" s="69">
        <v>0.63300000000000001</v>
      </c>
      <c r="K412" s="69">
        <v>5.859375E-3</v>
      </c>
      <c r="L412" s="68"/>
      <c r="M412" s="68"/>
      <c r="N412" s="68" t="s">
        <v>916</v>
      </c>
      <c r="O412" s="68" t="str">
        <f t="shared" si="6"/>
        <v>GC19_Global PowerFlex</v>
      </c>
      <c r="P412" s="68" t="s">
        <v>2193</v>
      </c>
      <c r="Q412" s="68" t="s">
        <v>1884</v>
      </c>
      <c r="R412" s="68">
        <v>24</v>
      </c>
      <c r="S412" s="78"/>
      <c r="T412" s="68" t="s">
        <v>1880</v>
      </c>
      <c r="U412" s="68">
        <v>13</v>
      </c>
      <c r="V412" s="72" t="s">
        <v>1958</v>
      </c>
      <c r="W412" s="72">
        <v>90.666666666666671</v>
      </c>
      <c r="X412" s="68"/>
      <c r="Y412" s="68"/>
      <c r="Z412" s="68"/>
      <c r="AA412" s="68" t="str">
        <f>IFERROR("Queue Got Merged in "&amp;VLOOKUP(A412,'CQNs Merged_Split'!$B$7:$D$103,3,FALSE),"")</f>
        <v/>
      </c>
      <c r="AB412" s="68" t="s">
        <v>2208</v>
      </c>
      <c r="AC412" s="68" t="s">
        <v>2243</v>
      </c>
    </row>
    <row r="413" spans="1:29" ht="15" customHeight="1" collapsed="1" x14ac:dyDescent="0.3">
      <c r="A413" s="68" t="s">
        <v>1927</v>
      </c>
      <c r="B413" s="68" t="s">
        <v>1931</v>
      </c>
      <c r="C413" s="68" t="s">
        <v>928</v>
      </c>
      <c r="D413" s="68" t="s">
        <v>158</v>
      </c>
      <c r="E413" s="68" t="s">
        <v>218</v>
      </c>
      <c r="F413" s="68" t="s">
        <v>8</v>
      </c>
      <c r="G413" s="68" t="s">
        <v>2250</v>
      </c>
      <c r="H413" s="68" t="s">
        <v>929</v>
      </c>
      <c r="I413" s="68" t="s">
        <v>929</v>
      </c>
      <c r="J413" s="69">
        <v>0.63300000000000001</v>
      </c>
      <c r="K413" s="69">
        <v>1.8670169726832081E-2</v>
      </c>
      <c r="L413" s="68"/>
      <c r="M413" s="68"/>
      <c r="N413" s="68" t="s">
        <v>1882</v>
      </c>
      <c r="O413" s="68" t="str">
        <f t="shared" si="6"/>
        <v>GC20_Global PowerFlex Domain Engineer</v>
      </c>
      <c r="P413" s="68" t="s">
        <v>2193</v>
      </c>
      <c r="Q413" s="68" t="s">
        <v>1810</v>
      </c>
      <c r="R413" s="68">
        <v>24</v>
      </c>
      <c r="S413" s="78"/>
      <c r="T413" s="68" t="s">
        <v>1880</v>
      </c>
      <c r="U413" s="68">
        <v>13</v>
      </c>
      <c r="V413" s="72" t="s">
        <v>1958</v>
      </c>
      <c r="W413" s="72">
        <v>53</v>
      </c>
      <c r="X413" s="68"/>
      <c r="Y413" s="68"/>
      <c r="Z413" s="68"/>
      <c r="AA413" s="68"/>
      <c r="AB413" s="68" t="s">
        <v>2208</v>
      </c>
      <c r="AC413" s="68" t="s">
        <v>2244</v>
      </c>
    </row>
    <row r="414" spans="1:29" ht="15" customHeight="1" collapsed="1" x14ac:dyDescent="0.3">
      <c r="A414" s="68" t="s">
        <v>872</v>
      </c>
      <c r="B414" s="68" t="s">
        <v>873</v>
      </c>
      <c r="C414" s="68" t="s">
        <v>914</v>
      </c>
      <c r="D414" s="68" t="s">
        <v>865</v>
      </c>
      <c r="E414" s="68" t="s">
        <v>865</v>
      </c>
      <c r="F414" s="68" t="s">
        <v>8</v>
      </c>
      <c r="G414" s="68" t="s">
        <v>2249</v>
      </c>
      <c r="H414" s="68" t="s">
        <v>903</v>
      </c>
      <c r="I414" s="68" t="s">
        <v>1063</v>
      </c>
      <c r="J414" s="69">
        <v>0.629</v>
      </c>
      <c r="K414" s="69">
        <v>1.5151515151515152E-2</v>
      </c>
      <c r="L414" s="68"/>
      <c r="M414" s="68">
        <v>0</v>
      </c>
      <c r="N414" s="68" t="s">
        <v>916</v>
      </c>
      <c r="O414" s="68" t="str">
        <f t="shared" si="6"/>
        <v>HE73_APJ HES CST Korean</v>
      </c>
      <c r="P414" s="73" t="s">
        <v>2197</v>
      </c>
      <c r="Q414" s="68" t="s">
        <v>1883</v>
      </c>
      <c r="R414" s="68">
        <v>18</v>
      </c>
      <c r="S414" s="78"/>
      <c r="T414" s="74" t="s">
        <v>1880</v>
      </c>
      <c r="U414" s="68">
        <v>13</v>
      </c>
      <c r="V414" s="72" t="s">
        <v>1958</v>
      </c>
      <c r="W414" s="72">
        <v>15</v>
      </c>
      <c r="X414" s="68"/>
      <c r="Y414" s="68" t="s">
        <v>1971</v>
      </c>
      <c r="Z414" s="68" t="s">
        <v>1972</v>
      </c>
      <c r="AA414" s="68" t="str">
        <f>IFERROR("Queue Got Merged in "&amp;VLOOKUP(A414,'CQNs Merged_Split'!$B$7:$D$103,3,FALSE),"")</f>
        <v/>
      </c>
      <c r="AB414" s="68" t="s">
        <v>2212</v>
      </c>
      <c r="AC414" s="68" t="s">
        <v>2234</v>
      </c>
    </row>
    <row r="415" spans="1:29" ht="15" customHeight="1" collapsed="1" x14ac:dyDescent="0.3">
      <c r="A415" s="68" t="s">
        <v>874</v>
      </c>
      <c r="B415" s="68" t="s">
        <v>1866</v>
      </c>
      <c r="C415" s="68" t="s">
        <v>965</v>
      </c>
      <c r="D415" s="68" t="s">
        <v>865</v>
      </c>
      <c r="E415" s="68" t="s">
        <v>865</v>
      </c>
      <c r="F415" s="68" t="s">
        <v>8</v>
      </c>
      <c r="G415" s="68" t="s">
        <v>2249</v>
      </c>
      <c r="H415" s="68" t="s">
        <v>929</v>
      </c>
      <c r="I415" s="68" t="s">
        <v>929</v>
      </c>
      <c r="J415" s="69">
        <v>0.63300000000000001</v>
      </c>
      <c r="K415" s="69">
        <v>1.8670169726832081E-2</v>
      </c>
      <c r="L415" s="68"/>
      <c r="M415" s="68" t="s">
        <v>895</v>
      </c>
      <c r="N415" s="68" t="s">
        <v>916</v>
      </c>
      <c r="O415" s="68" t="str">
        <f t="shared" si="6"/>
        <v>LS01_Licensing Support</v>
      </c>
      <c r="P415" s="68" t="s">
        <v>2192</v>
      </c>
      <c r="Q415" s="68" t="s">
        <v>2253</v>
      </c>
      <c r="R415" s="68">
        <v>14</v>
      </c>
      <c r="S415" s="78"/>
      <c r="T415" s="68" t="s">
        <v>1880</v>
      </c>
      <c r="U415" s="68">
        <v>13</v>
      </c>
      <c r="V415" s="72" t="s">
        <v>1958</v>
      </c>
      <c r="W415" s="72">
        <v>34.666666666666664</v>
      </c>
      <c r="X415" s="68"/>
      <c r="Y415" s="68" t="s">
        <v>2022</v>
      </c>
      <c r="Z415" s="68" t="s">
        <v>1972</v>
      </c>
      <c r="AA415" s="68" t="str">
        <f>IFERROR("Queue Got Merged in "&amp;VLOOKUP(A415,'CQNs Merged_Split'!$B$7:$D$103,3,FALSE),"")</f>
        <v/>
      </c>
      <c r="AB415" s="68" t="s">
        <v>2208</v>
      </c>
      <c r="AC415" s="68" t="s">
        <v>2244</v>
      </c>
    </row>
    <row r="416" spans="1:29" ht="15" customHeight="1" collapsed="1" x14ac:dyDescent="0.3">
      <c r="A416" s="68" t="s">
        <v>1795</v>
      </c>
      <c r="B416" s="68" t="s">
        <v>1796</v>
      </c>
      <c r="C416" s="68" t="s">
        <v>928</v>
      </c>
      <c r="D416" s="68" t="s">
        <v>439</v>
      </c>
      <c r="E416" s="68" t="s">
        <v>439</v>
      </c>
      <c r="F416" s="68" t="s">
        <v>8</v>
      </c>
      <c r="G416" s="68" t="s">
        <v>2249</v>
      </c>
      <c r="H416" s="68" t="s">
        <v>929</v>
      </c>
      <c r="I416" s="68" t="s">
        <v>929</v>
      </c>
      <c r="J416" s="69">
        <v>0.63300000000000001</v>
      </c>
      <c r="K416" s="69">
        <v>1.8670169726832081E-2</v>
      </c>
      <c r="L416" s="68"/>
      <c r="M416" s="68"/>
      <c r="N416" s="68" t="s">
        <v>916</v>
      </c>
      <c r="O416" s="68" t="str">
        <f t="shared" si="6"/>
        <v>XE01_Global PowerEdge XE Multi-Lingual</v>
      </c>
      <c r="P416" s="68" t="s">
        <v>2193</v>
      </c>
      <c r="Q416" s="68" t="s">
        <v>1810</v>
      </c>
      <c r="R416" s="68">
        <v>24</v>
      </c>
      <c r="S416" s="78"/>
      <c r="T416" s="68" t="s">
        <v>1880</v>
      </c>
      <c r="U416" s="68">
        <v>13</v>
      </c>
      <c r="V416" s="72" t="s">
        <v>1958</v>
      </c>
      <c r="W416" s="72">
        <v>51</v>
      </c>
      <c r="X416" s="68"/>
      <c r="Y416" s="68" t="s">
        <v>1971</v>
      </c>
      <c r="Z416" s="68" t="s">
        <v>1972</v>
      </c>
      <c r="AA416" s="68" t="str">
        <f>IFERROR("Queue Got Merged in "&amp;VLOOKUP(A416,'CQNs Merged_Split'!$B$7:$D$103,3,FALSE),"")</f>
        <v/>
      </c>
      <c r="AB416" s="68" t="s">
        <v>2210</v>
      </c>
      <c r="AC416" s="68" t="s">
        <v>2232</v>
      </c>
    </row>
    <row r="417" spans="1:29" ht="15" customHeight="1" collapsed="1" x14ac:dyDescent="0.3">
      <c r="A417" s="68" t="s">
        <v>1797</v>
      </c>
      <c r="B417" s="68" t="s">
        <v>1798</v>
      </c>
      <c r="C417" s="68" t="s">
        <v>928</v>
      </c>
      <c r="D417" s="68" t="s">
        <v>439</v>
      </c>
      <c r="E417" s="68" t="s">
        <v>439</v>
      </c>
      <c r="F417" s="68" t="s">
        <v>8</v>
      </c>
      <c r="G417" s="68" t="s">
        <v>2250</v>
      </c>
      <c r="H417" s="68" t="s">
        <v>929</v>
      </c>
      <c r="I417" s="68" t="s">
        <v>929</v>
      </c>
      <c r="J417" s="69">
        <v>0.63300000000000001</v>
      </c>
      <c r="K417" s="69">
        <v>1.8670169726832081E-2</v>
      </c>
      <c r="L417" s="68"/>
      <c r="M417" s="68"/>
      <c r="N417" s="68" t="s">
        <v>1882</v>
      </c>
      <c r="O417" s="68" t="str">
        <f t="shared" si="6"/>
        <v>XE02_Global PowerEdge XE DE</v>
      </c>
      <c r="P417" s="68" t="s">
        <v>2193</v>
      </c>
      <c r="Q417" s="68" t="s">
        <v>1810</v>
      </c>
      <c r="R417" s="68">
        <v>24</v>
      </c>
      <c r="S417" s="78"/>
      <c r="T417" s="68" t="s">
        <v>1880</v>
      </c>
      <c r="U417" s="68">
        <v>13</v>
      </c>
      <c r="V417" s="72" t="s">
        <v>1958</v>
      </c>
      <c r="W417" s="72">
        <v>79</v>
      </c>
      <c r="X417" s="68"/>
      <c r="Y417" s="68" t="s">
        <v>1971</v>
      </c>
      <c r="Z417" s="68" t="s">
        <v>1972</v>
      </c>
      <c r="AA417" s="68"/>
      <c r="AB417" s="68" t="s">
        <v>2210</v>
      </c>
      <c r="AC417" s="68" t="s">
        <v>2242</v>
      </c>
    </row>
    <row r="418" spans="1:29" ht="15" customHeight="1" collapsed="1" x14ac:dyDescent="0.3">
      <c r="A418" s="68" t="s">
        <v>447</v>
      </c>
      <c r="B418" s="68" t="s">
        <v>1857</v>
      </c>
      <c r="C418" s="75" t="s">
        <v>2165</v>
      </c>
      <c r="D418" s="68" t="s">
        <v>440</v>
      </c>
      <c r="E418" s="68" t="s">
        <v>440</v>
      </c>
      <c r="F418" s="68" t="s">
        <v>8</v>
      </c>
      <c r="G418" s="68" t="s">
        <v>2249</v>
      </c>
      <c r="H418" s="68" t="s">
        <v>935</v>
      </c>
      <c r="I418" s="68" t="s">
        <v>936</v>
      </c>
      <c r="J418" s="69">
        <v>0.57099999999999995</v>
      </c>
      <c r="K418" s="69">
        <v>1.5604681404421327E-2</v>
      </c>
      <c r="L418" s="68"/>
      <c r="M418" s="68" t="s">
        <v>931</v>
      </c>
      <c r="N418" s="68" t="s">
        <v>916</v>
      </c>
      <c r="O418" s="68" t="str">
        <f t="shared" si="6"/>
        <v>BAH1_LATAM AH Portuguese</v>
      </c>
      <c r="P418" s="68" t="s">
        <v>2194</v>
      </c>
      <c r="Q418" s="68" t="s">
        <v>2252</v>
      </c>
      <c r="R418" s="68">
        <v>8</v>
      </c>
      <c r="S418" s="78"/>
      <c r="T418" s="68" t="s">
        <v>897</v>
      </c>
      <c r="U418" s="68">
        <v>13</v>
      </c>
      <c r="V418" s="72" t="s">
        <v>1958</v>
      </c>
      <c r="W418" s="72">
        <v>5</v>
      </c>
      <c r="X418" s="68"/>
      <c r="Y418" s="68" t="s">
        <v>2031</v>
      </c>
      <c r="Z418" s="68" t="s">
        <v>1979</v>
      </c>
      <c r="AA418" s="68" t="str">
        <f>IFERROR("Queue Got Merged in "&amp;VLOOKUP(A418,'CQNs Merged_Split'!$B$7:$D$103,3,FALSE),"")</f>
        <v/>
      </c>
      <c r="AB418" s="68" t="s">
        <v>2209</v>
      </c>
      <c r="AC418" s="68" t="s">
        <v>2239</v>
      </c>
    </row>
    <row r="419" spans="1:29" ht="15" customHeight="1" collapsed="1" x14ac:dyDescent="0.3">
      <c r="A419" s="68" t="s">
        <v>449</v>
      </c>
      <c r="B419" s="68" t="s">
        <v>1858</v>
      </c>
      <c r="C419" s="75" t="s">
        <v>2165</v>
      </c>
      <c r="D419" s="68" t="s">
        <v>440</v>
      </c>
      <c r="E419" s="68" t="s">
        <v>440</v>
      </c>
      <c r="F419" s="68" t="s">
        <v>8</v>
      </c>
      <c r="G419" s="68" t="s">
        <v>2249</v>
      </c>
      <c r="H419" s="68" t="s">
        <v>935</v>
      </c>
      <c r="I419" s="68" t="s">
        <v>936</v>
      </c>
      <c r="J419" s="69">
        <v>0.57099999999999995</v>
      </c>
      <c r="K419" s="69">
        <v>1.5604681404421327E-2</v>
      </c>
      <c r="L419" s="68"/>
      <c r="M419" s="68" t="s">
        <v>931</v>
      </c>
      <c r="N419" s="68" t="s">
        <v>916</v>
      </c>
      <c r="O419" s="68" t="str">
        <f t="shared" si="6"/>
        <v>BT01_LATAM Top Customers Portuguese</v>
      </c>
      <c r="P419" s="68" t="s">
        <v>2194</v>
      </c>
      <c r="Q419" s="68" t="s">
        <v>2252</v>
      </c>
      <c r="R419" s="68">
        <v>8</v>
      </c>
      <c r="S419" s="78"/>
      <c r="T419" s="68" t="s">
        <v>897</v>
      </c>
      <c r="U419" s="68">
        <v>13</v>
      </c>
      <c r="V419" s="72" t="s">
        <v>1958</v>
      </c>
      <c r="W419" s="72">
        <v>7</v>
      </c>
      <c r="X419" s="68"/>
      <c r="Y419" s="68" t="s">
        <v>2033</v>
      </c>
      <c r="Z419" s="68" t="s">
        <v>1981</v>
      </c>
      <c r="AA419" s="68" t="str">
        <f>IFERROR("Queue Got Merged in "&amp;VLOOKUP(A419,'CQNs Merged_Split'!$B$7:$D$103,3,FALSE),"")</f>
        <v/>
      </c>
      <c r="AB419" s="68" t="s">
        <v>2209</v>
      </c>
      <c r="AC419" s="68" t="s">
        <v>2239</v>
      </c>
    </row>
    <row r="420" spans="1:29" ht="15" customHeight="1" collapsed="1" x14ac:dyDescent="0.3">
      <c r="A420" s="68" t="s">
        <v>1872</v>
      </c>
      <c r="B420" s="68" t="s">
        <v>1879</v>
      </c>
      <c r="C420" s="68" t="s">
        <v>928</v>
      </c>
      <c r="D420" s="68" t="s">
        <v>266</v>
      </c>
      <c r="E420" s="68" t="s">
        <v>266</v>
      </c>
      <c r="F420" s="68" t="s">
        <v>8</v>
      </c>
      <c r="G420" s="68" t="s">
        <v>2249</v>
      </c>
      <c r="H420" s="68" t="s">
        <v>929</v>
      </c>
      <c r="I420" s="68" t="s">
        <v>929</v>
      </c>
      <c r="J420" s="69">
        <v>0.63300000000000001</v>
      </c>
      <c r="K420" s="69">
        <v>1.5845070422535211E-2</v>
      </c>
      <c r="L420" s="68"/>
      <c r="M420" s="68"/>
      <c r="N420" s="68" t="s">
        <v>916</v>
      </c>
      <c r="O420" s="68" t="str">
        <f t="shared" si="6"/>
        <v>BT04_Global Networking English</v>
      </c>
      <c r="P420" s="68" t="s">
        <v>2193</v>
      </c>
      <c r="Q420" s="68" t="s">
        <v>1810</v>
      </c>
      <c r="R420" s="68">
        <v>24</v>
      </c>
      <c r="S420" s="78"/>
      <c r="T420" s="68" t="s">
        <v>897</v>
      </c>
      <c r="U420" s="68">
        <v>13</v>
      </c>
      <c r="V420" s="72" t="s">
        <v>1958</v>
      </c>
      <c r="W420" s="72">
        <v>46.333333333333336</v>
      </c>
      <c r="X420" s="68"/>
      <c r="Y420" s="68"/>
      <c r="Z420" s="68"/>
      <c r="AA420" s="68" t="str">
        <f>IFERROR("Queue Got Merged in "&amp;VLOOKUP(A420,'CQNs Merged_Split'!$B$7:$D$103,3,FALSE),"")</f>
        <v/>
      </c>
      <c r="AB420" s="68" t="s">
        <v>2208</v>
      </c>
      <c r="AC420" s="68" t="s">
        <v>2235</v>
      </c>
    </row>
    <row r="421" spans="1:29" s="32" customFormat="1" ht="15" customHeight="1" collapsed="1" x14ac:dyDescent="0.3">
      <c r="A421" s="68" t="s">
        <v>1801</v>
      </c>
      <c r="B421" s="68" t="s">
        <v>1802</v>
      </c>
      <c r="C421" s="68" t="s">
        <v>928</v>
      </c>
      <c r="D421" s="68" t="s">
        <v>439</v>
      </c>
      <c r="E421" s="68" t="s">
        <v>439</v>
      </c>
      <c r="F421" s="68" t="s">
        <v>8</v>
      </c>
      <c r="G421" s="68" t="s">
        <v>2249</v>
      </c>
      <c r="H421" s="68" t="s">
        <v>912</v>
      </c>
      <c r="I421" s="68" t="s">
        <v>2153</v>
      </c>
      <c r="J421" s="69">
        <v>0.61699999999999999</v>
      </c>
      <c r="K421" s="69">
        <v>3.8967379973253502E-2</v>
      </c>
      <c r="L421" s="68"/>
      <c r="M421" s="68"/>
      <c r="N421" s="68" t="s">
        <v>916</v>
      </c>
      <c r="O421" s="68" t="str">
        <f t="shared" si="6"/>
        <v>BT06_EC Compute CEE RUA</v>
      </c>
      <c r="P421" s="68" t="s">
        <v>2193</v>
      </c>
      <c r="Q421" s="68" t="s">
        <v>1810</v>
      </c>
      <c r="R421" s="68">
        <v>10</v>
      </c>
      <c r="S421" s="78"/>
      <c r="T421" s="68" t="s">
        <v>897</v>
      </c>
      <c r="U421" s="68">
        <v>13</v>
      </c>
      <c r="V421" s="72" t="s">
        <v>1958</v>
      </c>
      <c r="W421" s="72">
        <v>9</v>
      </c>
      <c r="X421" s="68"/>
      <c r="Y421" s="68" t="s">
        <v>1996</v>
      </c>
      <c r="Z421" s="68" t="s">
        <v>1986</v>
      </c>
      <c r="AA421" s="68" t="str">
        <f>IFERROR("Queue Got Merged in "&amp;VLOOKUP(A421,'CQNs Merged_Split'!$B$7:$D$103,3,FALSE),"")</f>
        <v/>
      </c>
      <c r="AB421" s="68" t="s">
        <v>2221</v>
      </c>
      <c r="AC421" s="68" t="s">
        <v>2236</v>
      </c>
    </row>
    <row r="422" spans="1:29" ht="15" customHeight="1" collapsed="1" x14ac:dyDescent="0.3">
      <c r="A422" s="68" t="s">
        <v>1803</v>
      </c>
      <c r="B422" s="68" t="s">
        <v>1804</v>
      </c>
      <c r="C422" s="68" t="s">
        <v>928</v>
      </c>
      <c r="D422" s="68" t="s">
        <v>439</v>
      </c>
      <c r="E422" s="68" t="s">
        <v>439</v>
      </c>
      <c r="F422" s="68" t="s">
        <v>8</v>
      </c>
      <c r="G422" s="68" t="s">
        <v>2249</v>
      </c>
      <c r="H422" s="68" t="s">
        <v>912</v>
      </c>
      <c r="I422" s="68" t="s">
        <v>1006</v>
      </c>
      <c r="J422" s="69">
        <v>0.61699999999999999</v>
      </c>
      <c r="K422" s="69">
        <v>3.8967379973253502E-2</v>
      </c>
      <c r="L422" s="68"/>
      <c r="M422" s="68"/>
      <c r="N422" s="68" t="s">
        <v>916</v>
      </c>
      <c r="O422" s="68" t="str">
        <f t="shared" si="6"/>
        <v>BT07_SER Compute Iberian</v>
      </c>
      <c r="P422" s="68" t="s">
        <v>2193</v>
      </c>
      <c r="Q422" s="68" t="s">
        <v>1810</v>
      </c>
      <c r="R422" s="68">
        <v>12</v>
      </c>
      <c r="S422" s="78"/>
      <c r="T422" s="68" t="s">
        <v>897</v>
      </c>
      <c r="U422" s="68">
        <v>13</v>
      </c>
      <c r="V422" s="72" t="s">
        <v>1958</v>
      </c>
      <c r="W422" s="72">
        <v>11</v>
      </c>
      <c r="X422" s="68"/>
      <c r="Y422" s="68" t="s">
        <v>2003</v>
      </c>
      <c r="Z422" s="68" t="s">
        <v>1986</v>
      </c>
      <c r="AA422" s="68" t="str">
        <f>IFERROR("Queue Got Merged in "&amp;VLOOKUP(A422,'CQNs Merged_Split'!$B$7:$D$103,3,FALSE),"")</f>
        <v/>
      </c>
      <c r="AB422" s="68" t="s">
        <v>779</v>
      </c>
      <c r="AC422" s="68" t="s">
        <v>2232</v>
      </c>
    </row>
    <row r="423" spans="1:29" ht="15" customHeight="1" collapsed="1" x14ac:dyDescent="0.3">
      <c r="A423" s="68" t="s">
        <v>1805</v>
      </c>
      <c r="B423" s="68" t="s">
        <v>1950</v>
      </c>
      <c r="C423" s="68" t="s">
        <v>928</v>
      </c>
      <c r="D423" s="68" t="s">
        <v>439</v>
      </c>
      <c r="E423" s="68" t="s">
        <v>439</v>
      </c>
      <c r="F423" s="68" t="s">
        <v>8</v>
      </c>
      <c r="G423" s="68" t="s">
        <v>2249</v>
      </c>
      <c r="H423" s="68" t="s">
        <v>912</v>
      </c>
      <c r="I423" s="68" t="s">
        <v>1006</v>
      </c>
      <c r="J423" s="69">
        <v>0.61699999999999999</v>
      </c>
      <c r="K423" s="69">
        <v>6.7634038366945395E-3</v>
      </c>
      <c r="L423" s="68"/>
      <c r="M423" s="68"/>
      <c r="N423" s="68" t="s">
        <v>916</v>
      </c>
      <c r="O423" s="68" t="str">
        <f t="shared" si="6"/>
        <v>BT08_SER Server French</v>
      </c>
      <c r="P423" s="68" t="s">
        <v>2193</v>
      </c>
      <c r="Q423" s="68" t="s">
        <v>1810</v>
      </c>
      <c r="R423" s="68">
        <v>24</v>
      </c>
      <c r="S423" s="78"/>
      <c r="T423" s="68" t="s">
        <v>897</v>
      </c>
      <c r="U423" s="68">
        <v>13</v>
      </c>
      <c r="V423" s="72" t="s">
        <v>1958</v>
      </c>
      <c r="W423" s="72">
        <v>40</v>
      </c>
      <c r="X423" s="68"/>
      <c r="Y423" s="68" t="s">
        <v>1993</v>
      </c>
      <c r="Z423" s="68" t="s">
        <v>1986</v>
      </c>
      <c r="AA423" s="68" t="str">
        <f>IFERROR("Queue Got Merged in "&amp;VLOOKUP(A423,'CQNs Merged_Split'!$B$7:$D$103,3,FALSE),"")</f>
        <v/>
      </c>
      <c r="AB423" s="68" t="s">
        <v>2215</v>
      </c>
      <c r="AC423" s="68" t="s">
        <v>2232</v>
      </c>
    </row>
    <row r="424" spans="1:29" ht="15" customHeight="1" collapsed="1" x14ac:dyDescent="0.3">
      <c r="A424" s="68" t="s">
        <v>1873</v>
      </c>
      <c r="B424" s="68" t="s">
        <v>1874</v>
      </c>
      <c r="C424" s="68" t="s">
        <v>914</v>
      </c>
      <c r="D424" s="68" t="s">
        <v>439</v>
      </c>
      <c r="E424" s="68" t="s">
        <v>439</v>
      </c>
      <c r="F424" s="68" t="s">
        <v>8</v>
      </c>
      <c r="G424" s="68" t="s">
        <v>2249</v>
      </c>
      <c r="H424" s="68" t="s">
        <v>903</v>
      </c>
      <c r="I424" s="68" t="s">
        <v>909</v>
      </c>
      <c r="J424" s="69">
        <v>0.629</v>
      </c>
      <c r="K424" s="69">
        <v>2.278539874447803E-2</v>
      </c>
      <c r="L424" s="68"/>
      <c r="M424" s="68"/>
      <c r="N424" s="68" t="s">
        <v>916</v>
      </c>
      <c r="O424" s="68" t="str">
        <f t="shared" si="6"/>
        <v>BT09_CCC MidRange Mandarin</v>
      </c>
      <c r="P424" s="68" t="s">
        <v>2197</v>
      </c>
      <c r="Q424" s="68" t="s">
        <v>1883</v>
      </c>
      <c r="R424" s="68">
        <v>24</v>
      </c>
      <c r="S424" s="78"/>
      <c r="T424" s="68" t="s">
        <v>897</v>
      </c>
      <c r="U424" s="68">
        <v>13</v>
      </c>
      <c r="V424" s="72" t="s">
        <v>1958</v>
      </c>
      <c r="W424" s="72">
        <v>14</v>
      </c>
      <c r="X424" s="68"/>
      <c r="Y424" s="68"/>
      <c r="Z424" s="68"/>
      <c r="AA424" s="68" t="str">
        <f>IFERROR("Queue Got Merged in "&amp;VLOOKUP(A424,'CQNs Merged_Split'!$B$7:$D$103,3,FALSE),"")</f>
        <v/>
      </c>
      <c r="AB424" s="68" t="s">
        <v>2211</v>
      </c>
      <c r="AC424" s="68" t="s">
        <v>2241</v>
      </c>
    </row>
    <row r="425" spans="1:29" s="11" customFormat="1" ht="15" customHeight="1" collapsed="1" x14ac:dyDescent="0.3">
      <c r="A425" s="68" t="s">
        <v>1938</v>
      </c>
      <c r="B425" s="68" t="s">
        <v>1939</v>
      </c>
      <c r="C425" s="75" t="s">
        <v>2165</v>
      </c>
      <c r="D425" s="68" t="s">
        <v>609</v>
      </c>
      <c r="E425" s="68" t="s">
        <v>609</v>
      </c>
      <c r="F425" s="68" t="s">
        <v>8</v>
      </c>
      <c r="G425" s="68" t="s">
        <v>2249</v>
      </c>
      <c r="H425" s="68" t="s">
        <v>935</v>
      </c>
      <c r="I425" s="68" t="s">
        <v>936</v>
      </c>
      <c r="J425" s="69">
        <v>0.57099999999999995</v>
      </c>
      <c r="K425" s="69">
        <v>1.5604681404421327E-2</v>
      </c>
      <c r="L425" s="68"/>
      <c r="M425" s="68"/>
      <c r="N425" s="68" t="s">
        <v>916</v>
      </c>
      <c r="O425" s="68" t="str">
        <f t="shared" si="6"/>
        <v>BT11_LATAM Midrange Portuguese</v>
      </c>
      <c r="P425" s="68" t="s">
        <v>2194</v>
      </c>
      <c r="Q425" s="68" t="s">
        <v>2252</v>
      </c>
      <c r="R425" s="68">
        <v>24</v>
      </c>
      <c r="S425" s="78"/>
      <c r="T425" s="68" t="s">
        <v>897</v>
      </c>
      <c r="U425" s="68">
        <v>13</v>
      </c>
      <c r="V425" s="72" t="s">
        <v>1958</v>
      </c>
      <c r="W425" s="72">
        <v>21</v>
      </c>
      <c r="X425" s="68"/>
      <c r="Y425" s="68"/>
      <c r="Z425" s="68"/>
      <c r="AA425" s="68" t="str">
        <f>IFERROR("Queue Got Merged in "&amp;VLOOKUP(A425,'CQNs Merged_Split'!$B$7:$D$103,3,FALSE),"")</f>
        <v/>
      </c>
      <c r="AB425" s="68" t="s">
        <v>2209</v>
      </c>
      <c r="AC425" s="68" t="s">
        <v>2237</v>
      </c>
    </row>
    <row r="426" spans="1:29" ht="15" customHeight="1" collapsed="1" x14ac:dyDescent="0.3">
      <c r="A426" s="68" t="s">
        <v>1936</v>
      </c>
      <c r="B426" s="68" t="s">
        <v>1937</v>
      </c>
      <c r="C426" s="75" t="s">
        <v>2165</v>
      </c>
      <c r="D426" s="68" t="s">
        <v>609</v>
      </c>
      <c r="E426" s="68" t="s">
        <v>609</v>
      </c>
      <c r="F426" s="68" t="s">
        <v>8</v>
      </c>
      <c r="G426" s="68" t="s">
        <v>2249</v>
      </c>
      <c r="H426" s="68" t="s">
        <v>935</v>
      </c>
      <c r="I426" s="68" t="s">
        <v>1076</v>
      </c>
      <c r="J426" s="69">
        <v>0.64100000000000001</v>
      </c>
      <c r="K426" s="69">
        <v>1.5604681404421327E-2</v>
      </c>
      <c r="L426" s="68"/>
      <c r="M426" s="68"/>
      <c r="N426" s="68" t="s">
        <v>916</v>
      </c>
      <c r="O426" s="68" t="str">
        <f t="shared" si="6"/>
        <v>BT12_LATAM Midrange Spanish</v>
      </c>
      <c r="P426" s="68" t="s">
        <v>2194</v>
      </c>
      <c r="Q426" s="68" t="s">
        <v>2252</v>
      </c>
      <c r="R426" s="68">
        <v>24</v>
      </c>
      <c r="S426" s="78"/>
      <c r="T426" s="68" t="s">
        <v>897</v>
      </c>
      <c r="U426" s="68">
        <v>13</v>
      </c>
      <c r="V426" s="72" t="s">
        <v>1958</v>
      </c>
      <c r="W426" s="72">
        <v>18</v>
      </c>
      <c r="X426" s="68"/>
      <c r="Y426" s="68"/>
      <c r="Z426" s="68"/>
      <c r="AA426" s="68" t="str">
        <f>IFERROR("Queue Got Merged in "&amp;VLOOKUP(A426,'CQNs Merged_Split'!$B$7:$D$103,3,FALSE),"")</f>
        <v/>
      </c>
      <c r="AB426" s="68" t="s">
        <v>779</v>
      </c>
      <c r="AC426" s="68" t="s">
        <v>2235</v>
      </c>
    </row>
    <row r="427" spans="1:29" s="11" customFormat="1" ht="15" customHeight="1" collapsed="1" x14ac:dyDescent="0.3">
      <c r="A427" s="68" t="s">
        <v>1942</v>
      </c>
      <c r="B427" s="68" t="s">
        <v>1943</v>
      </c>
      <c r="C427" s="68" t="s">
        <v>928</v>
      </c>
      <c r="D427" s="68" t="s">
        <v>439</v>
      </c>
      <c r="E427" s="68" t="s">
        <v>439</v>
      </c>
      <c r="F427" s="68" t="s">
        <v>8</v>
      </c>
      <c r="G427" s="68" t="s">
        <v>2249</v>
      </c>
      <c r="H427" s="68" t="s">
        <v>912</v>
      </c>
      <c r="I427" s="68" t="s">
        <v>2153</v>
      </c>
      <c r="J427" s="69">
        <v>0.61699999999999999</v>
      </c>
      <c r="K427" s="69">
        <v>9.8425196850393699E-3</v>
      </c>
      <c r="L427" s="68"/>
      <c r="M427" s="68" t="s">
        <v>1015</v>
      </c>
      <c r="N427" s="68" t="s">
        <v>916</v>
      </c>
      <c r="O427" s="68" t="str">
        <f t="shared" si="6"/>
        <v>BT13_EC Server Arabic</v>
      </c>
      <c r="P427" s="68" t="s">
        <v>2193</v>
      </c>
      <c r="Q427" s="68" t="s">
        <v>1810</v>
      </c>
      <c r="R427" s="68">
        <v>10</v>
      </c>
      <c r="S427" s="78"/>
      <c r="T427" s="68" t="s">
        <v>897</v>
      </c>
      <c r="U427" s="68">
        <v>13</v>
      </c>
      <c r="V427" s="72" t="s">
        <v>1958</v>
      </c>
      <c r="W427" s="72">
        <v>22</v>
      </c>
      <c r="X427" s="68"/>
      <c r="Y427" s="68"/>
      <c r="Z427" s="68"/>
      <c r="AA427" s="68" t="str">
        <f>IFERROR("Queue Got Merged in "&amp;VLOOKUP(A427,'CQNs Merged_Split'!$B$7:$D$103,3,FALSE),"")</f>
        <v/>
      </c>
      <c r="AB427" s="68" t="s">
        <v>2219</v>
      </c>
      <c r="AC427" s="68" t="s">
        <v>2232</v>
      </c>
    </row>
    <row r="428" spans="1:29" ht="15" customHeight="1" collapsed="1" x14ac:dyDescent="0.3">
      <c r="A428" s="68" t="s">
        <v>1940</v>
      </c>
      <c r="B428" s="68" t="s">
        <v>1941</v>
      </c>
      <c r="C428" s="68" t="s">
        <v>928</v>
      </c>
      <c r="D428" s="68" t="s">
        <v>439</v>
      </c>
      <c r="E428" s="68" t="s">
        <v>439</v>
      </c>
      <c r="F428" s="68" t="s">
        <v>8</v>
      </c>
      <c r="G428" s="68" t="s">
        <v>2249</v>
      </c>
      <c r="H428" s="68" t="s">
        <v>912</v>
      </c>
      <c r="I428" s="68" t="s">
        <v>1006</v>
      </c>
      <c r="J428" s="69">
        <v>0.61699999999999999</v>
      </c>
      <c r="K428" s="69">
        <v>3.8967379973253502E-2</v>
      </c>
      <c r="L428" s="68"/>
      <c r="M428" s="68" t="s">
        <v>1014</v>
      </c>
      <c r="N428" s="68" t="s">
        <v>916</v>
      </c>
      <c r="O428" s="68" t="str">
        <f t="shared" si="6"/>
        <v>BT14_SER Server Italian</v>
      </c>
      <c r="P428" s="68" t="s">
        <v>2193</v>
      </c>
      <c r="Q428" s="68" t="s">
        <v>1810</v>
      </c>
      <c r="R428" s="68">
        <v>4</v>
      </c>
      <c r="S428" s="78"/>
      <c r="T428" s="68" t="s">
        <v>897</v>
      </c>
      <c r="U428" s="68">
        <v>13</v>
      </c>
      <c r="V428" s="72" t="s">
        <v>1958</v>
      </c>
      <c r="W428" s="72">
        <v>14</v>
      </c>
      <c r="X428" s="68"/>
      <c r="Y428" s="68"/>
      <c r="Z428" s="68"/>
      <c r="AA428" s="68" t="str">
        <f>IFERROR("Queue Got Merged in "&amp;VLOOKUP(A428,'CQNs Merged_Split'!$B$7:$D$103,3,FALSE),"")</f>
        <v/>
      </c>
      <c r="AB428" s="68" t="s">
        <v>2220</v>
      </c>
      <c r="AC428" s="68" t="s">
        <v>2232</v>
      </c>
    </row>
    <row r="429" spans="1:29" ht="15" customHeight="1" collapsed="1" x14ac:dyDescent="0.3">
      <c r="A429" s="68" t="s">
        <v>453</v>
      </c>
      <c r="B429" s="68" t="s">
        <v>454</v>
      </c>
      <c r="C429" s="68" t="s">
        <v>928</v>
      </c>
      <c r="D429" s="68" t="s">
        <v>439</v>
      </c>
      <c r="E429" s="68" t="s">
        <v>439</v>
      </c>
      <c r="F429" s="68" t="s">
        <v>8</v>
      </c>
      <c r="G429" s="68" t="s">
        <v>2249</v>
      </c>
      <c r="H429" s="68" t="s">
        <v>912</v>
      </c>
      <c r="I429" s="68" t="s">
        <v>938</v>
      </c>
      <c r="J429" s="69">
        <v>0.61699999999999999</v>
      </c>
      <c r="K429" s="69">
        <v>3.0612244897959186E-2</v>
      </c>
      <c r="L429" s="68"/>
      <c r="M429" s="68" t="s">
        <v>939</v>
      </c>
      <c r="N429" s="68" t="s">
        <v>916</v>
      </c>
      <c r="O429" s="68" t="str">
        <f t="shared" si="6"/>
        <v>BX02_ENG ProSupp Dutch Server (CWD)</v>
      </c>
      <c r="P429" s="68" t="s">
        <v>2193</v>
      </c>
      <c r="Q429" s="68" t="s">
        <v>1810</v>
      </c>
      <c r="R429" s="68">
        <v>7</v>
      </c>
      <c r="S429" s="78"/>
      <c r="T429" s="68" t="s">
        <v>897</v>
      </c>
      <c r="U429" s="68">
        <v>13</v>
      </c>
      <c r="V429" s="72" t="s">
        <v>1958</v>
      </c>
      <c r="W429" s="72">
        <v>13</v>
      </c>
      <c r="X429" s="68"/>
      <c r="Y429" s="68" t="s">
        <v>2023</v>
      </c>
      <c r="Z429" s="68" t="s">
        <v>1986</v>
      </c>
      <c r="AA429" s="68" t="str">
        <f>IFERROR("Queue Got Merged in "&amp;VLOOKUP(A429,'CQNs Merged_Split'!$B$7:$D$103,3,FALSE),"")</f>
        <v/>
      </c>
      <c r="AB429" s="68" t="s">
        <v>2224</v>
      </c>
      <c r="AC429" s="68" t="s">
        <v>2236</v>
      </c>
    </row>
    <row r="430" spans="1:29" ht="15" customHeight="1" collapsed="1" x14ac:dyDescent="0.3">
      <c r="A430" s="68" t="s">
        <v>273</v>
      </c>
      <c r="B430" s="68" t="s">
        <v>1860</v>
      </c>
      <c r="C430" s="75" t="s">
        <v>2165</v>
      </c>
      <c r="D430" s="68" t="s">
        <v>266</v>
      </c>
      <c r="E430" s="68" t="s">
        <v>266</v>
      </c>
      <c r="F430" s="68" t="s">
        <v>8</v>
      </c>
      <c r="G430" s="68" t="s">
        <v>2249</v>
      </c>
      <c r="H430" s="68" t="s">
        <v>935</v>
      </c>
      <c r="I430" s="68" t="s">
        <v>936</v>
      </c>
      <c r="J430" s="69">
        <v>0.57099999999999995</v>
      </c>
      <c r="K430" s="69">
        <v>1.5604681404421327E-2</v>
      </c>
      <c r="L430" s="68"/>
      <c r="M430" s="68" t="s">
        <v>939</v>
      </c>
      <c r="N430" s="68" t="s">
        <v>916</v>
      </c>
      <c r="O430" s="68" t="str">
        <f t="shared" si="6"/>
        <v>BZ15_LATAM Networking Portuguese</v>
      </c>
      <c r="P430" s="68" t="s">
        <v>2194</v>
      </c>
      <c r="Q430" s="68" t="s">
        <v>2252</v>
      </c>
      <c r="R430" s="68">
        <v>7</v>
      </c>
      <c r="S430" s="78"/>
      <c r="T430" s="68" t="s">
        <v>897</v>
      </c>
      <c r="U430" s="68">
        <v>13</v>
      </c>
      <c r="V430" s="72" t="s">
        <v>1958</v>
      </c>
      <c r="W430" s="72">
        <v>8</v>
      </c>
      <c r="X430" s="68"/>
      <c r="Y430" s="68" t="s">
        <v>2029</v>
      </c>
      <c r="Z430" s="68" t="s">
        <v>2030</v>
      </c>
      <c r="AA430" s="68" t="str">
        <f>IFERROR("Queue Got Merged in "&amp;VLOOKUP(A430,'CQNs Merged_Split'!$B$7:$D$103,3,FALSE),"")</f>
        <v/>
      </c>
      <c r="AB430" s="68" t="s">
        <v>2209</v>
      </c>
      <c r="AC430" s="68" t="s">
        <v>2237</v>
      </c>
    </row>
    <row r="431" spans="1:29" ht="15" customHeight="1" collapsed="1" x14ac:dyDescent="0.3">
      <c r="A431" s="68" t="s">
        <v>1877</v>
      </c>
      <c r="B431" s="68" t="s">
        <v>1878</v>
      </c>
      <c r="C431" s="75" t="s">
        <v>2165</v>
      </c>
      <c r="D431" s="68" t="s">
        <v>439</v>
      </c>
      <c r="E431" s="68" t="s">
        <v>439</v>
      </c>
      <c r="F431" s="68" t="s">
        <v>8</v>
      </c>
      <c r="G431" s="68" t="s">
        <v>2249</v>
      </c>
      <c r="H431" s="68" t="s">
        <v>935</v>
      </c>
      <c r="I431" s="68" t="s">
        <v>936</v>
      </c>
      <c r="J431" s="69">
        <v>0.57099999999999995</v>
      </c>
      <c r="K431" s="69">
        <v>1.5604681404421327E-2</v>
      </c>
      <c r="L431" s="68"/>
      <c r="M431" s="68"/>
      <c r="N431" s="68" t="s">
        <v>916</v>
      </c>
      <c r="O431" s="68" t="str">
        <f t="shared" si="6"/>
        <v>BZ24_LATAM Compute Portuguese</v>
      </c>
      <c r="P431" s="68" t="s">
        <v>2194</v>
      </c>
      <c r="Q431" s="68" t="s">
        <v>2252</v>
      </c>
      <c r="R431" s="68">
        <v>24</v>
      </c>
      <c r="S431" s="78"/>
      <c r="T431" s="68" t="s">
        <v>897</v>
      </c>
      <c r="U431" s="68">
        <v>13</v>
      </c>
      <c r="V431" s="72" t="s">
        <v>1958</v>
      </c>
      <c r="W431" s="72">
        <v>26</v>
      </c>
      <c r="X431" s="68"/>
      <c r="Y431" s="68"/>
      <c r="Z431" s="68"/>
      <c r="AA431" s="68" t="str">
        <f>IFERROR("Queue Got Merged in "&amp;VLOOKUP(A431,'CQNs Merged_Split'!$B$7:$D$103,3,FALSE),"")</f>
        <v/>
      </c>
      <c r="AB431" s="68" t="s">
        <v>2209</v>
      </c>
      <c r="AC431" s="68" t="s">
        <v>2239</v>
      </c>
    </row>
    <row r="432" spans="1:29" ht="15" customHeight="1" collapsed="1" x14ac:dyDescent="0.3">
      <c r="A432" s="68" t="s">
        <v>475</v>
      </c>
      <c r="B432" s="68" t="s">
        <v>1864</v>
      </c>
      <c r="C432" s="68" t="s">
        <v>928</v>
      </c>
      <c r="D432" s="68" t="s">
        <v>439</v>
      </c>
      <c r="E432" s="68" t="s">
        <v>439</v>
      </c>
      <c r="F432" s="68" t="s">
        <v>8</v>
      </c>
      <c r="G432" s="68" t="s">
        <v>2249</v>
      </c>
      <c r="H432" s="68" t="s">
        <v>912</v>
      </c>
      <c r="I432" s="68" t="s">
        <v>1008</v>
      </c>
      <c r="J432" s="69">
        <v>0.61699999999999999</v>
      </c>
      <c r="K432" s="69">
        <v>3.8967379973253502E-2</v>
      </c>
      <c r="L432" s="68"/>
      <c r="M432" s="68" t="s">
        <v>939</v>
      </c>
      <c r="N432" s="68" t="s">
        <v>916</v>
      </c>
      <c r="O432" s="68" t="str">
        <f t="shared" si="6"/>
        <v>CZ03_CZE Enterprise (BRA)</v>
      </c>
      <c r="P432" s="68" t="s">
        <v>2193</v>
      </c>
      <c r="Q432" s="68" t="s">
        <v>1810</v>
      </c>
      <c r="R432" s="68">
        <v>7</v>
      </c>
      <c r="S432" s="78"/>
      <c r="T432" s="68" t="s">
        <v>897</v>
      </c>
      <c r="U432" s="68">
        <v>13</v>
      </c>
      <c r="V432" s="72" t="s">
        <v>1958</v>
      </c>
      <c r="W432" s="72">
        <v>9</v>
      </c>
      <c r="X432" s="68"/>
      <c r="Y432" s="68" t="s">
        <v>1993</v>
      </c>
      <c r="Z432" s="68" t="s">
        <v>1986</v>
      </c>
      <c r="AA432" s="68" t="str">
        <f>IFERROR("Queue Got Merged in "&amp;VLOOKUP(A432,'CQNs Merged_Split'!$B$7:$D$103,3,FALSE),"")</f>
        <v/>
      </c>
      <c r="AB432" s="68" t="s">
        <v>2225</v>
      </c>
      <c r="AC432" s="68" t="s">
        <v>2236</v>
      </c>
    </row>
    <row r="433" spans="1:29" s="11" customFormat="1" ht="15" customHeight="1" collapsed="1" x14ac:dyDescent="0.3">
      <c r="A433" s="68" t="s">
        <v>279</v>
      </c>
      <c r="B433" s="68" t="s">
        <v>280</v>
      </c>
      <c r="C433" s="68" t="s">
        <v>928</v>
      </c>
      <c r="D433" s="68" t="s">
        <v>266</v>
      </c>
      <c r="E433" s="68" t="s">
        <v>266</v>
      </c>
      <c r="F433" s="68" t="s">
        <v>8</v>
      </c>
      <c r="G433" s="68" t="s">
        <v>2249</v>
      </c>
      <c r="H433" s="68" t="s">
        <v>912</v>
      </c>
      <c r="I433" s="68" t="s">
        <v>1008</v>
      </c>
      <c r="J433" s="69">
        <v>0.61699999999999999</v>
      </c>
      <c r="K433" s="69">
        <v>3.8967379973253502E-2</v>
      </c>
      <c r="L433" s="68"/>
      <c r="M433" s="68" t="s">
        <v>939</v>
      </c>
      <c r="N433" s="68" t="s">
        <v>916</v>
      </c>
      <c r="O433" s="68" t="str">
        <f t="shared" si="6"/>
        <v>DE09_GER Networking (HAL)</v>
      </c>
      <c r="P433" s="68" t="s">
        <v>2193</v>
      </c>
      <c r="Q433" s="68" t="s">
        <v>1810</v>
      </c>
      <c r="R433" s="68">
        <v>7</v>
      </c>
      <c r="S433" s="78"/>
      <c r="T433" s="68" t="s">
        <v>897</v>
      </c>
      <c r="U433" s="68">
        <v>13</v>
      </c>
      <c r="V433" s="72" t="s">
        <v>1958</v>
      </c>
      <c r="W433" s="72">
        <v>7</v>
      </c>
      <c r="X433" s="68"/>
      <c r="Y433" s="68" t="s">
        <v>2032</v>
      </c>
      <c r="Z433" s="68" t="s">
        <v>1986</v>
      </c>
      <c r="AA433" s="68" t="str">
        <f>IFERROR("Queue Got Merged in "&amp;VLOOKUP(A433,'CQNs Merged_Split'!$B$7:$D$103,3,FALSE),"")</f>
        <v/>
      </c>
      <c r="AB433" s="68" t="s">
        <v>2213</v>
      </c>
      <c r="AC433" s="68" t="s">
        <v>2236</v>
      </c>
    </row>
    <row r="434" spans="1:29" s="32" customFormat="1" ht="15" customHeight="1" collapsed="1" x14ac:dyDescent="0.3">
      <c r="A434" s="68" t="s">
        <v>622</v>
      </c>
      <c r="B434" s="68" t="s">
        <v>623</v>
      </c>
      <c r="C434" s="68" t="s">
        <v>973</v>
      </c>
      <c r="D434" s="68" t="s">
        <v>609</v>
      </c>
      <c r="E434" s="68" t="s">
        <v>609</v>
      </c>
      <c r="F434" s="68" t="s">
        <v>8</v>
      </c>
      <c r="G434" s="68" t="s">
        <v>2249</v>
      </c>
      <c r="H434" s="68" t="s">
        <v>912</v>
      </c>
      <c r="I434" s="68" t="s">
        <v>1009</v>
      </c>
      <c r="J434" s="69">
        <v>0.61699999999999999</v>
      </c>
      <c r="K434" s="69">
        <v>3.8967379973253502E-2</v>
      </c>
      <c r="L434" s="68"/>
      <c r="M434" s="68" t="s">
        <v>1007</v>
      </c>
      <c r="N434" s="68" t="s">
        <v>916</v>
      </c>
      <c r="O434" s="68" t="str">
        <f t="shared" si="6"/>
        <v>DE17_German Storage</v>
      </c>
      <c r="P434" s="68" t="s">
        <v>2196</v>
      </c>
      <c r="Q434" s="68" t="s">
        <v>2252</v>
      </c>
      <c r="R434" s="68">
        <v>8</v>
      </c>
      <c r="S434" s="78"/>
      <c r="T434" s="68" t="s">
        <v>897</v>
      </c>
      <c r="U434" s="68">
        <v>13</v>
      </c>
      <c r="V434" s="72" t="s">
        <v>1958</v>
      </c>
      <c r="W434" s="72">
        <v>13.666666666666666</v>
      </c>
      <c r="X434" s="68"/>
      <c r="Y434" s="68" t="s">
        <v>1993</v>
      </c>
      <c r="Z434" s="68" t="s">
        <v>1986</v>
      </c>
      <c r="AA434" s="68" t="str">
        <f>IFERROR("Queue Got Merged in "&amp;VLOOKUP(A434,'CQNs Merged_Split'!$B$7:$D$103,3,FALSE),"")</f>
        <v/>
      </c>
      <c r="AB434" s="68" t="s">
        <v>2213</v>
      </c>
      <c r="AC434" s="68" t="s">
        <v>2238</v>
      </c>
    </row>
    <row r="435" spans="1:29" s="11" customFormat="1" ht="15" customHeight="1" collapsed="1" x14ac:dyDescent="0.3">
      <c r="A435" s="68" t="s">
        <v>1887</v>
      </c>
      <c r="B435" s="68" t="s">
        <v>1888</v>
      </c>
      <c r="C435" s="68" t="s">
        <v>928</v>
      </c>
      <c r="D435" s="68" t="s">
        <v>439</v>
      </c>
      <c r="E435" s="68" t="s">
        <v>439</v>
      </c>
      <c r="F435" s="68" t="s">
        <v>8</v>
      </c>
      <c r="G435" s="68" t="s">
        <v>2249</v>
      </c>
      <c r="H435" s="68" t="s">
        <v>912</v>
      </c>
      <c r="I435" s="68" t="s">
        <v>1009</v>
      </c>
      <c r="J435" s="69">
        <v>0.61699999999999999</v>
      </c>
      <c r="K435" s="69">
        <v>5.3680981595092027E-3</v>
      </c>
      <c r="L435" s="68"/>
      <c r="M435" s="68"/>
      <c r="N435" s="68" t="s">
        <v>916</v>
      </c>
      <c r="O435" s="68" t="str">
        <f t="shared" si="6"/>
        <v>DE18_CER Server German</v>
      </c>
      <c r="P435" s="68" t="s">
        <v>2193</v>
      </c>
      <c r="Q435" s="68" t="s">
        <v>1810</v>
      </c>
      <c r="R435" s="68">
        <v>24</v>
      </c>
      <c r="S435" s="78"/>
      <c r="T435" s="68" t="s">
        <v>897</v>
      </c>
      <c r="U435" s="68">
        <v>13</v>
      </c>
      <c r="V435" s="72" t="s">
        <v>1958</v>
      </c>
      <c r="W435" s="72">
        <v>48</v>
      </c>
      <c r="X435" s="68"/>
      <c r="Y435" s="68"/>
      <c r="Z435" s="68"/>
      <c r="AA435" s="68" t="str">
        <f>IFERROR("Queue Got Merged in "&amp;VLOOKUP(A435,'CQNs Merged_Split'!$B$7:$D$103,3,FALSE),"")</f>
        <v/>
      </c>
      <c r="AB435" s="68" t="s">
        <v>2213</v>
      </c>
      <c r="AC435" s="68" t="s">
        <v>2236</v>
      </c>
    </row>
    <row r="436" spans="1:29" s="32" customFormat="1" ht="15" customHeight="1" collapsed="1" x14ac:dyDescent="0.3">
      <c r="A436" s="68" t="s">
        <v>489</v>
      </c>
      <c r="B436" s="68" t="s">
        <v>490</v>
      </c>
      <c r="C436" s="68" t="s">
        <v>928</v>
      </c>
      <c r="D436" s="68" t="s">
        <v>439</v>
      </c>
      <c r="E436" s="68" t="s">
        <v>439</v>
      </c>
      <c r="F436" s="68" t="s">
        <v>8</v>
      </c>
      <c r="G436" s="68" t="s">
        <v>2249</v>
      </c>
      <c r="H436" s="68" t="s">
        <v>912</v>
      </c>
      <c r="I436" s="68" t="s">
        <v>2153</v>
      </c>
      <c r="J436" s="69">
        <v>0.61699999999999999</v>
      </c>
      <c r="K436" s="69">
        <v>3.8967379973253502E-2</v>
      </c>
      <c r="L436" s="68"/>
      <c r="M436" s="68" t="s">
        <v>992</v>
      </c>
      <c r="N436" s="68" t="s">
        <v>916</v>
      </c>
      <c r="O436" s="68" t="str">
        <f t="shared" si="6"/>
        <v>EC03_EC GRE ProSupp Server (MTP)</v>
      </c>
      <c r="P436" s="68" t="s">
        <v>2193</v>
      </c>
      <c r="Q436" s="68" t="s">
        <v>1810</v>
      </c>
      <c r="R436" s="68">
        <v>4</v>
      </c>
      <c r="S436" s="78"/>
      <c r="T436" s="68" t="s">
        <v>897</v>
      </c>
      <c r="U436" s="68">
        <v>13</v>
      </c>
      <c r="V436" s="72" t="s">
        <v>1958</v>
      </c>
      <c r="W436" s="72">
        <v>4</v>
      </c>
      <c r="X436" s="68"/>
      <c r="Y436" s="68" t="s">
        <v>2036</v>
      </c>
      <c r="Z436" s="68" t="s">
        <v>1986</v>
      </c>
      <c r="AA436" s="68" t="str">
        <f>IFERROR("Queue Got Merged in "&amp;VLOOKUP(A436,'CQNs Merged_Split'!$B$7:$D$103,3,FALSE),"")</f>
        <v/>
      </c>
      <c r="AB436" s="68" t="s">
        <v>2226</v>
      </c>
      <c r="AC436" s="68" t="s">
        <v>2232</v>
      </c>
    </row>
    <row r="437" spans="1:29" ht="15" customHeight="1" collapsed="1" x14ac:dyDescent="0.3">
      <c r="A437" s="68" t="s">
        <v>495</v>
      </c>
      <c r="B437" s="68" t="s">
        <v>496</v>
      </c>
      <c r="C437" s="68" t="s">
        <v>928</v>
      </c>
      <c r="D437" s="68" t="s">
        <v>439</v>
      </c>
      <c r="E437" s="68" t="s">
        <v>439</v>
      </c>
      <c r="F437" s="68" t="s">
        <v>8</v>
      </c>
      <c r="G437" s="68" t="s">
        <v>2249</v>
      </c>
      <c r="H437" s="68" t="s">
        <v>912</v>
      </c>
      <c r="I437" s="68" t="s">
        <v>1008</v>
      </c>
      <c r="J437" s="69">
        <v>0.61699999999999999</v>
      </c>
      <c r="K437" s="69">
        <v>3.8967379973253502E-2</v>
      </c>
      <c r="L437" s="68"/>
      <c r="M437" s="68" t="s">
        <v>1014</v>
      </c>
      <c r="N437" s="68" t="s">
        <v>916</v>
      </c>
      <c r="O437" s="68" t="str">
        <f t="shared" si="6"/>
        <v>EC14_EC POL Enterprise (HAL)</v>
      </c>
      <c r="P437" s="68" t="s">
        <v>2193</v>
      </c>
      <c r="Q437" s="68" t="s">
        <v>1810</v>
      </c>
      <c r="R437" s="68">
        <v>4</v>
      </c>
      <c r="S437" s="78"/>
      <c r="T437" s="68" t="s">
        <v>897</v>
      </c>
      <c r="U437" s="68">
        <v>13</v>
      </c>
      <c r="V437" s="72" t="s">
        <v>1958</v>
      </c>
      <c r="W437" s="72">
        <v>12</v>
      </c>
      <c r="X437" s="68"/>
      <c r="Y437" s="68" t="s">
        <v>2027</v>
      </c>
      <c r="Z437" s="68" t="s">
        <v>1986</v>
      </c>
      <c r="AA437" s="68" t="str">
        <f>IFERROR("Queue Got Merged in "&amp;VLOOKUP(A437,'CQNs Merged_Split'!$B$7:$D$103,3,FALSE),"")</f>
        <v/>
      </c>
      <c r="AB437" s="68" t="s">
        <v>2227</v>
      </c>
      <c r="AC437" s="68" t="s">
        <v>2236</v>
      </c>
    </row>
    <row r="438" spans="1:29" ht="15" customHeight="1" collapsed="1" x14ac:dyDescent="0.3">
      <c r="A438" s="68" t="s">
        <v>503</v>
      </c>
      <c r="B438" s="68" t="s">
        <v>504</v>
      </c>
      <c r="C438" s="68" t="s">
        <v>928</v>
      </c>
      <c r="D438" s="68" t="s">
        <v>439</v>
      </c>
      <c r="E438" s="68" t="s">
        <v>439</v>
      </c>
      <c r="F438" s="68" t="s">
        <v>8</v>
      </c>
      <c r="G438" s="68" t="s">
        <v>2249</v>
      </c>
      <c r="H438" s="68" t="s">
        <v>912</v>
      </c>
      <c r="I438" s="68" t="s">
        <v>1008</v>
      </c>
      <c r="J438" s="69">
        <v>0.61699999999999999</v>
      </c>
      <c r="K438" s="69">
        <v>3.8967379973253502E-2</v>
      </c>
      <c r="L438" s="68"/>
      <c r="M438" s="68" t="s">
        <v>1014</v>
      </c>
      <c r="N438" s="68" t="s">
        <v>916</v>
      </c>
      <c r="O438" s="68" t="str">
        <f t="shared" si="6"/>
        <v>EC33_EC ProSupp Server Turkish (HAL)</v>
      </c>
      <c r="P438" s="68" t="s">
        <v>2193</v>
      </c>
      <c r="Q438" s="68" t="s">
        <v>1810</v>
      </c>
      <c r="R438" s="68">
        <v>4</v>
      </c>
      <c r="S438" s="78"/>
      <c r="T438" s="68" t="s">
        <v>897</v>
      </c>
      <c r="U438" s="68">
        <v>13</v>
      </c>
      <c r="V438" s="72" t="s">
        <v>1958</v>
      </c>
      <c r="W438" s="72">
        <v>7</v>
      </c>
      <c r="X438" s="68"/>
      <c r="Y438" s="68" t="s">
        <v>2034</v>
      </c>
      <c r="Z438" s="68" t="s">
        <v>1986</v>
      </c>
      <c r="AA438" s="68" t="str">
        <f>IFERROR("Queue Got Merged in "&amp;VLOOKUP(A438,'CQNs Merged_Split'!$B$7:$D$103,3,FALSE),"")</f>
        <v/>
      </c>
      <c r="AB438" s="68" t="s">
        <v>2228</v>
      </c>
      <c r="AC438" s="68" t="s">
        <v>2236</v>
      </c>
    </row>
    <row r="439" spans="1:29" ht="15" customHeight="1" collapsed="1" x14ac:dyDescent="0.3">
      <c r="A439" s="68" t="s">
        <v>281</v>
      </c>
      <c r="B439" s="68" t="s">
        <v>282</v>
      </c>
      <c r="C439" s="68" t="s">
        <v>928</v>
      </c>
      <c r="D439" s="68" t="s">
        <v>266</v>
      </c>
      <c r="E439" s="68" t="s">
        <v>266</v>
      </c>
      <c r="F439" s="68" t="s">
        <v>8</v>
      </c>
      <c r="G439" s="68" t="s">
        <v>2249</v>
      </c>
      <c r="H439" s="68" t="s">
        <v>912</v>
      </c>
      <c r="I439" s="68" t="s">
        <v>1026</v>
      </c>
      <c r="J439" s="69">
        <v>0.61699999999999999</v>
      </c>
      <c r="K439" s="69">
        <v>3.8967379973253502E-2</v>
      </c>
      <c r="L439" s="68"/>
      <c r="M439" s="68" t="s">
        <v>939</v>
      </c>
      <c r="N439" s="68" t="s">
        <v>916</v>
      </c>
      <c r="O439" s="68" t="str">
        <f t="shared" si="6"/>
        <v>FR07_FRA Networking (MTP)</v>
      </c>
      <c r="P439" s="68" t="s">
        <v>2193</v>
      </c>
      <c r="Q439" s="68" t="s">
        <v>1810</v>
      </c>
      <c r="R439" s="68">
        <v>7</v>
      </c>
      <c r="S439" s="78"/>
      <c r="T439" s="68" t="s">
        <v>897</v>
      </c>
      <c r="U439" s="68">
        <v>13</v>
      </c>
      <c r="V439" s="72" t="s">
        <v>1958</v>
      </c>
      <c r="W439" s="72">
        <v>7</v>
      </c>
      <c r="X439" s="68"/>
      <c r="Y439" s="68" t="s">
        <v>1996</v>
      </c>
      <c r="Z439" s="68" t="s">
        <v>1986</v>
      </c>
      <c r="AA439" s="68" t="str">
        <f>IFERROR("Queue Got Merged in "&amp;VLOOKUP(A439,'CQNs Merged_Split'!$B$7:$D$103,3,FALSE),"")</f>
        <v/>
      </c>
      <c r="AB439" s="68" t="s">
        <v>2215</v>
      </c>
      <c r="AC439" s="68" t="s">
        <v>2236</v>
      </c>
    </row>
    <row r="440" spans="1:29" ht="15" customHeight="1" collapsed="1" x14ac:dyDescent="0.3">
      <c r="A440" s="68" t="s">
        <v>632</v>
      </c>
      <c r="B440" s="68" t="s">
        <v>633</v>
      </c>
      <c r="C440" s="68" t="s">
        <v>973</v>
      </c>
      <c r="D440" s="68" t="s">
        <v>609</v>
      </c>
      <c r="E440" s="68" t="s">
        <v>609</v>
      </c>
      <c r="F440" s="68" t="s">
        <v>8</v>
      </c>
      <c r="G440" s="68" t="s">
        <v>2249</v>
      </c>
      <c r="H440" s="68" t="s">
        <v>912</v>
      </c>
      <c r="I440" s="68" t="s">
        <v>1026</v>
      </c>
      <c r="J440" s="69">
        <v>0.61699999999999999</v>
      </c>
      <c r="K440" s="69">
        <v>3.8967379973253502E-2</v>
      </c>
      <c r="L440" s="68"/>
      <c r="M440" s="68" t="s">
        <v>939</v>
      </c>
      <c r="N440" s="68" t="s">
        <v>916</v>
      </c>
      <c r="O440" s="68" t="str">
        <f t="shared" si="6"/>
        <v>FR27_France Storage</v>
      </c>
      <c r="P440" s="68" t="s">
        <v>2196</v>
      </c>
      <c r="Q440" s="68" t="s">
        <v>2252</v>
      </c>
      <c r="R440" s="68">
        <v>7</v>
      </c>
      <c r="S440" s="78"/>
      <c r="T440" s="68" t="s">
        <v>897</v>
      </c>
      <c r="U440" s="68">
        <v>13</v>
      </c>
      <c r="V440" s="72" t="s">
        <v>1958</v>
      </c>
      <c r="W440" s="72">
        <v>15</v>
      </c>
      <c r="X440" s="68"/>
      <c r="Y440" s="68" t="s">
        <v>1993</v>
      </c>
      <c r="Z440" s="68" t="s">
        <v>1986</v>
      </c>
      <c r="AA440" s="68" t="str">
        <f>IFERROR("Queue Got Merged in "&amp;VLOOKUP(A440,'CQNs Merged_Split'!$B$7:$D$103,3,FALSE),"")</f>
        <v/>
      </c>
      <c r="AB440" s="68" t="s">
        <v>2215</v>
      </c>
      <c r="AC440" s="68" t="s">
        <v>2238</v>
      </c>
    </row>
    <row r="441" spans="1:29" ht="15" customHeight="1" collapsed="1" x14ac:dyDescent="0.3">
      <c r="A441" s="68" t="s">
        <v>1951</v>
      </c>
      <c r="B441" s="68" t="s">
        <v>1952</v>
      </c>
      <c r="C441" s="68" t="s">
        <v>928</v>
      </c>
      <c r="D441" s="68" t="s">
        <v>439</v>
      </c>
      <c r="E441" s="68" t="s">
        <v>439</v>
      </c>
      <c r="F441" s="68" t="s">
        <v>8</v>
      </c>
      <c r="G441" s="68" t="s">
        <v>2249</v>
      </c>
      <c r="H441" s="68" t="s">
        <v>929</v>
      </c>
      <c r="I441" s="68" t="s">
        <v>929</v>
      </c>
      <c r="J441" s="69">
        <v>0.63300000000000001</v>
      </c>
      <c r="K441" s="69">
        <v>1.8670169726832081E-2</v>
      </c>
      <c r="L441" s="68"/>
      <c r="M441" s="68" t="s">
        <v>922</v>
      </c>
      <c r="N441" s="68" t="s">
        <v>916</v>
      </c>
      <c r="O441" s="68" t="str">
        <f t="shared" si="6"/>
        <v>GC21_Global Compute English</v>
      </c>
      <c r="P441" s="68" t="s">
        <v>2193</v>
      </c>
      <c r="Q441" s="68" t="s">
        <v>1810</v>
      </c>
      <c r="R441" s="68"/>
      <c r="S441" s="78"/>
      <c r="T441" s="68" t="s">
        <v>897</v>
      </c>
      <c r="U441" s="68"/>
      <c r="V441" s="72" t="s">
        <v>1958</v>
      </c>
      <c r="W441" s="72">
        <v>280.33333333333331</v>
      </c>
      <c r="X441" s="68" t="s">
        <v>1952</v>
      </c>
      <c r="Y441" s="68"/>
      <c r="Z441" s="68"/>
      <c r="AA441" s="68" t="str">
        <f>IFERROR("Queue Got Merged in "&amp;VLOOKUP(A441,'CQNs Merged_Split'!$B$7:$D$103,3,FALSE),"")</f>
        <v/>
      </c>
      <c r="AB441" s="68" t="s">
        <v>2208</v>
      </c>
      <c r="AC441" s="68" t="s">
        <v>2237</v>
      </c>
    </row>
    <row r="442" spans="1:29" ht="15" customHeight="1" collapsed="1" x14ac:dyDescent="0.3">
      <c r="A442" s="68" t="s">
        <v>1889</v>
      </c>
      <c r="B442" s="68" t="s">
        <v>1890</v>
      </c>
      <c r="C442" s="68" t="s">
        <v>973</v>
      </c>
      <c r="D442" s="68" t="s">
        <v>609</v>
      </c>
      <c r="E442" s="68" t="s">
        <v>609</v>
      </c>
      <c r="F442" s="68" t="s">
        <v>8</v>
      </c>
      <c r="G442" s="68" t="s">
        <v>2249</v>
      </c>
      <c r="H442" s="68" t="s">
        <v>929</v>
      </c>
      <c r="I442" s="68" t="s">
        <v>929</v>
      </c>
      <c r="J442" s="69">
        <v>0.63300000000000001</v>
      </c>
      <c r="K442" s="69">
        <v>5.8746736292428197E-3</v>
      </c>
      <c r="L442" s="68"/>
      <c r="M442" s="68">
        <v>45862</v>
      </c>
      <c r="N442" s="68" t="s">
        <v>916</v>
      </c>
      <c r="O442" s="68" t="str">
        <f t="shared" si="6"/>
        <v>GM01_Global Midrange</v>
      </c>
      <c r="P442" s="68" t="s">
        <v>2196</v>
      </c>
      <c r="Q442" s="68" t="s">
        <v>2252</v>
      </c>
      <c r="R442" s="68">
        <v>24</v>
      </c>
      <c r="S442" s="78"/>
      <c r="T442" s="68" t="s">
        <v>897</v>
      </c>
      <c r="U442" s="68">
        <v>13</v>
      </c>
      <c r="V442" s="72" t="s">
        <v>1958</v>
      </c>
      <c r="W442" s="72">
        <v>84.333333333333329</v>
      </c>
      <c r="X442" s="68"/>
      <c r="Y442" s="68"/>
      <c r="Z442" s="68"/>
      <c r="AA442" s="68" t="str">
        <f>IFERROR("Queue Got Merged in "&amp;VLOOKUP(A442,'CQNs Merged_Split'!$B$7:$D$103,3,FALSE),"")</f>
        <v/>
      </c>
      <c r="AB442" s="68" t="s">
        <v>2208</v>
      </c>
      <c r="AC442" s="68" t="s">
        <v>2240</v>
      </c>
    </row>
    <row r="443" spans="1:29" ht="15" customHeight="1" collapsed="1" x14ac:dyDescent="0.3">
      <c r="A443" s="68" t="s">
        <v>647</v>
      </c>
      <c r="B443" s="68" t="s">
        <v>646</v>
      </c>
      <c r="C443" s="68" t="s">
        <v>973</v>
      </c>
      <c r="D443" s="68" t="s">
        <v>609</v>
      </c>
      <c r="E443" s="68" t="s">
        <v>609</v>
      </c>
      <c r="F443" s="68" t="s">
        <v>8</v>
      </c>
      <c r="G443" s="68" t="s">
        <v>2249</v>
      </c>
      <c r="H443" s="68" t="s">
        <v>929</v>
      </c>
      <c r="I443" s="68" t="s">
        <v>929</v>
      </c>
      <c r="J443" s="69">
        <v>0.63300000000000001</v>
      </c>
      <c r="K443" s="69">
        <v>1.3047283718620831E-2</v>
      </c>
      <c r="L443" s="68"/>
      <c r="M443" s="68" t="s">
        <v>922</v>
      </c>
      <c r="N443" s="68" t="s">
        <v>916</v>
      </c>
      <c r="O443" s="68" t="str">
        <f t="shared" si="6"/>
        <v>GP01_Global Powerstore</v>
      </c>
      <c r="P443" s="68" t="s">
        <v>2196</v>
      </c>
      <c r="Q443" s="68" t="s">
        <v>2252</v>
      </c>
      <c r="R443" s="68">
        <v>24</v>
      </c>
      <c r="S443" s="78"/>
      <c r="T443" s="68" t="s">
        <v>897</v>
      </c>
      <c r="U443" s="68">
        <v>13</v>
      </c>
      <c r="V443" s="72" t="s">
        <v>1958</v>
      </c>
      <c r="W443" s="72">
        <v>110</v>
      </c>
      <c r="X443" s="68"/>
      <c r="Y443" s="68" t="s">
        <v>1971</v>
      </c>
      <c r="Z443" s="68" t="s">
        <v>1972</v>
      </c>
      <c r="AA443" s="68" t="str">
        <f>IFERROR("Queue Got Merged in "&amp;VLOOKUP(A443,'CQNs Merged_Split'!$B$7:$D$103,3,FALSE),"")</f>
        <v/>
      </c>
      <c r="AB443" s="68" t="s">
        <v>2210</v>
      </c>
      <c r="AC443" s="68" t="s">
        <v>2239</v>
      </c>
    </row>
    <row r="444" spans="1:29" ht="15" customHeight="1" collapsed="1" x14ac:dyDescent="0.3">
      <c r="A444" s="68" t="s">
        <v>2072</v>
      </c>
      <c r="B444" s="68" t="s">
        <v>2073</v>
      </c>
      <c r="C444" s="68" t="s">
        <v>928</v>
      </c>
      <c r="D444" s="68" t="s">
        <v>852</v>
      </c>
      <c r="E444" s="68" t="s">
        <v>5</v>
      </c>
      <c r="F444" s="68" t="s">
        <v>8</v>
      </c>
      <c r="G444" s="68" t="s">
        <v>2249</v>
      </c>
      <c r="H444" s="68" t="s">
        <v>912</v>
      </c>
      <c r="I444" s="68" t="s">
        <v>912</v>
      </c>
      <c r="J444" s="69">
        <v>0.61699999999999999</v>
      </c>
      <c r="K444" s="69">
        <v>3.8967379973253502E-2</v>
      </c>
      <c r="L444" s="68"/>
      <c r="M444" s="68" t="s">
        <v>939</v>
      </c>
      <c r="N444" s="68" t="s">
        <v>916</v>
      </c>
      <c r="O444" s="68" t="str">
        <f t="shared" si="6"/>
        <v>GS03_EMEA Solutions HCI FL</v>
      </c>
      <c r="P444" s="68" t="s">
        <v>2193</v>
      </c>
      <c r="Q444" s="68" t="s">
        <v>1810</v>
      </c>
      <c r="R444" s="68">
        <v>7</v>
      </c>
      <c r="S444" s="78"/>
      <c r="T444" s="68" t="s">
        <v>897</v>
      </c>
      <c r="U444" s="68">
        <v>13</v>
      </c>
      <c r="V444" s="72" t="s">
        <v>1958</v>
      </c>
      <c r="W444" s="72">
        <v>10</v>
      </c>
      <c r="X444" s="68"/>
      <c r="Y444" s="68" t="s">
        <v>1993</v>
      </c>
      <c r="Z444" s="68" t="s">
        <v>1986</v>
      </c>
      <c r="AA444" s="68" t="str">
        <f>IFERROR("Queue Got Merged in "&amp;VLOOKUP(A444,'CQNs Merged_Split'!$B$7:$D$103,3,FALSE),"")</f>
        <v/>
      </c>
      <c r="AB444" s="68" t="s">
        <v>2210</v>
      </c>
      <c r="AC444" s="68" t="s">
        <v>2238</v>
      </c>
    </row>
    <row r="445" spans="1:29" ht="15" customHeight="1" collapsed="1" x14ac:dyDescent="0.3">
      <c r="A445" s="68" t="s">
        <v>2074</v>
      </c>
      <c r="B445" s="68" t="s">
        <v>2075</v>
      </c>
      <c r="C445" s="68" t="s">
        <v>928</v>
      </c>
      <c r="D445" s="68" t="s">
        <v>852</v>
      </c>
      <c r="E445" s="68" t="s">
        <v>5</v>
      </c>
      <c r="F445" s="68" t="s">
        <v>8</v>
      </c>
      <c r="G445" s="68" t="s">
        <v>2249</v>
      </c>
      <c r="H445" s="68" t="s">
        <v>912</v>
      </c>
      <c r="I445" s="68" t="s">
        <v>912</v>
      </c>
      <c r="J445" s="69">
        <v>0.61699999999999999</v>
      </c>
      <c r="K445" s="69">
        <v>3.8967379973253502E-2</v>
      </c>
      <c r="L445" s="68"/>
      <c r="M445" s="68" t="s">
        <v>939</v>
      </c>
      <c r="N445" s="68" t="s">
        <v>916</v>
      </c>
      <c r="O445" s="68" t="str">
        <f t="shared" si="6"/>
        <v>GS04_EMEA Solutions MS FL</v>
      </c>
      <c r="P445" s="68" t="s">
        <v>2193</v>
      </c>
      <c r="Q445" s="68" t="s">
        <v>1810</v>
      </c>
      <c r="R445" s="68">
        <v>7</v>
      </c>
      <c r="S445" s="78"/>
      <c r="T445" s="68" t="s">
        <v>897</v>
      </c>
      <c r="U445" s="68">
        <v>13</v>
      </c>
      <c r="V445" s="72" t="s">
        <v>1958</v>
      </c>
      <c r="W445" s="72">
        <v>18</v>
      </c>
      <c r="X445" s="68"/>
      <c r="Y445" s="68" t="s">
        <v>2004</v>
      </c>
      <c r="Z445" s="68" t="s">
        <v>1986</v>
      </c>
      <c r="AA445" s="68" t="str">
        <f>IFERROR("Queue Got Merged in "&amp;VLOOKUP(A445,'CQNs Merged_Split'!$B$7:$D$103,3,FALSE),"")</f>
        <v/>
      </c>
      <c r="AB445" s="68" t="s">
        <v>2210</v>
      </c>
      <c r="AC445" s="68" t="s">
        <v>2238</v>
      </c>
    </row>
    <row r="446" spans="1:29" ht="15" customHeight="1" collapsed="1" x14ac:dyDescent="0.3">
      <c r="A446" s="68" t="s">
        <v>820</v>
      </c>
      <c r="B446" s="68" t="s">
        <v>821</v>
      </c>
      <c r="C446" s="68" t="s">
        <v>965</v>
      </c>
      <c r="D446" s="68" t="s">
        <v>865</v>
      </c>
      <c r="E446" s="68" t="s">
        <v>865</v>
      </c>
      <c r="F446" s="68" t="s">
        <v>8</v>
      </c>
      <c r="G446" s="68" t="s">
        <v>2251</v>
      </c>
      <c r="H446" s="68" t="s">
        <v>929</v>
      </c>
      <c r="I446" s="68" t="s">
        <v>929</v>
      </c>
      <c r="J446" s="69">
        <v>0.63300000000000001</v>
      </c>
      <c r="K446" s="69">
        <v>3.0237580993520519E-2</v>
      </c>
      <c r="L446" s="68"/>
      <c r="M446" s="68" t="s">
        <v>895</v>
      </c>
      <c r="N446" s="68" t="s">
        <v>916</v>
      </c>
      <c r="O446" s="68" t="str">
        <f t="shared" si="6"/>
        <v>GT06_Global Inbound Support Team</v>
      </c>
      <c r="P446" s="68" t="s">
        <v>2192</v>
      </c>
      <c r="Q446" s="68" t="s">
        <v>2253</v>
      </c>
      <c r="R446" s="68">
        <v>14</v>
      </c>
      <c r="S446" s="78"/>
      <c r="T446" s="68" t="s">
        <v>897</v>
      </c>
      <c r="U446" s="68">
        <v>13</v>
      </c>
      <c r="V446" s="72" t="s">
        <v>1958</v>
      </c>
      <c r="W446" s="72">
        <v>91.333333333333329</v>
      </c>
      <c r="X446" s="68"/>
      <c r="Y446" s="68" t="s">
        <v>1971</v>
      </c>
      <c r="Z446" s="68" t="s">
        <v>1972</v>
      </c>
      <c r="AA446" s="68" t="str">
        <f>IFERROR("Queue Got Merged in "&amp;VLOOKUP(A446,'CQNs Merged_Split'!$B$7:$D$103,3,FALSE),"")</f>
        <v/>
      </c>
      <c r="AB446" s="68" t="s">
        <v>2210</v>
      </c>
      <c r="AC446" s="68" t="s">
        <v>2239</v>
      </c>
    </row>
    <row r="447" spans="1:29" ht="15" customHeight="1" collapsed="1" x14ac:dyDescent="0.3">
      <c r="A447" s="68" t="s">
        <v>533</v>
      </c>
      <c r="B447" s="68" t="s">
        <v>534</v>
      </c>
      <c r="C447" s="68" t="s">
        <v>914</v>
      </c>
      <c r="D447" s="68" t="s">
        <v>439</v>
      </c>
      <c r="E447" s="68" t="s">
        <v>439</v>
      </c>
      <c r="F447" s="68" t="s">
        <v>8</v>
      </c>
      <c r="G447" s="68" t="s">
        <v>2249</v>
      </c>
      <c r="H447" s="68" t="s">
        <v>903</v>
      </c>
      <c r="I447" s="68" t="s">
        <v>1064</v>
      </c>
      <c r="J447" s="69">
        <v>0.629</v>
      </c>
      <c r="K447" s="69">
        <v>2.278539874447803E-2</v>
      </c>
      <c r="L447" s="68"/>
      <c r="M447" s="68" t="s">
        <v>1014</v>
      </c>
      <c r="N447" s="68" t="s">
        <v>916</v>
      </c>
      <c r="O447" s="68" t="str">
        <f t="shared" si="6"/>
        <v>ID06_Enterprise Pro/Core ID</v>
      </c>
      <c r="P447" s="68" t="s">
        <v>2197</v>
      </c>
      <c r="Q447" s="68" t="s">
        <v>1883</v>
      </c>
      <c r="R447" s="68">
        <v>4</v>
      </c>
      <c r="S447" s="78"/>
      <c r="T447" s="68" t="s">
        <v>897</v>
      </c>
      <c r="U447" s="68">
        <v>13</v>
      </c>
      <c r="V447" s="72" t="s">
        <v>1958</v>
      </c>
      <c r="W447" s="72">
        <v>5.333333333333333</v>
      </c>
      <c r="X447" s="68"/>
      <c r="Y447" s="68" t="s">
        <v>1971</v>
      </c>
      <c r="Z447" s="68" t="s">
        <v>1972</v>
      </c>
      <c r="AA447" s="68" t="str">
        <f>IFERROR("Queue Got Merged in "&amp;VLOOKUP(A447,'CQNs Merged_Split'!$B$7:$D$103,3,FALSE),"")</f>
        <v/>
      </c>
      <c r="AB447" s="68" t="s">
        <v>2230</v>
      </c>
      <c r="AC447" s="68" t="s">
        <v>2242</v>
      </c>
    </row>
    <row r="448" spans="1:29" ht="15" customHeight="1" collapsed="1" x14ac:dyDescent="0.3">
      <c r="A448" s="68" t="s">
        <v>648</v>
      </c>
      <c r="B448" s="68" t="s">
        <v>649</v>
      </c>
      <c r="C448" s="68" t="s">
        <v>973</v>
      </c>
      <c r="D448" s="68" t="s">
        <v>609</v>
      </c>
      <c r="E448" s="68" t="s">
        <v>609</v>
      </c>
      <c r="F448" s="68" t="s">
        <v>8</v>
      </c>
      <c r="G448" s="68" t="s">
        <v>2249</v>
      </c>
      <c r="H448" s="68" t="s">
        <v>903</v>
      </c>
      <c r="I448" s="68" t="s">
        <v>906</v>
      </c>
      <c r="J448" s="69">
        <v>0.629</v>
      </c>
      <c r="K448" s="69">
        <v>2.278539874447803E-2</v>
      </c>
      <c r="L448" s="68"/>
      <c r="M448" s="68" t="s">
        <v>931</v>
      </c>
      <c r="N448" s="68" t="s">
        <v>916</v>
      </c>
      <c r="O448" s="68" t="str">
        <f t="shared" si="6"/>
        <v>IN14_Storage IND</v>
      </c>
      <c r="P448" s="68" t="s">
        <v>2196</v>
      </c>
      <c r="Q448" s="68" t="s">
        <v>2252</v>
      </c>
      <c r="R448" s="68">
        <v>8</v>
      </c>
      <c r="S448" s="78"/>
      <c r="T448" s="68" t="s">
        <v>897</v>
      </c>
      <c r="U448" s="68">
        <v>13</v>
      </c>
      <c r="V448" s="72" t="s">
        <v>1958</v>
      </c>
      <c r="W448" s="72">
        <v>24</v>
      </c>
      <c r="X448" s="68"/>
      <c r="Y448" s="68" t="s">
        <v>1971</v>
      </c>
      <c r="Z448" s="68" t="s">
        <v>1972</v>
      </c>
      <c r="AA448" s="68" t="str">
        <f>IFERROR("Queue Got Merged in "&amp;VLOOKUP(A448,'CQNs Merged_Split'!$B$7:$D$103,3,FALSE),"")</f>
        <v/>
      </c>
      <c r="AB448" s="68" t="s">
        <v>2208</v>
      </c>
      <c r="AC448" s="68" t="s">
        <v>2234</v>
      </c>
    </row>
    <row r="449" spans="1:29" ht="15" customHeight="1" collapsed="1" x14ac:dyDescent="0.3">
      <c r="A449" s="68" t="s">
        <v>537</v>
      </c>
      <c r="B449" s="68" t="s">
        <v>538</v>
      </c>
      <c r="C449" s="68" t="s">
        <v>928</v>
      </c>
      <c r="D449" s="68" t="s">
        <v>439</v>
      </c>
      <c r="E449" s="68" t="s">
        <v>439</v>
      </c>
      <c r="F449" s="68" t="s">
        <v>8</v>
      </c>
      <c r="G449" s="68" t="s">
        <v>2249</v>
      </c>
      <c r="H449" s="68" t="s">
        <v>903</v>
      </c>
      <c r="I449" s="68" t="s">
        <v>906</v>
      </c>
      <c r="J449" s="69">
        <v>0.629</v>
      </c>
      <c r="K449" s="69">
        <v>2.278539874447803E-2</v>
      </c>
      <c r="L449" s="68"/>
      <c r="M449" s="68" t="s">
        <v>931</v>
      </c>
      <c r="N449" s="68" t="s">
        <v>916</v>
      </c>
      <c r="O449" s="68" t="str">
        <f t="shared" ref="O449:O512" si="7">A449&amp;"_"&amp;B449</f>
        <v>IN16_Server ProSupport IND</v>
      </c>
      <c r="P449" s="68" t="s">
        <v>2193</v>
      </c>
      <c r="Q449" s="68" t="s">
        <v>1810</v>
      </c>
      <c r="R449" s="68">
        <v>8</v>
      </c>
      <c r="S449" s="78"/>
      <c r="T449" s="68" t="s">
        <v>897</v>
      </c>
      <c r="U449" s="68">
        <v>13</v>
      </c>
      <c r="V449" s="72" t="s">
        <v>1958</v>
      </c>
      <c r="W449" s="72">
        <v>67</v>
      </c>
      <c r="X449" s="68"/>
      <c r="Y449" s="68" t="s">
        <v>1971</v>
      </c>
      <c r="Z449" s="68" t="s">
        <v>1972</v>
      </c>
      <c r="AA449" s="68" t="str">
        <f>IFERROR("Queue Got Merged in "&amp;VLOOKUP(A449,'CQNs Merged_Split'!$B$7:$D$103,3,FALSE),"")</f>
        <v/>
      </c>
      <c r="AB449" s="68" t="s">
        <v>2208</v>
      </c>
      <c r="AC449" s="68" t="s">
        <v>2234</v>
      </c>
    </row>
    <row r="450" spans="1:29" ht="15" customHeight="1" collapsed="1" x14ac:dyDescent="0.3">
      <c r="A450" s="68" t="s">
        <v>285</v>
      </c>
      <c r="B450" s="68" t="s">
        <v>286</v>
      </c>
      <c r="C450" s="68" t="s">
        <v>928</v>
      </c>
      <c r="D450" s="68" t="s">
        <v>266</v>
      </c>
      <c r="E450" s="68" t="s">
        <v>266</v>
      </c>
      <c r="F450" s="68" t="s">
        <v>8</v>
      </c>
      <c r="G450" s="68" t="s">
        <v>2249</v>
      </c>
      <c r="H450" s="68" t="s">
        <v>903</v>
      </c>
      <c r="I450" s="68" t="s">
        <v>906</v>
      </c>
      <c r="J450" s="69">
        <v>0.629</v>
      </c>
      <c r="K450" s="69">
        <v>2.278539874447803E-2</v>
      </c>
      <c r="L450" s="68"/>
      <c r="M450" s="68" t="s">
        <v>931</v>
      </c>
      <c r="N450" s="68" t="s">
        <v>916</v>
      </c>
      <c r="O450" s="68" t="str">
        <f t="shared" si="7"/>
        <v>INT1_Networking IND</v>
      </c>
      <c r="P450" s="68" t="s">
        <v>2193</v>
      </c>
      <c r="Q450" s="68" t="s">
        <v>1810</v>
      </c>
      <c r="R450" s="68">
        <v>8</v>
      </c>
      <c r="S450" s="78"/>
      <c r="T450" s="68" t="s">
        <v>897</v>
      </c>
      <c r="U450" s="68">
        <v>13</v>
      </c>
      <c r="V450" s="72" t="s">
        <v>1958</v>
      </c>
      <c r="W450" s="72">
        <v>11.333333333333334</v>
      </c>
      <c r="X450" s="68"/>
      <c r="Y450" s="68" t="s">
        <v>1971</v>
      </c>
      <c r="Z450" s="68" t="s">
        <v>1972</v>
      </c>
      <c r="AA450" s="68" t="str">
        <f>IFERROR("Queue Got Merged in "&amp;VLOOKUP(A450,'CQNs Merged_Split'!$B$7:$D$103,3,FALSE),"")</f>
        <v/>
      </c>
      <c r="AB450" s="68" t="s">
        <v>2208</v>
      </c>
      <c r="AC450" s="68" t="s">
        <v>2234</v>
      </c>
    </row>
    <row r="451" spans="1:29" ht="15" customHeight="1" collapsed="1" x14ac:dyDescent="0.3">
      <c r="A451" s="68" t="s">
        <v>543</v>
      </c>
      <c r="B451" s="68" t="s">
        <v>544</v>
      </c>
      <c r="C451" s="68" t="s">
        <v>914</v>
      </c>
      <c r="D451" s="68" t="s">
        <v>439</v>
      </c>
      <c r="E451" s="68" t="s">
        <v>439</v>
      </c>
      <c r="F451" s="68" t="s">
        <v>8</v>
      </c>
      <c r="G451" s="68" t="s">
        <v>2249</v>
      </c>
      <c r="H451" s="68" t="s">
        <v>903</v>
      </c>
      <c r="I451" s="68" t="s">
        <v>918</v>
      </c>
      <c r="J451" s="69">
        <v>0.629</v>
      </c>
      <c r="K451" s="69">
        <v>1.5018773466833543E-2</v>
      </c>
      <c r="L451" s="68"/>
      <c r="M451" s="68" t="s">
        <v>931</v>
      </c>
      <c r="N451" s="68" t="s">
        <v>916</v>
      </c>
      <c r="O451" s="68" t="str">
        <f t="shared" si="7"/>
        <v>JP24_Server Pro/Core Japan</v>
      </c>
      <c r="P451" s="68" t="s">
        <v>2197</v>
      </c>
      <c r="Q451" s="68" t="s">
        <v>1883</v>
      </c>
      <c r="R451" s="68">
        <v>8</v>
      </c>
      <c r="S451" s="78"/>
      <c r="T451" s="68" t="s">
        <v>897</v>
      </c>
      <c r="U451" s="68">
        <v>13</v>
      </c>
      <c r="V451" s="72" t="s">
        <v>1958</v>
      </c>
      <c r="W451" s="72">
        <v>55</v>
      </c>
      <c r="X451" s="68"/>
      <c r="Y451" s="68" t="s">
        <v>1971</v>
      </c>
      <c r="Z451" s="68" t="s">
        <v>1972</v>
      </c>
      <c r="AA451" s="68" t="str">
        <f>IFERROR("Queue Got Merged in "&amp;VLOOKUP(A451,'CQNs Merged_Split'!$B$7:$D$103,3,FALSE),"")</f>
        <v/>
      </c>
      <c r="AB451" s="68" t="s">
        <v>2217</v>
      </c>
      <c r="AC451" s="68" t="s">
        <v>2233</v>
      </c>
    </row>
    <row r="452" spans="1:29" ht="15" customHeight="1" collapsed="1" x14ac:dyDescent="0.3">
      <c r="A452" s="68" t="s">
        <v>650</v>
      </c>
      <c r="B452" s="68" t="s">
        <v>651</v>
      </c>
      <c r="C452" s="68" t="s">
        <v>914</v>
      </c>
      <c r="D452" s="68" t="s">
        <v>609</v>
      </c>
      <c r="E452" s="68" t="s">
        <v>609</v>
      </c>
      <c r="F452" s="68" t="s">
        <v>8</v>
      </c>
      <c r="G452" s="68" t="s">
        <v>2249</v>
      </c>
      <c r="H452" s="68" t="s">
        <v>903</v>
      </c>
      <c r="I452" s="68" t="s">
        <v>918</v>
      </c>
      <c r="J452" s="69">
        <v>0.629</v>
      </c>
      <c r="K452" s="69">
        <v>2.278539874447803E-2</v>
      </c>
      <c r="L452" s="68"/>
      <c r="M452" s="68" t="s">
        <v>931</v>
      </c>
      <c r="N452" s="68" t="s">
        <v>916</v>
      </c>
      <c r="O452" s="68" t="str">
        <f t="shared" si="7"/>
        <v>JP25_Storage Pro/Core Japan</v>
      </c>
      <c r="P452" s="68" t="s">
        <v>2197</v>
      </c>
      <c r="Q452" s="68" t="s">
        <v>1883</v>
      </c>
      <c r="R452" s="68">
        <v>8</v>
      </c>
      <c r="S452" s="78"/>
      <c r="T452" s="68" t="s">
        <v>897</v>
      </c>
      <c r="U452" s="68">
        <v>13</v>
      </c>
      <c r="V452" s="72" t="s">
        <v>1958</v>
      </c>
      <c r="W452" s="72">
        <v>14</v>
      </c>
      <c r="X452" s="68"/>
      <c r="Y452" s="68" t="s">
        <v>1971</v>
      </c>
      <c r="Z452" s="68" t="s">
        <v>1972</v>
      </c>
      <c r="AA452" s="68" t="str">
        <f>IFERROR("Queue Got Merged in "&amp;VLOOKUP(A452,'CQNs Merged_Split'!$B$7:$D$103,3,FALSE),"")</f>
        <v/>
      </c>
      <c r="AB452" s="68" t="s">
        <v>2217</v>
      </c>
      <c r="AC452" s="68" t="s">
        <v>2233</v>
      </c>
    </row>
    <row r="453" spans="1:29" ht="15" customHeight="1" collapsed="1" x14ac:dyDescent="0.3">
      <c r="A453" s="68" t="s">
        <v>545</v>
      </c>
      <c r="B453" s="68" t="s">
        <v>546</v>
      </c>
      <c r="C453" s="68" t="s">
        <v>914</v>
      </c>
      <c r="D453" s="68" t="s">
        <v>439</v>
      </c>
      <c r="E453" s="68" t="s">
        <v>439</v>
      </c>
      <c r="F453" s="68" t="s">
        <v>8</v>
      </c>
      <c r="G453" s="68" t="s">
        <v>2249</v>
      </c>
      <c r="H453" s="68" t="s">
        <v>903</v>
      </c>
      <c r="I453" s="68" t="s">
        <v>918</v>
      </c>
      <c r="J453" s="69">
        <v>0.629</v>
      </c>
      <c r="K453" s="69">
        <v>1.3856812933025403E-2</v>
      </c>
      <c r="L453" s="68"/>
      <c r="M453" s="68" t="s">
        <v>931</v>
      </c>
      <c r="N453" s="68" t="s">
        <v>916</v>
      </c>
      <c r="O453" s="68" t="str">
        <f t="shared" si="7"/>
        <v>JP26_Server ProSupport Plus Japan</v>
      </c>
      <c r="P453" s="68" t="s">
        <v>2197</v>
      </c>
      <c r="Q453" s="68" t="s">
        <v>1883</v>
      </c>
      <c r="R453" s="68">
        <v>8</v>
      </c>
      <c r="S453" s="78"/>
      <c r="T453" s="68" t="s">
        <v>897</v>
      </c>
      <c r="U453" s="68">
        <v>13</v>
      </c>
      <c r="V453" s="72" t="s">
        <v>1958</v>
      </c>
      <c r="W453" s="72">
        <v>35</v>
      </c>
      <c r="X453" s="68"/>
      <c r="Y453" s="68" t="s">
        <v>1971</v>
      </c>
      <c r="Z453" s="68" t="s">
        <v>1972</v>
      </c>
      <c r="AA453" s="68" t="str">
        <f>IFERROR("Queue Got Merged in "&amp;VLOOKUP(A453,'CQNs Merged_Split'!$B$7:$D$103,3,FALSE),"")</f>
        <v/>
      </c>
      <c r="AB453" s="68" t="s">
        <v>2217</v>
      </c>
      <c r="AC453" s="68" t="s">
        <v>2233</v>
      </c>
    </row>
    <row r="454" spans="1:29" ht="15" customHeight="1" collapsed="1" x14ac:dyDescent="0.3">
      <c r="A454" s="68" t="s">
        <v>287</v>
      </c>
      <c r="B454" s="68" t="s">
        <v>288</v>
      </c>
      <c r="C454" s="68" t="s">
        <v>914</v>
      </c>
      <c r="D454" s="68" t="s">
        <v>266</v>
      </c>
      <c r="E454" s="68" t="s">
        <v>266</v>
      </c>
      <c r="F454" s="68" t="s">
        <v>8</v>
      </c>
      <c r="G454" s="68" t="s">
        <v>2249</v>
      </c>
      <c r="H454" s="68" t="s">
        <v>903</v>
      </c>
      <c r="I454" s="68" t="s">
        <v>918</v>
      </c>
      <c r="J454" s="69">
        <v>0.629</v>
      </c>
      <c r="K454" s="69">
        <v>2.278539874447803E-2</v>
      </c>
      <c r="L454" s="68"/>
      <c r="M454" s="68" t="s">
        <v>931</v>
      </c>
      <c r="N454" s="68" t="s">
        <v>916</v>
      </c>
      <c r="O454" s="68" t="str">
        <f t="shared" si="7"/>
        <v>JP29_Networking Pro/Core Japan</v>
      </c>
      <c r="P454" s="68" t="s">
        <v>2197</v>
      </c>
      <c r="Q454" s="68" t="s">
        <v>1883</v>
      </c>
      <c r="R454" s="68">
        <v>8</v>
      </c>
      <c r="S454" s="78"/>
      <c r="T454" s="68" t="s">
        <v>897</v>
      </c>
      <c r="U454" s="68">
        <v>13</v>
      </c>
      <c r="V454" s="72" t="s">
        <v>1958</v>
      </c>
      <c r="W454" s="72">
        <v>8</v>
      </c>
      <c r="X454" s="68"/>
      <c r="Y454" s="68" t="s">
        <v>1971</v>
      </c>
      <c r="Z454" s="68" t="s">
        <v>1972</v>
      </c>
      <c r="AA454" s="68" t="str">
        <f>IFERROR("Queue Got Merged in "&amp;VLOOKUP(A454,'CQNs Merged_Split'!$B$7:$D$103,3,FALSE),"")</f>
        <v/>
      </c>
      <c r="AB454" s="68" t="s">
        <v>2217</v>
      </c>
      <c r="AC454" s="68" t="s">
        <v>2233</v>
      </c>
    </row>
    <row r="455" spans="1:29" ht="15" customHeight="1" collapsed="1" x14ac:dyDescent="0.3">
      <c r="A455" s="68" t="s">
        <v>652</v>
      </c>
      <c r="B455" s="68" t="s">
        <v>1965</v>
      </c>
      <c r="C455" s="68" t="s">
        <v>914</v>
      </c>
      <c r="D455" s="68" t="s">
        <v>609</v>
      </c>
      <c r="E455" s="68" t="s">
        <v>609</v>
      </c>
      <c r="F455" s="68" t="s">
        <v>8</v>
      </c>
      <c r="G455" s="68" t="s">
        <v>2249</v>
      </c>
      <c r="H455" s="68" t="s">
        <v>903</v>
      </c>
      <c r="I455" s="68" t="s">
        <v>1063</v>
      </c>
      <c r="J455" s="69">
        <v>0.629</v>
      </c>
      <c r="K455" s="69">
        <v>2.278539874447803E-2</v>
      </c>
      <c r="L455" s="68"/>
      <c r="M455" s="68" t="s">
        <v>931</v>
      </c>
      <c r="N455" s="68" t="s">
        <v>916</v>
      </c>
      <c r="O455" s="68" t="str">
        <f t="shared" si="7"/>
        <v>KR11_KOR Storage Upsell Korean</v>
      </c>
      <c r="P455" s="68" t="s">
        <v>2197</v>
      </c>
      <c r="Q455" s="68" t="s">
        <v>1883</v>
      </c>
      <c r="R455" s="68">
        <v>8</v>
      </c>
      <c r="S455" s="78"/>
      <c r="T455" s="68" t="s">
        <v>897</v>
      </c>
      <c r="U455" s="68">
        <v>13</v>
      </c>
      <c r="V455" s="72" t="s">
        <v>1958</v>
      </c>
      <c r="W455" s="72">
        <v>9</v>
      </c>
      <c r="X455" s="68"/>
      <c r="Y455" s="68" t="s">
        <v>1971</v>
      </c>
      <c r="Z455" s="68" t="s">
        <v>1972</v>
      </c>
      <c r="AA455" s="68" t="str">
        <f>IFERROR("Queue Got Merged in "&amp;VLOOKUP(A455,'CQNs Merged_Split'!$B$7:$D$103,3,FALSE),"")</f>
        <v/>
      </c>
      <c r="AB455" s="68" t="s">
        <v>2212</v>
      </c>
      <c r="AC455" s="68" t="s">
        <v>2234</v>
      </c>
    </row>
    <row r="456" spans="1:29" ht="15" customHeight="1" collapsed="1" x14ac:dyDescent="0.3">
      <c r="A456" s="77" t="s">
        <v>2170</v>
      </c>
      <c r="B456" s="68" t="s">
        <v>2169</v>
      </c>
      <c r="C456" s="68" t="s">
        <v>914</v>
      </c>
      <c r="D456" s="68" t="s">
        <v>439</v>
      </c>
      <c r="E456" s="68" t="s">
        <v>439</v>
      </c>
      <c r="F456" s="68" t="s">
        <v>8</v>
      </c>
      <c r="G456" s="68" t="s">
        <v>2249</v>
      </c>
      <c r="H456" s="68" t="s">
        <v>903</v>
      </c>
      <c r="I456" s="68" t="s">
        <v>1063</v>
      </c>
      <c r="J456" s="69">
        <v>0.629</v>
      </c>
      <c r="K456" s="69">
        <v>2.278539874447803E-2</v>
      </c>
      <c r="L456" s="68"/>
      <c r="M456" s="68">
        <v>0</v>
      </c>
      <c r="N456" s="68" t="s">
        <v>916</v>
      </c>
      <c r="O456" s="68" t="str">
        <f t="shared" si="7"/>
        <v>KR14_Korea CNS</v>
      </c>
      <c r="P456" s="68" t="s">
        <v>2197</v>
      </c>
      <c r="Q456" s="68" t="s">
        <v>1883</v>
      </c>
      <c r="R456" s="68">
        <v>3</v>
      </c>
      <c r="S456" s="78"/>
      <c r="T456" s="68" t="s">
        <v>897</v>
      </c>
      <c r="U456" s="68">
        <v>13</v>
      </c>
      <c r="V456" s="72" t="s">
        <v>1958</v>
      </c>
      <c r="W456" s="72">
        <v>19</v>
      </c>
      <c r="X456" s="68"/>
      <c r="Y456" s="68"/>
      <c r="Z456" s="68"/>
      <c r="AA456" s="68"/>
      <c r="AB456" s="68" t="s">
        <v>2212</v>
      </c>
      <c r="AC456" s="68" t="s">
        <v>2234</v>
      </c>
    </row>
    <row r="457" spans="1:29" ht="15" customHeight="1" collapsed="1" x14ac:dyDescent="0.3">
      <c r="A457" s="68" t="s">
        <v>551</v>
      </c>
      <c r="B457" s="68" t="s">
        <v>1867</v>
      </c>
      <c r="C457" s="75" t="s">
        <v>2165</v>
      </c>
      <c r="D457" s="68" t="s">
        <v>439</v>
      </c>
      <c r="E457" s="68" t="s">
        <v>439</v>
      </c>
      <c r="F457" s="68" t="s">
        <v>8</v>
      </c>
      <c r="G457" s="68" t="s">
        <v>2249</v>
      </c>
      <c r="H457" s="68" t="s">
        <v>935</v>
      </c>
      <c r="I457" s="68" t="s">
        <v>1076</v>
      </c>
      <c r="J457" s="69">
        <v>0.64100000000000001</v>
      </c>
      <c r="K457" s="69">
        <v>1.5604681404421327E-2</v>
      </c>
      <c r="L457" s="68"/>
      <c r="M457" s="68" t="s">
        <v>1073</v>
      </c>
      <c r="N457" s="68" t="s">
        <v>916</v>
      </c>
      <c r="O457" s="68" t="str">
        <f t="shared" si="7"/>
        <v>MR03_LATAM Compute Spanish</v>
      </c>
      <c r="P457" s="68" t="s">
        <v>2194</v>
      </c>
      <c r="Q457" s="68" t="s">
        <v>2252</v>
      </c>
      <c r="R457" s="68">
        <v>16</v>
      </c>
      <c r="S457" s="78"/>
      <c r="T457" s="68" t="s">
        <v>897</v>
      </c>
      <c r="U457" s="68">
        <v>13</v>
      </c>
      <c r="V457" s="72" t="s">
        <v>1958</v>
      </c>
      <c r="W457" s="72">
        <v>22</v>
      </c>
      <c r="X457" s="68"/>
      <c r="Y457" s="68" t="s">
        <v>2002</v>
      </c>
      <c r="Z457" s="68" t="s">
        <v>1974</v>
      </c>
      <c r="AA457" s="68" t="str">
        <f>IFERROR("Queue Got Merged in "&amp;VLOOKUP(A457,'CQNs Merged_Split'!$B$7:$D$103,3,FALSE),"")</f>
        <v/>
      </c>
      <c r="AB457" s="68" t="s">
        <v>2216</v>
      </c>
      <c r="AC457" s="68" t="s">
        <v>2235</v>
      </c>
    </row>
    <row r="458" spans="1:29" ht="15" customHeight="1" collapsed="1" x14ac:dyDescent="0.3">
      <c r="A458" s="68" t="s">
        <v>553</v>
      </c>
      <c r="B458" s="68" t="s">
        <v>554</v>
      </c>
      <c r="C458" s="68" t="s">
        <v>928</v>
      </c>
      <c r="D458" s="68" t="s">
        <v>439</v>
      </c>
      <c r="E458" s="68" t="s">
        <v>439</v>
      </c>
      <c r="F458" s="68" t="s">
        <v>8</v>
      </c>
      <c r="G458" s="68" t="s">
        <v>2249</v>
      </c>
      <c r="H458" s="68" t="s">
        <v>912</v>
      </c>
      <c r="I458" s="68" t="s">
        <v>938</v>
      </c>
      <c r="J458" s="69">
        <v>0.61699999999999999</v>
      </c>
      <c r="K458" s="69">
        <v>3.5714285714285712E-2</v>
      </c>
      <c r="L458" s="68"/>
      <c r="M458" s="68" t="s">
        <v>1007</v>
      </c>
      <c r="N458" s="68" t="s">
        <v>916</v>
      </c>
      <c r="O458" s="68" t="str">
        <f t="shared" si="7"/>
        <v>ND02_ENG ProSupp Nordics Server (CWD)</v>
      </c>
      <c r="P458" s="68" t="s">
        <v>2193</v>
      </c>
      <c r="Q458" s="68" t="s">
        <v>1810</v>
      </c>
      <c r="R458" s="68">
        <v>8</v>
      </c>
      <c r="S458" s="78"/>
      <c r="T458" s="68" t="s">
        <v>897</v>
      </c>
      <c r="U458" s="68">
        <v>13</v>
      </c>
      <c r="V458" s="72" t="s">
        <v>1958</v>
      </c>
      <c r="W458" s="72">
        <v>12</v>
      </c>
      <c r="X458" s="68"/>
      <c r="Y458" s="68" t="s">
        <v>2023</v>
      </c>
      <c r="Z458" s="68" t="s">
        <v>1986</v>
      </c>
      <c r="AA458" s="68" t="str">
        <f>IFERROR("Queue Got Merged in "&amp;VLOOKUP(A458,'CQNs Merged_Split'!$B$7:$D$103,3,FALSE),"")</f>
        <v/>
      </c>
      <c r="AB458" s="68" t="s">
        <v>1086</v>
      </c>
      <c r="AC458" s="68" t="s">
        <v>2236</v>
      </c>
    </row>
    <row r="459" spans="1:29" ht="15" customHeight="1" collapsed="1" x14ac:dyDescent="0.3">
      <c r="A459" s="68" t="s">
        <v>571</v>
      </c>
      <c r="B459" s="68" t="s">
        <v>572</v>
      </c>
      <c r="C459" s="68" t="s">
        <v>928</v>
      </c>
      <c r="D459" s="68" t="s">
        <v>439</v>
      </c>
      <c r="E459" s="68" t="s">
        <v>439</v>
      </c>
      <c r="F459" s="68" t="s">
        <v>8</v>
      </c>
      <c r="G459" s="68" t="s">
        <v>2249</v>
      </c>
      <c r="H459" s="68" t="s">
        <v>893</v>
      </c>
      <c r="I459" s="68" t="s">
        <v>894</v>
      </c>
      <c r="J459" s="69">
        <v>0.64800000000000002</v>
      </c>
      <c r="K459" s="69">
        <v>8.771929824561403E-3</v>
      </c>
      <c r="L459" s="68"/>
      <c r="M459" s="68" t="s">
        <v>931</v>
      </c>
      <c r="N459" s="68" t="s">
        <v>916</v>
      </c>
      <c r="O459" s="68" t="str">
        <f t="shared" si="7"/>
        <v>NE31_PS One</v>
      </c>
      <c r="P459" s="68" t="s">
        <v>2193</v>
      </c>
      <c r="Q459" s="68" t="s">
        <v>1810</v>
      </c>
      <c r="R459" s="68">
        <v>8</v>
      </c>
      <c r="S459" s="78"/>
      <c r="T459" s="68" t="s">
        <v>897</v>
      </c>
      <c r="U459" s="68">
        <v>13</v>
      </c>
      <c r="V459" s="72" t="s">
        <v>1958</v>
      </c>
      <c r="W459" s="72">
        <v>28</v>
      </c>
      <c r="X459" s="68"/>
      <c r="Y459" s="68" t="s">
        <v>1971</v>
      </c>
      <c r="Z459" s="68" t="s">
        <v>1972</v>
      </c>
      <c r="AA459" s="68" t="str">
        <f>IFERROR("Queue Got Merged in "&amp;VLOOKUP(A459,'CQNs Merged_Split'!$B$7:$D$103,3,FALSE),"")</f>
        <v/>
      </c>
      <c r="AB459" s="68" t="s">
        <v>2208</v>
      </c>
      <c r="AC459" s="68" t="s">
        <v>2239</v>
      </c>
    </row>
    <row r="460" spans="1:29" ht="15" customHeight="1" collapsed="1" x14ac:dyDescent="0.3">
      <c r="A460" s="68" t="s">
        <v>587</v>
      </c>
      <c r="B460" s="68" t="s">
        <v>1868</v>
      </c>
      <c r="C460" s="75" t="s">
        <v>2165</v>
      </c>
      <c r="D460" s="68" t="s">
        <v>440</v>
      </c>
      <c r="E460" s="68" t="s">
        <v>440</v>
      </c>
      <c r="F460" s="68" t="s">
        <v>8</v>
      </c>
      <c r="G460" s="68" t="s">
        <v>2249</v>
      </c>
      <c r="H460" s="68" t="s">
        <v>935</v>
      </c>
      <c r="I460" s="68" t="s">
        <v>1076</v>
      </c>
      <c r="J460" s="69">
        <v>0.64100000000000001</v>
      </c>
      <c r="K460" s="69">
        <v>1.5604681404421327E-2</v>
      </c>
      <c r="L460" s="68"/>
      <c r="M460" s="68" t="s">
        <v>931</v>
      </c>
      <c r="N460" s="68" t="s">
        <v>916</v>
      </c>
      <c r="O460" s="68" t="str">
        <f t="shared" si="7"/>
        <v>RAH1_LATAM AH Spanish</v>
      </c>
      <c r="P460" s="68" t="s">
        <v>2194</v>
      </c>
      <c r="Q460" s="68" t="s">
        <v>2252</v>
      </c>
      <c r="R460" s="68">
        <v>8</v>
      </c>
      <c r="S460" s="78"/>
      <c r="T460" s="68" t="s">
        <v>897</v>
      </c>
      <c r="U460" s="68">
        <v>13</v>
      </c>
      <c r="V460" s="72" t="s">
        <v>1958</v>
      </c>
      <c r="W460" s="72">
        <v>5</v>
      </c>
      <c r="X460" s="68"/>
      <c r="Y460" s="68" t="s">
        <v>2035</v>
      </c>
      <c r="Z460" s="68" t="s">
        <v>1974</v>
      </c>
      <c r="AA460" s="68" t="str">
        <f>IFERROR("Queue Got Merged in "&amp;VLOOKUP(A460,'CQNs Merged_Split'!$B$7:$D$103,3,FALSE),"")</f>
        <v/>
      </c>
      <c r="AB460" s="68" t="s">
        <v>2216</v>
      </c>
      <c r="AC460" s="68" t="s">
        <v>2240</v>
      </c>
    </row>
    <row r="461" spans="1:29" ht="15" customHeight="1" collapsed="1" x14ac:dyDescent="0.3">
      <c r="A461" s="68" t="s">
        <v>297</v>
      </c>
      <c r="B461" s="68" t="s">
        <v>1869</v>
      </c>
      <c r="C461" s="75" t="s">
        <v>2165</v>
      </c>
      <c r="D461" s="68" t="s">
        <v>266</v>
      </c>
      <c r="E461" s="68" t="s">
        <v>266</v>
      </c>
      <c r="F461" s="68" t="s">
        <v>8</v>
      </c>
      <c r="G461" s="68" t="s">
        <v>2249</v>
      </c>
      <c r="H461" s="68" t="s">
        <v>935</v>
      </c>
      <c r="I461" s="68" t="s">
        <v>1076</v>
      </c>
      <c r="J461" s="69">
        <v>0.64100000000000001</v>
      </c>
      <c r="K461" s="69">
        <v>1.5604681404421327E-2</v>
      </c>
      <c r="L461" s="68"/>
      <c r="M461" s="68" t="s">
        <v>1030</v>
      </c>
      <c r="N461" s="68" t="s">
        <v>916</v>
      </c>
      <c r="O461" s="68" t="str">
        <f t="shared" si="7"/>
        <v>RL16_LATAM Networking Spanish</v>
      </c>
      <c r="P461" s="68" t="s">
        <v>2194</v>
      </c>
      <c r="Q461" s="68" t="s">
        <v>2252</v>
      </c>
      <c r="R461" s="68">
        <v>8</v>
      </c>
      <c r="S461" s="78"/>
      <c r="T461" s="68" t="s">
        <v>897</v>
      </c>
      <c r="U461" s="68">
        <v>13</v>
      </c>
      <c r="V461" s="72" t="s">
        <v>1958</v>
      </c>
      <c r="W461" s="72">
        <v>8</v>
      </c>
      <c r="X461" s="68"/>
      <c r="Y461" s="68" t="s">
        <v>2002</v>
      </c>
      <c r="Z461" s="68" t="s">
        <v>1974</v>
      </c>
      <c r="AA461" s="68" t="str">
        <f>IFERROR("Queue Got Merged in "&amp;VLOOKUP(A461,'CQNs Merged_Split'!$B$7:$D$103,3,FALSE),"")</f>
        <v/>
      </c>
      <c r="AB461" s="68" t="s">
        <v>779</v>
      </c>
      <c r="AC461" s="68" t="s">
        <v>2235</v>
      </c>
    </row>
    <row r="462" spans="1:29" ht="15" customHeight="1" collapsed="1" x14ac:dyDescent="0.3">
      <c r="A462" s="68" t="s">
        <v>299</v>
      </c>
      <c r="B462" s="68" t="s">
        <v>300</v>
      </c>
      <c r="C462" s="68" t="s">
        <v>928</v>
      </c>
      <c r="D462" s="68" t="s">
        <v>266</v>
      </c>
      <c r="E462" s="68" t="s">
        <v>266</v>
      </c>
      <c r="F462" s="68" t="s">
        <v>8</v>
      </c>
      <c r="G462" s="68" t="s">
        <v>2249</v>
      </c>
      <c r="H462" s="68" t="s">
        <v>912</v>
      </c>
      <c r="I462" s="68" t="s">
        <v>1006</v>
      </c>
      <c r="J462" s="69">
        <v>0.61699999999999999</v>
      </c>
      <c r="K462" s="69">
        <v>3.8967379973253502E-2</v>
      </c>
      <c r="L462" s="68"/>
      <c r="M462" s="68" t="s">
        <v>939</v>
      </c>
      <c r="N462" s="68" t="s">
        <v>916</v>
      </c>
      <c r="O462" s="68" t="str">
        <f t="shared" si="7"/>
        <v>ROEN_ROE Networking (MULTI)</v>
      </c>
      <c r="P462" s="68" t="s">
        <v>2193</v>
      </c>
      <c r="Q462" s="68" t="s">
        <v>1810</v>
      </c>
      <c r="R462" s="68">
        <v>7</v>
      </c>
      <c r="S462" s="78"/>
      <c r="T462" s="68" t="s">
        <v>897</v>
      </c>
      <c r="U462" s="68">
        <v>13</v>
      </c>
      <c r="V462" s="72" t="s">
        <v>1958</v>
      </c>
      <c r="W462" s="72">
        <v>4</v>
      </c>
      <c r="X462" s="68"/>
      <c r="Y462" s="68" t="s">
        <v>1997</v>
      </c>
      <c r="Z462" s="68" t="s">
        <v>1986</v>
      </c>
      <c r="AA462" s="68" t="str">
        <f>IFERROR("Queue Got Merged in "&amp;VLOOKUP(A462,'CQNs Merged_Split'!$B$7:$D$103,3,FALSE),"")</f>
        <v/>
      </c>
      <c r="AB462" s="68" t="s">
        <v>2210</v>
      </c>
      <c r="AC462" s="68" t="s">
        <v>2236</v>
      </c>
    </row>
    <row r="463" spans="1:29" ht="15" customHeight="1" collapsed="1" x14ac:dyDescent="0.3">
      <c r="A463" s="68" t="s">
        <v>593</v>
      </c>
      <c r="B463" s="68" t="s">
        <v>1870</v>
      </c>
      <c r="C463" s="75" t="s">
        <v>2165</v>
      </c>
      <c r="D463" s="68" t="s">
        <v>440</v>
      </c>
      <c r="E463" s="68" t="s">
        <v>440</v>
      </c>
      <c r="F463" s="68" t="s">
        <v>8</v>
      </c>
      <c r="G463" s="68" t="s">
        <v>2249</v>
      </c>
      <c r="H463" s="68" t="s">
        <v>935</v>
      </c>
      <c r="I463" s="68" t="s">
        <v>1076</v>
      </c>
      <c r="J463" s="69">
        <v>0.64100000000000001</v>
      </c>
      <c r="K463" s="69">
        <v>1.5604681404421327E-2</v>
      </c>
      <c r="L463" s="68"/>
      <c r="M463" s="68" t="s">
        <v>931</v>
      </c>
      <c r="N463" s="68" t="s">
        <v>916</v>
      </c>
      <c r="O463" s="68" t="str">
        <f t="shared" si="7"/>
        <v>RTC1_LATAM Top Customers Spanish</v>
      </c>
      <c r="P463" s="68" t="s">
        <v>2194</v>
      </c>
      <c r="Q463" s="68" t="s">
        <v>2252</v>
      </c>
      <c r="R463" s="68">
        <v>8</v>
      </c>
      <c r="S463" s="78"/>
      <c r="T463" s="68" t="s">
        <v>897</v>
      </c>
      <c r="U463" s="68">
        <v>13</v>
      </c>
      <c r="V463" s="72" t="s">
        <v>1958</v>
      </c>
      <c r="W463" s="72">
        <v>7</v>
      </c>
      <c r="X463" s="68"/>
      <c r="Y463" s="68" t="s">
        <v>2010</v>
      </c>
      <c r="Z463" s="68" t="s">
        <v>1986</v>
      </c>
      <c r="AA463" s="68" t="str">
        <f>IFERROR("Queue Got Merged in "&amp;VLOOKUP(A463,'CQNs Merged_Split'!$B$7:$D$103,3,FALSE),"")</f>
        <v/>
      </c>
      <c r="AB463" s="68" t="s">
        <v>779</v>
      </c>
      <c r="AC463" s="68" t="s">
        <v>2235</v>
      </c>
    </row>
    <row r="464" spans="1:29" ht="15" customHeight="1" collapsed="1" x14ac:dyDescent="0.3">
      <c r="A464" s="68" t="s">
        <v>601</v>
      </c>
      <c r="B464" s="68" t="s">
        <v>602</v>
      </c>
      <c r="C464" s="68" t="s">
        <v>914</v>
      </c>
      <c r="D464" s="68" t="s">
        <v>439</v>
      </c>
      <c r="E464" s="68" t="s">
        <v>439</v>
      </c>
      <c r="F464" s="68" t="s">
        <v>8</v>
      </c>
      <c r="G464" s="68" t="s">
        <v>2249</v>
      </c>
      <c r="H464" s="68" t="s">
        <v>903</v>
      </c>
      <c r="I464" s="68" t="s">
        <v>1064</v>
      </c>
      <c r="J464" s="69">
        <v>0.629</v>
      </c>
      <c r="K464" s="69">
        <v>2.278539874447803E-2</v>
      </c>
      <c r="L464" s="68"/>
      <c r="M464" s="68" t="s">
        <v>931</v>
      </c>
      <c r="N464" s="68" t="s">
        <v>916</v>
      </c>
      <c r="O464" s="68" t="str">
        <f t="shared" si="7"/>
        <v>TH07_Enterprise Pro/Core TH</v>
      </c>
      <c r="P464" s="68" t="s">
        <v>2197</v>
      </c>
      <c r="Q464" s="68" t="s">
        <v>1883</v>
      </c>
      <c r="R464" s="68">
        <v>8</v>
      </c>
      <c r="S464" s="78"/>
      <c r="T464" s="68" t="s">
        <v>897</v>
      </c>
      <c r="U464" s="68">
        <v>13</v>
      </c>
      <c r="V464" s="72" t="s">
        <v>1958</v>
      </c>
      <c r="W464" s="72">
        <v>17</v>
      </c>
      <c r="X464" s="68"/>
      <c r="Y464" s="68" t="s">
        <v>1971</v>
      </c>
      <c r="Z464" s="68" t="s">
        <v>1972</v>
      </c>
      <c r="AA464" s="68" t="str">
        <f>IFERROR("Queue Got Merged in "&amp;VLOOKUP(A464,'CQNs Merged_Split'!$B$7:$D$103,3,FALSE),"")</f>
        <v/>
      </c>
      <c r="AB464" s="68" t="s">
        <v>2222</v>
      </c>
      <c r="AC464" s="68" t="s">
        <v>2242</v>
      </c>
    </row>
    <row r="465" spans="1:29" ht="15" customHeight="1" collapsed="1" x14ac:dyDescent="0.3">
      <c r="A465" s="68" t="s">
        <v>607</v>
      </c>
      <c r="B465" s="68" t="s">
        <v>608</v>
      </c>
      <c r="C465" s="68" t="s">
        <v>914</v>
      </c>
      <c r="D465" s="68" t="s">
        <v>439</v>
      </c>
      <c r="E465" s="68" t="s">
        <v>439</v>
      </c>
      <c r="F465" s="68" t="s">
        <v>8</v>
      </c>
      <c r="G465" s="68" t="s">
        <v>2249</v>
      </c>
      <c r="H465" s="68" t="s">
        <v>903</v>
      </c>
      <c r="I465" s="68" t="s">
        <v>1064</v>
      </c>
      <c r="J465" s="69">
        <v>0.629</v>
      </c>
      <c r="K465" s="69">
        <v>2.278539874447803E-2</v>
      </c>
      <c r="L465" s="68"/>
      <c r="M465" s="68" t="s">
        <v>931</v>
      </c>
      <c r="N465" s="68" t="s">
        <v>916</v>
      </c>
      <c r="O465" s="68" t="str">
        <f t="shared" si="7"/>
        <v>VN03_Enterprise Pro/Core VN</v>
      </c>
      <c r="P465" s="68" t="s">
        <v>2197</v>
      </c>
      <c r="Q465" s="68" t="s">
        <v>1883</v>
      </c>
      <c r="R465" s="68">
        <v>8</v>
      </c>
      <c r="S465" s="78"/>
      <c r="T465" s="68" t="s">
        <v>897</v>
      </c>
      <c r="U465" s="68">
        <v>13</v>
      </c>
      <c r="V465" s="72" t="s">
        <v>1958</v>
      </c>
      <c r="W465" s="72">
        <v>12</v>
      </c>
      <c r="X465" s="68"/>
      <c r="Y465" s="68" t="s">
        <v>1971</v>
      </c>
      <c r="Z465" s="68" t="s">
        <v>1972</v>
      </c>
      <c r="AA465" s="68" t="str">
        <f>IFERROR("Queue Got Merged in "&amp;VLOOKUP(A465,'CQNs Merged_Split'!$B$7:$D$103,3,FALSE),"")</f>
        <v/>
      </c>
      <c r="AB465" s="68" t="s">
        <v>2223</v>
      </c>
      <c r="AC465" s="68" t="s">
        <v>2242</v>
      </c>
    </row>
    <row r="466" spans="1:29" ht="15" customHeight="1" x14ac:dyDescent="0.3">
      <c r="A466" s="68" t="s">
        <v>674</v>
      </c>
      <c r="B466" s="68" t="s">
        <v>1896</v>
      </c>
      <c r="C466" s="68" t="s">
        <v>914</v>
      </c>
      <c r="D466" s="68" t="s">
        <v>672</v>
      </c>
      <c r="E466" s="68" t="s">
        <v>2203</v>
      </c>
      <c r="F466" s="68" t="s">
        <v>8</v>
      </c>
      <c r="G466" s="68" t="s">
        <v>2249</v>
      </c>
      <c r="H466" s="68" t="s">
        <v>903</v>
      </c>
      <c r="I466" s="68" t="s">
        <v>909</v>
      </c>
      <c r="J466" s="69">
        <v>0.629</v>
      </c>
      <c r="K466" s="69">
        <v>1.0676156583629894E-2</v>
      </c>
      <c r="L466" s="68"/>
      <c r="M466" s="68" t="s">
        <v>915</v>
      </c>
      <c r="N466" s="68" t="s">
        <v>916</v>
      </c>
      <c r="O466" s="68" t="str">
        <f t="shared" si="7"/>
        <v>AP10_APJ UDS PowerScale Chinese</v>
      </c>
      <c r="P466" s="68" t="s">
        <v>2197</v>
      </c>
      <c r="Q466" s="68" t="s">
        <v>1883</v>
      </c>
      <c r="R466" s="68">
        <v>9</v>
      </c>
      <c r="S466" s="78"/>
      <c r="T466" s="68" t="s">
        <v>905</v>
      </c>
      <c r="U466" s="68">
        <v>13</v>
      </c>
      <c r="V466" s="72" t="s">
        <v>1958</v>
      </c>
      <c r="W466" s="72">
        <v>18</v>
      </c>
      <c r="X466" s="68"/>
      <c r="Y466" s="68" t="s">
        <v>2047</v>
      </c>
      <c r="Z466" s="68" t="s">
        <v>1972</v>
      </c>
      <c r="AA466" s="68" t="str">
        <f>IFERROR("Queue Got Merged in "&amp;VLOOKUP(A466,'CQNs Merged_Split'!$B$7:$D$103,3,FALSE),"")</f>
        <v/>
      </c>
      <c r="AB466" s="68" t="s">
        <v>2211</v>
      </c>
      <c r="AC466" s="68" t="s">
        <v>2241</v>
      </c>
    </row>
    <row r="467" spans="1:29" ht="15" customHeight="1" collapsed="1" x14ac:dyDescent="0.3">
      <c r="A467" s="68" t="s">
        <v>676</v>
      </c>
      <c r="B467" s="68" t="s">
        <v>1897</v>
      </c>
      <c r="C467" s="68" t="s">
        <v>914</v>
      </c>
      <c r="D467" s="68" t="s">
        <v>672</v>
      </c>
      <c r="E467" s="68" t="s">
        <v>2203</v>
      </c>
      <c r="F467" s="68" t="s">
        <v>8</v>
      </c>
      <c r="G467" s="68" t="s">
        <v>2249</v>
      </c>
      <c r="H467" s="68" t="s">
        <v>903</v>
      </c>
      <c r="I467" s="68" t="s">
        <v>918</v>
      </c>
      <c r="J467" s="69">
        <v>0.629</v>
      </c>
      <c r="K467" s="69">
        <v>2.278539874447803E-2</v>
      </c>
      <c r="L467" s="68"/>
      <c r="M467" s="68" t="s">
        <v>919</v>
      </c>
      <c r="N467" s="68" t="s">
        <v>916</v>
      </c>
      <c r="O467" s="68" t="str">
        <f t="shared" si="7"/>
        <v>AP11_APJ UDS PowerScale Japanese</v>
      </c>
      <c r="P467" s="68" t="s">
        <v>2197</v>
      </c>
      <c r="Q467" s="68" t="s">
        <v>1883</v>
      </c>
      <c r="R467" s="68">
        <v>14</v>
      </c>
      <c r="S467" s="78"/>
      <c r="T467" s="68" t="s">
        <v>905</v>
      </c>
      <c r="U467" s="68">
        <v>13</v>
      </c>
      <c r="V467" s="72" t="s">
        <v>1958</v>
      </c>
      <c r="W467" s="72">
        <v>13</v>
      </c>
      <c r="X467" s="68"/>
      <c r="Y467" s="68" t="s">
        <v>2053</v>
      </c>
      <c r="Z467" s="68" t="s">
        <v>1972</v>
      </c>
      <c r="AA467" s="68" t="str">
        <f>IFERROR("Queue Got Merged in "&amp;VLOOKUP(A467,'CQNs Merged_Split'!$B$7:$D$103,3,FALSE),"")</f>
        <v/>
      </c>
      <c r="AB467" s="68" t="s">
        <v>2217</v>
      </c>
      <c r="AC467" s="68" t="s">
        <v>2233</v>
      </c>
    </row>
    <row r="468" spans="1:29" ht="15" customHeight="1" collapsed="1" x14ac:dyDescent="0.3">
      <c r="A468" s="68" t="s">
        <v>46</v>
      </c>
      <c r="B468" s="68" t="s">
        <v>47</v>
      </c>
      <c r="C468" s="68" t="s">
        <v>914</v>
      </c>
      <c r="D468" s="68" t="s">
        <v>44</v>
      </c>
      <c r="E468" s="68" t="s">
        <v>45</v>
      </c>
      <c r="F468" s="68" t="s">
        <v>8</v>
      </c>
      <c r="G468" s="68" t="s">
        <v>2249</v>
      </c>
      <c r="H468" s="68" t="s">
        <v>903</v>
      </c>
      <c r="I468" s="68" t="s">
        <v>909</v>
      </c>
      <c r="J468" s="69">
        <v>0.629</v>
      </c>
      <c r="K468" s="69">
        <v>2.278539874447803E-2</v>
      </c>
      <c r="L468" s="68"/>
      <c r="M468" s="68" t="s">
        <v>920</v>
      </c>
      <c r="N468" s="68" t="s">
        <v>916</v>
      </c>
      <c r="O468" s="68" t="str">
        <f t="shared" si="7"/>
        <v>AP12_APJ DPD AVAMAR Chinese</v>
      </c>
      <c r="P468" s="68" t="s">
        <v>2197</v>
      </c>
      <c r="Q468" s="68" t="s">
        <v>1883</v>
      </c>
      <c r="R468" s="68">
        <v>12</v>
      </c>
      <c r="S468" s="78"/>
      <c r="T468" s="68" t="s">
        <v>905</v>
      </c>
      <c r="U468" s="68">
        <v>13</v>
      </c>
      <c r="V468" s="72" t="s">
        <v>1958</v>
      </c>
      <c r="W468" s="72">
        <v>13</v>
      </c>
      <c r="X468" s="68"/>
      <c r="Y468" s="68" t="s">
        <v>2051</v>
      </c>
      <c r="Z468" s="68" t="s">
        <v>1972</v>
      </c>
      <c r="AA468" s="68" t="str">
        <f>IFERROR("Queue Got Merged in "&amp;VLOOKUP(A468,'CQNs Merged_Split'!$B$7:$D$103,3,FALSE),"")</f>
        <v/>
      </c>
      <c r="AB468" s="68" t="s">
        <v>2211</v>
      </c>
      <c r="AC468" s="68" t="s">
        <v>2241</v>
      </c>
    </row>
    <row r="469" spans="1:29" ht="15" customHeight="1" collapsed="1" x14ac:dyDescent="0.3">
      <c r="A469" s="68" t="s">
        <v>306</v>
      </c>
      <c r="B469" s="68" t="s">
        <v>307</v>
      </c>
      <c r="C469" s="68" t="s">
        <v>914</v>
      </c>
      <c r="D469" s="68" t="s">
        <v>301</v>
      </c>
      <c r="E469" s="68" t="s">
        <v>305</v>
      </c>
      <c r="F469" s="68" t="s">
        <v>8</v>
      </c>
      <c r="G469" s="68" t="s">
        <v>2249</v>
      </c>
      <c r="H469" s="68" t="s">
        <v>903</v>
      </c>
      <c r="I469" s="68" t="s">
        <v>909</v>
      </c>
      <c r="J469" s="69">
        <v>0.629</v>
      </c>
      <c r="K469" s="69">
        <v>2.278539874447803E-2</v>
      </c>
      <c r="L469" s="68"/>
      <c r="M469" s="68" t="s">
        <v>1816</v>
      </c>
      <c r="N469" s="68" t="s">
        <v>916</v>
      </c>
      <c r="O469" s="68" t="str">
        <f t="shared" si="7"/>
        <v>AP13_APJ HES Connectivity Chinese</v>
      </c>
      <c r="P469" s="68" t="s">
        <v>2197</v>
      </c>
      <c r="Q469" s="68" t="s">
        <v>1883</v>
      </c>
      <c r="R469" s="68">
        <v>10</v>
      </c>
      <c r="S469" s="78"/>
      <c r="T469" s="68" t="s">
        <v>905</v>
      </c>
      <c r="U469" s="68">
        <v>13</v>
      </c>
      <c r="V469" s="72" t="s">
        <v>1958</v>
      </c>
      <c r="W469" s="72">
        <v>7</v>
      </c>
      <c r="X469" s="68"/>
      <c r="Y469" s="68" t="s">
        <v>2064</v>
      </c>
      <c r="Z469" s="68" t="s">
        <v>1972</v>
      </c>
      <c r="AA469" s="68" t="str">
        <f>IFERROR("Queue Got Merged in "&amp;VLOOKUP(A469,'CQNs Merged_Split'!$B$7:$D$103,3,FALSE),"")</f>
        <v/>
      </c>
      <c r="AB469" s="68" t="s">
        <v>2211</v>
      </c>
      <c r="AC469" s="68" t="s">
        <v>2241</v>
      </c>
    </row>
    <row r="470" spans="1:29" ht="15" customHeight="1" collapsed="1" x14ac:dyDescent="0.3">
      <c r="A470" s="68" t="s">
        <v>72</v>
      </c>
      <c r="B470" s="68" t="s">
        <v>73</v>
      </c>
      <c r="C470" s="68" t="s">
        <v>914</v>
      </c>
      <c r="D470" s="68" t="s">
        <v>44</v>
      </c>
      <c r="E470" s="68" t="s">
        <v>71</v>
      </c>
      <c r="F470" s="68" t="s">
        <v>8</v>
      </c>
      <c r="G470" s="68" t="s">
        <v>2249</v>
      </c>
      <c r="H470" s="68" t="s">
        <v>903</v>
      </c>
      <c r="I470" s="68" t="s">
        <v>909</v>
      </c>
      <c r="J470" s="69">
        <v>0.629</v>
      </c>
      <c r="K470" s="69">
        <v>2.278539874447803E-2</v>
      </c>
      <c r="L470" s="68"/>
      <c r="M470" s="68" t="s">
        <v>921</v>
      </c>
      <c r="N470" s="68" t="s">
        <v>916</v>
      </c>
      <c r="O470" s="68" t="str">
        <f t="shared" si="7"/>
        <v>AP14_APJ DPD DataDomain Chinese</v>
      </c>
      <c r="P470" s="68" t="s">
        <v>2197</v>
      </c>
      <c r="Q470" s="68" t="s">
        <v>1883</v>
      </c>
      <c r="R470" s="68">
        <v>7</v>
      </c>
      <c r="S470" s="78"/>
      <c r="T470" s="68" t="s">
        <v>905</v>
      </c>
      <c r="U470" s="68">
        <v>13</v>
      </c>
      <c r="V470" s="72" t="s">
        <v>1958</v>
      </c>
      <c r="W470" s="72">
        <v>11</v>
      </c>
      <c r="X470" s="68"/>
      <c r="Y470" s="68" t="s">
        <v>2057</v>
      </c>
      <c r="Z470" s="68" t="s">
        <v>1972</v>
      </c>
      <c r="AA470" s="68" t="str">
        <f>IFERROR("Queue Got Merged in "&amp;VLOOKUP(A470,'CQNs Merged_Split'!$B$7:$D$103,3,FALSE),"")</f>
        <v/>
      </c>
      <c r="AB470" s="68" t="s">
        <v>2211</v>
      </c>
      <c r="AC470" s="68" t="s">
        <v>2241</v>
      </c>
    </row>
    <row r="471" spans="1:29" ht="15" customHeight="1" collapsed="1" x14ac:dyDescent="0.3">
      <c r="A471" s="68" t="s">
        <v>174</v>
      </c>
      <c r="B471" s="68" t="s">
        <v>175</v>
      </c>
      <c r="C471" s="68" t="s">
        <v>914</v>
      </c>
      <c r="D471" s="68" t="s">
        <v>158</v>
      </c>
      <c r="E471" s="68" t="s">
        <v>173</v>
      </c>
      <c r="F471" s="68" t="s">
        <v>8</v>
      </c>
      <c r="G471" s="68" t="s">
        <v>2249</v>
      </c>
      <c r="H471" s="68" t="s">
        <v>903</v>
      </c>
      <c r="I471" s="68" t="s">
        <v>909</v>
      </c>
      <c r="J471" s="69">
        <v>0.629</v>
      </c>
      <c r="K471" s="69">
        <v>2.278539874447803E-2</v>
      </c>
      <c r="L471" s="68"/>
      <c r="M471" s="68" t="s">
        <v>922</v>
      </c>
      <c r="N471" s="68" t="s">
        <v>916</v>
      </c>
      <c r="O471" s="68" t="str">
        <f t="shared" si="7"/>
        <v>AP15_HCS APJ VxRail Chinese</v>
      </c>
      <c r="P471" s="68" t="s">
        <v>2197</v>
      </c>
      <c r="Q471" s="68" t="s">
        <v>1883</v>
      </c>
      <c r="R471" s="68">
        <v>24</v>
      </c>
      <c r="S471" s="78"/>
      <c r="T471" s="68" t="s">
        <v>905</v>
      </c>
      <c r="U471" s="68">
        <v>13</v>
      </c>
      <c r="V471" s="72" t="s">
        <v>1958</v>
      </c>
      <c r="W471" s="72">
        <v>22</v>
      </c>
      <c r="X471" s="68"/>
      <c r="Y471" s="68" t="s">
        <v>2043</v>
      </c>
      <c r="Z471" s="68" t="s">
        <v>1972</v>
      </c>
      <c r="AA471" s="68" t="str">
        <f>IFERROR("Queue Got Merged in "&amp;VLOOKUP(A471,'CQNs Merged_Split'!$B$7:$D$103,3,FALSE),"")</f>
        <v/>
      </c>
      <c r="AB471" s="68" t="s">
        <v>2211</v>
      </c>
      <c r="AC471" s="68" t="s">
        <v>2241</v>
      </c>
    </row>
    <row r="472" spans="1:29" ht="15" customHeight="1" collapsed="1" x14ac:dyDescent="0.3">
      <c r="A472" s="68" t="s">
        <v>176</v>
      </c>
      <c r="B472" s="68" t="s">
        <v>177</v>
      </c>
      <c r="C472" s="68" t="s">
        <v>914</v>
      </c>
      <c r="D472" s="68" t="s">
        <v>158</v>
      </c>
      <c r="E472" s="68" t="s">
        <v>173</v>
      </c>
      <c r="F472" s="68" t="s">
        <v>8</v>
      </c>
      <c r="G472" s="68" t="s">
        <v>2249</v>
      </c>
      <c r="H472" s="68" t="s">
        <v>903</v>
      </c>
      <c r="I472" s="68" t="s">
        <v>918</v>
      </c>
      <c r="J472" s="69">
        <v>0.629</v>
      </c>
      <c r="K472" s="69">
        <v>0.04</v>
      </c>
      <c r="L472" s="68"/>
      <c r="M472" s="68" t="s">
        <v>922</v>
      </c>
      <c r="N472" s="68" t="s">
        <v>916</v>
      </c>
      <c r="O472" s="68" t="str">
        <f t="shared" si="7"/>
        <v>AP16_HCS APJ VxRail Japanese</v>
      </c>
      <c r="P472" s="68" t="s">
        <v>2197</v>
      </c>
      <c r="Q472" s="68" t="s">
        <v>1883</v>
      </c>
      <c r="R472" s="68">
        <v>15</v>
      </c>
      <c r="S472" s="78"/>
      <c r="T472" s="68" t="s">
        <v>905</v>
      </c>
      <c r="U472" s="68">
        <v>13</v>
      </c>
      <c r="V472" s="72" t="s">
        <v>1958</v>
      </c>
      <c r="W472" s="72">
        <v>16</v>
      </c>
      <c r="X472" s="68"/>
      <c r="Y472" s="68" t="s">
        <v>1971</v>
      </c>
      <c r="Z472" s="68" t="s">
        <v>1972</v>
      </c>
      <c r="AA472" s="68" t="str">
        <f>IFERROR("Queue Got Merged in "&amp;VLOOKUP(A472,'CQNs Merged_Split'!$B$7:$D$103,3,FALSE),"")</f>
        <v/>
      </c>
      <c r="AB472" s="68" t="s">
        <v>2217</v>
      </c>
      <c r="AC472" s="68" t="s">
        <v>2233</v>
      </c>
    </row>
    <row r="473" spans="1:29" ht="15" customHeight="1" collapsed="1" x14ac:dyDescent="0.3">
      <c r="A473" s="68" t="s">
        <v>335</v>
      </c>
      <c r="B473" s="68" t="s">
        <v>336</v>
      </c>
      <c r="C473" s="68" t="s">
        <v>914</v>
      </c>
      <c r="D473" s="68" t="s">
        <v>301</v>
      </c>
      <c r="E473" s="68" t="s">
        <v>334</v>
      </c>
      <c r="F473" s="68" t="s">
        <v>8</v>
      </c>
      <c r="G473" s="68" t="s">
        <v>2249</v>
      </c>
      <c r="H473" s="68" t="s">
        <v>903</v>
      </c>
      <c r="I473" s="68" t="s">
        <v>909</v>
      </c>
      <c r="J473" s="69">
        <v>0.629</v>
      </c>
      <c r="K473" s="69">
        <v>2.278539874447803E-2</v>
      </c>
      <c r="L473" s="68"/>
      <c r="M473" s="68" t="s">
        <v>923</v>
      </c>
      <c r="N473" s="68" t="s">
        <v>916</v>
      </c>
      <c r="O473" s="68" t="str">
        <f t="shared" si="7"/>
        <v>AP17_APJ HES Integrated_Software Chinese</v>
      </c>
      <c r="P473" s="68" t="s">
        <v>2197</v>
      </c>
      <c r="Q473" s="68" t="s">
        <v>1883</v>
      </c>
      <c r="R473" s="68">
        <v>6</v>
      </c>
      <c r="S473" s="78"/>
      <c r="T473" s="68" t="s">
        <v>905</v>
      </c>
      <c r="U473" s="68">
        <v>13</v>
      </c>
      <c r="V473" s="72" t="s">
        <v>1958</v>
      </c>
      <c r="W473" s="72">
        <v>6</v>
      </c>
      <c r="X473" s="68"/>
      <c r="Y473" s="68" t="s">
        <v>2065</v>
      </c>
      <c r="Z473" s="68" t="s">
        <v>1972</v>
      </c>
      <c r="AA473" s="68" t="str">
        <f>IFERROR("Queue Got Merged in "&amp;VLOOKUP(A473,'CQNs Merged_Split'!$B$7:$D$103,3,FALSE),"")</f>
        <v/>
      </c>
      <c r="AB473" s="68" t="s">
        <v>2211</v>
      </c>
      <c r="AC473" s="68" t="s">
        <v>2241</v>
      </c>
    </row>
    <row r="474" spans="1:29" ht="15" customHeight="1" collapsed="1" x14ac:dyDescent="0.3">
      <c r="A474" s="68" t="s">
        <v>110</v>
      </c>
      <c r="B474" s="68" t="s">
        <v>111</v>
      </c>
      <c r="C474" s="68" t="s">
        <v>914</v>
      </c>
      <c r="D474" s="68" t="s">
        <v>44</v>
      </c>
      <c r="E474" s="68" t="s">
        <v>109</v>
      </c>
      <c r="F474" s="68" t="s">
        <v>8</v>
      </c>
      <c r="G474" s="68" t="s">
        <v>2249</v>
      </c>
      <c r="H474" s="68" t="s">
        <v>903</v>
      </c>
      <c r="I474" s="68" t="s">
        <v>909</v>
      </c>
      <c r="J474" s="69">
        <v>0.629</v>
      </c>
      <c r="K474" s="69">
        <v>2.278539874447803E-2</v>
      </c>
      <c r="L474" s="68"/>
      <c r="M474" s="68" t="s">
        <v>921</v>
      </c>
      <c r="N474" s="68" t="s">
        <v>916</v>
      </c>
      <c r="O474" s="68" t="str">
        <f t="shared" si="7"/>
        <v>AP18_APJ DPD Networker Chinese</v>
      </c>
      <c r="P474" s="68" t="s">
        <v>2197</v>
      </c>
      <c r="Q474" s="68" t="s">
        <v>1883</v>
      </c>
      <c r="R474" s="68">
        <v>7</v>
      </c>
      <c r="S474" s="78"/>
      <c r="T474" s="68" t="s">
        <v>905</v>
      </c>
      <c r="U474" s="68">
        <v>13</v>
      </c>
      <c r="V474" s="72" t="s">
        <v>1958</v>
      </c>
      <c r="W474" s="72">
        <v>15</v>
      </c>
      <c r="X474" s="68"/>
      <c r="Y474" s="68" t="s">
        <v>2054</v>
      </c>
      <c r="Z474" s="68" t="s">
        <v>1972</v>
      </c>
      <c r="AA474" s="68" t="str">
        <f>IFERROR("Queue Got Merged in "&amp;VLOOKUP(A474,'CQNs Merged_Split'!$B$7:$D$103,3,FALSE),"")</f>
        <v/>
      </c>
      <c r="AB474" s="68" t="s">
        <v>2211</v>
      </c>
      <c r="AC474" s="68" t="s">
        <v>2241</v>
      </c>
    </row>
    <row r="475" spans="1:29" ht="15" customHeight="1" collapsed="1" x14ac:dyDescent="0.3">
      <c r="A475" s="68" t="s">
        <v>358</v>
      </c>
      <c r="B475" s="68" t="s">
        <v>359</v>
      </c>
      <c r="C475" s="68" t="s">
        <v>914</v>
      </c>
      <c r="D475" s="68" t="s">
        <v>301</v>
      </c>
      <c r="E475" s="68" t="s">
        <v>357</v>
      </c>
      <c r="F475" s="68" t="s">
        <v>8</v>
      </c>
      <c r="G475" s="68" t="s">
        <v>2249</v>
      </c>
      <c r="H475" s="68" t="s">
        <v>903</v>
      </c>
      <c r="I475" s="68" t="s">
        <v>909</v>
      </c>
      <c r="J475" s="69">
        <v>0.629</v>
      </c>
      <c r="K475" s="69">
        <v>2.278539874447803E-2</v>
      </c>
      <c r="L475" s="68"/>
      <c r="M475" s="68" t="s">
        <v>924</v>
      </c>
      <c r="N475" s="68" t="s">
        <v>916</v>
      </c>
      <c r="O475" s="68" t="str">
        <f t="shared" si="7"/>
        <v>AP19_APJ HES Symmetrix Chinese</v>
      </c>
      <c r="P475" s="68" t="s">
        <v>2197</v>
      </c>
      <c r="Q475" s="68" t="s">
        <v>1883</v>
      </c>
      <c r="R475" s="68">
        <v>12</v>
      </c>
      <c r="S475" s="78"/>
      <c r="T475" s="68" t="s">
        <v>905</v>
      </c>
      <c r="U475" s="68">
        <v>13</v>
      </c>
      <c r="V475" s="72" t="s">
        <v>1958</v>
      </c>
      <c r="W475" s="72">
        <v>10</v>
      </c>
      <c r="X475" s="68"/>
      <c r="Y475" s="68" t="s">
        <v>2058</v>
      </c>
      <c r="Z475" s="68" t="s">
        <v>1972</v>
      </c>
      <c r="AA475" s="68" t="str">
        <f>IFERROR("Queue Got Merged in "&amp;VLOOKUP(A475,'CQNs Merged_Split'!$B$7:$D$103,3,FALSE),"")</f>
        <v/>
      </c>
      <c r="AB475" s="68" t="s">
        <v>2211</v>
      </c>
      <c r="AC475" s="68" t="s">
        <v>2241</v>
      </c>
    </row>
    <row r="476" spans="1:29" ht="15" customHeight="1" collapsed="1" x14ac:dyDescent="0.3">
      <c r="A476" s="68" t="s">
        <v>360</v>
      </c>
      <c r="B476" s="68" t="s">
        <v>361</v>
      </c>
      <c r="C476" s="68" t="s">
        <v>914</v>
      </c>
      <c r="D476" s="68" t="s">
        <v>301</v>
      </c>
      <c r="E476" s="68" t="s">
        <v>357</v>
      </c>
      <c r="F476" s="68" t="s">
        <v>8</v>
      </c>
      <c r="G476" s="68" t="s">
        <v>2249</v>
      </c>
      <c r="H476" s="68" t="s">
        <v>903</v>
      </c>
      <c r="I476" s="68" t="s">
        <v>918</v>
      </c>
      <c r="J476" s="69">
        <v>0.629</v>
      </c>
      <c r="K476" s="69">
        <v>2.278539874447803E-2</v>
      </c>
      <c r="L476" s="68"/>
      <c r="M476" s="68" t="s">
        <v>925</v>
      </c>
      <c r="N476" s="68" t="s">
        <v>916</v>
      </c>
      <c r="O476" s="68" t="str">
        <f t="shared" si="7"/>
        <v>AP20_APJ HES Symmetrix Japanese</v>
      </c>
      <c r="P476" s="68" t="s">
        <v>2197</v>
      </c>
      <c r="Q476" s="68" t="s">
        <v>1883</v>
      </c>
      <c r="R476" s="68">
        <v>9</v>
      </c>
      <c r="S476" s="78"/>
      <c r="T476" s="68" t="s">
        <v>905</v>
      </c>
      <c r="U476" s="68">
        <v>13</v>
      </c>
      <c r="V476" s="72" t="s">
        <v>1958</v>
      </c>
      <c r="W476" s="72">
        <v>9</v>
      </c>
      <c r="X476" s="68"/>
      <c r="Y476" s="68" t="s">
        <v>2063</v>
      </c>
      <c r="Z476" s="68" t="s">
        <v>1972</v>
      </c>
      <c r="AA476" s="68" t="str">
        <f>IFERROR("Queue Got Merged in "&amp;VLOOKUP(A476,'CQNs Merged_Split'!$B$7:$D$103,3,FALSE),"")</f>
        <v/>
      </c>
      <c r="AB476" s="68" t="s">
        <v>2217</v>
      </c>
      <c r="AC476" s="68" t="s">
        <v>2233</v>
      </c>
    </row>
    <row r="477" spans="1:29" ht="15" customHeight="1" collapsed="1" x14ac:dyDescent="0.3">
      <c r="A477" s="68" t="s">
        <v>387</v>
      </c>
      <c r="B477" s="68" t="s">
        <v>388</v>
      </c>
      <c r="C477" s="68" t="s">
        <v>914</v>
      </c>
      <c r="D477" s="68" t="s">
        <v>301</v>
      </c>
      <c r="E477" s="68" t="s">
        <v>386</v>
      </c>
      <c r="F477" s="68" t="s">
        <v>8</v>
      </c>
      <c r="G477" s="68" t="s">
        <v>2249</v>
      </c>
      <c r="H477" s="68" t="s">
        <v>903</v>
      </c>
      <c r="I477" s="68" t="s">
        <v>909</v>
      </c>
      <c r="J477" s="69">
        <v>0.629</v>
      </c>
      <c r="K477" s="69">
        <v>2.278539874447803E-2</v>
      </c>
      <c r="L477" s="68"/>
      <c r="M477" s="68" t="s">
        <v>925</v>
      </c>
      <c r="N477" s="68" t="s">
        <v>916</v>
      </c>
      <c r="O477" s="68" t="str">
        <f t="shared" si="7"/>
        <v>AP21_APJ HES SymmSW Chinese</v>
      </c>
      <c r="P477" s="68" t="s">
        <v>2197</v>
      </c>
      <c r="Q477" s="68" t="s">
        <v>1883</v>
      </c>
      <c r="R477" s="68">
        <v>4</v>
      </c>
      <c r="S477" s="78"/>
      <c r="T477" s="68" t="s">
        <v>905</v>
      </c>
      <c r="U477" s="68">
        <v>13</v>
      </c>
      <c r="V477" s="72" t="s">
        <v>1958</v>
      </c>
      <c r="W477" s="72">
        <v>2</v>
      </c>
      <c r="X477" s="68"/>
      <c r="Y477" s="68" t="s">
        <v>2065</v>
      </c>
      <c r="Z477" s="68" t="s">
        <v>1972</v>
      </c>
      <c r="AA477" s="68" t="str">
        <f>IFERROR("Queue Got Merged in "&amp;VLOOKUP(A477,'CQNs Merged_Split'!$B$7:$D$103,3,FALSE),"")</f>
        <v/>
      </c>
      <c r="AB477" s="68" t="s">
        <v>2211</v>
      </c>
      <c r="AC477" s="68" t="s">
        <v>2241</v>
      </c>
    </row>
    <row r="478" spans="1:29" ht="15" customHeight="1" collapsed="1" x14ac:dyDescent="0.3">
      <c r="A478" s="68" t="s">
        <v>230</v>
      </c>
      <c r="B478" s="68" t="s">
        <v>231</v>
      </c>
      <c r="C478" s="68" t="s">
        <v>914</v>
      </c>
      <c r="D478" s="68" t="s">
        <v>229</v>
      </c>
      <c r="E478" s="68" t="s">
        <v>229</v>
      </c>
      <c r="F478" s="68" t="s">
        <v>8</v>
      </c>
      <c r="G478" s="68" t="s">
        <v>2249</v>
      </c>
      <c r="H478" s="68" t="s">
        <v>903</v>
      </c>
      <c r="I478" s="68" t="s">
        <v>909</v>
      </c>
      <c r="J478" s="69">
        <v>0.629</v>
      </c>
      <c r="K478" s="69">
        <v>6.9767441860465115E-3</v>
      </c>
      <c r="L478" s="68"/>
      <c r="M478" s="68" t="s">
        <v>922</v>
      </c>
      <c r="N478" s="68" t="s">
        <v>916</v>
      </c>
      <c r="O478" s="68" t="str">
        <f t="shared" si="7"/>
        <v>AP22_APJ HES MIDRANGE Chinese</v>
      </c>
      <c r="P478" s="68" t="s">
        <v>2197</v>
      </c>
      <c r="Q478" s="68" t="s">
        <v>1883</v>
      </c>
      <c r="R478" s="68">
        <v>24</v>
      </c>
      <c r="S478" s="78"/>
      <c r="T478" s="68" t="s">
        <v>905</v>
      </c>
      <c r="U478" s="68">
        <v>13</v>
      </c>
      <c r="V478" s="72" t="s">
        <v>1958</v>
      </c>
      <c r="W478" s="72">
        <v>22</v>
      </c>
      <c r="X478" s="68"/>
      <c r="Y478" s="68" t="s">
        <v>2044</v>
      </c>
      <c r="Z478" s="68" t="s">
        <v>1972</v>
      </c>
      <c r="AA478" s="68" t="str">
        <f>IFERROR("Queue Got Merged in "&amp;VLOOKUP(A478,'CQNs Merged_Split'!$B$7:$D$103,3,FALSE),"")</f>
        <v/>
      </c>
      <c r="AB478" s="68" t="s">
        <v>2211</v>
      </c>
      <c r="AC478" s="68" t="s">
        <v>2241</v>
      </c>
    </row>
    <row r="479" spans="1:29" ht="15" customHeight="1" collapsed="1" x14ac:dyDescent="0.3">
      <c r="A479" s="68" t="s">
        <v>232</v>
      </c>
      <c r="B479" s="68" t="s">
        <v>233</v>
      </c>
      <c r="C479" s="68" t="s">
        <v>914</v>
      </c>
      <c r="D479" s="68" t="s">
        <v>229</v>
      </c>
      <c r="E479" s="68" t="s">
        <v>229</v>
      </c>
      <c r="F479" s="68" t="s">
        <v>8</v>
      </c>
      <c r="G479" s="68" t="s">
        <v>2249</v>
      </c>
      <c r="H479" s="68" t="s">
        <v>903</v>
      </c>
      <c r="I479" s="68" t="s">
        <v>918</v>
      </c>
      <c r="J479" s="69">
        <v>0.629</v>
      </c>
      <c r="K479" s="69">
        <v>1.4851485148514853E-2</v>
      </c>
      <c r="L479" s="68"/>
      <c r="M479" s="68" t="s">
        <v>922</v>
      </c>
      <c r="N479" s="68" t="s">
        <v>916</v>
      </c>
      <c r="O479" s="68" t="str">
        <f t="shared" si="7"/>
        <v>AP23_APJ HES MIDRANGE Japanese</v>
      </c>
      <c r="P479" s="68" t="s">
        <v>2197</v>
      </c>
      <c r="Q479" s="68" t="s">
        <v>1883</v>
      </c>
      <c r="R479" s="68">
        <v>18</v>
      </c>
      <c r="S479" s="78"/>
      <c r="T479" s="68" t="s">
        <v>905</v>
      </c>
      <c r="U479" s="68">
        <v>13</v>
      </c>
      <c r="V479" s="72" t="s">
        <v>1958</v>
      </c>
      <c r="W479" s="72">
        <v>17</v>
      </c>
      <c r="X479" s="68"/>
      <c r="Y479" s="68" t="s">
        <v>1971</v>
      </c>
      <c r="Z479" s="68" t="s">
        <v>1972</v>
      </c>
      <c r="AA479" s="68" t="s">
        <v>2149</v>
      </c>
      <c r="AB479" s="68" t="s">
        <v>2217</v>
      </c>
      <c r="AC479" s="68" t="s">
        <v>2233</v>
      </c>
    </row>
    <row r="480" spans="1:29" ht="15" customHeight="1" collapsed="1" x14ac:dyDescent="0.3">
      <c r="A480" s="68" t="s">
        <v>404</v>
      </c>
      <c r="B480" s="68" t="s">
        <v>405</v>
      </c>
      <c r="C480" s="68" t="s">
        <v>914</v>
      </c>
      <c r="D480" s="68" t="s">
        <v>301</v>
      </c>
      <c r="E480" s="68" t="s">
        <v>403</v>
      </c>
      <c r="F480" s="68" t="s">
        <v>8</v>
      </c>
      <c r="G480" s="68" t="s">
        <v>2249</v>
      </c>
      <c r="H480" s="68" t="s">
        <v>903</v>
      </c>
      <c r="I480" s="68" t="s">
        <v>909</v>
      </c>
      <c r="J480" s="69">
        <v>0.629</v>
      </c>
      <c r="K480" s="69">
        <v>2.278539874447803E-2</v>
      </c>
      <c r="L480" s="68"/>
      <c r="M480" s="68" t="s">
        <v>920</v>
      </c>
      <c r="N480" s="68" t="s">
        <v>916</v>
      </c>
      <c r="O480" s="68" t="str">
        <f t="shared" si="7"/>
        <v>AP24_APJ HES Vplex Chinese</v>
      </c>
      <c r="P480" s="68" t="s">
        <v>2197</v>
      </c>
      <c r="Q480" s="68" t="s">
        <v>1883</v>
      </c>
      <c r="R480" s="73">
        <v>6</v>
      </c>
      <c r="S480" s="78"/>
      <c r="T480" s="68" t="s">
        <v>905</v>
      </c>
      <c r="U480" s="68">
        <v>13</v>
      </c>
      <c r="V480" s="72" t="s">
        <v>1958</v>
      </c>
      <c r="W480" s="72">
        <v>5</v>
      </c>
      <c r="X480" s="68"/>
      <c r="Y480" s="68" t="s">
        <v>2065</v>
      </c>
      <c r="Z480" s="68" t="s">
        <v>1972</v>
      </c>
      <c r="AA480" s="68" t="str">
        <f>IFERROR("Queue Got Merged in "&amp;VLOOKUP(A480,'CQNs Merged_Split'!$B$7:$D$103,3,FALSE),"")</f>
        <v/>
      </c>
      <c r="AB480" s="68" t="s">
        <v>2211</v>
      </c>
      <c r="AC480" s="68" t="s">
        <v>2241</v>
      </c>
    </row>
    <row r="481" spans="1:29" ht="15" customHeight="1" collapsed="1" x14ac:dyDescent="0.3">
      <c r="A481" s="68" t="s">
        <v>2083</v>
      </c>
      <c r="B481" s="68" t="s">
        <v>2084</v>
      </c>
      <c r="C481" s="68" t="s">
        <v>973</v>
      </c>
      <c r="D481" s="68" t="s">
        <v>229</v>
      </c>
      <c r="E481" s="68" t="s">
        <v>229</v>
      </c>
      <c r="F481" s="68" t="str">
        <f>F465</f>
        <v>Y</v>
      </c>
      <c r="G481" s="68" t="s">
        <v>2250</v>
      </c>
      <c r="H481" s="68" t="s">
        <v>929</v>
      </c>
      <c r="I481" s="68" t="s">
        <v>929</v>
      </c>
      <c r="J481" s="69">
        <v>0.63300000000000001</v>
      </c>
      <c r="K481" s="69">
        <v>1.8670169726832081E-2</v>
      </c>
      <c r="L481" s="68"/>
      <c r="M481" s="68" t="s">
        <v>922</v>
      </c>
      <c r="N481" s="68" t="s">
        <v>1882</v>
      </c>
      <c r="O481" s="68" t="str">
        <f t="shared" si="7"/>
        <v>BL17_GLOBAL HES MIDRANGE Backline</v>
      </c>
      <c r="P481" s="68" t="s">
        <v>2196</v>
      </c>
      <c r="Q481" s="68" t="s">
        <v>2252</v>
      </c>
      <c r="R481" s="68">
        <v>24</v>
      </c>
      <c r="S481" s="78"/>
      <c r="T481" s="68" t="s">
        <v>905</v>
      </c>
      <c r="U481" s="68">
        <v>13</v>
      </c>
      <c r="V481" s="72" t="s">
        <v>1958</v>
      </c>
      <c r="W481" s="72">
        <v>55</v>
      </c>
      <c r="X481" s="68" t="s">
        <v>2084</v>
      </c>
      <c r="Y481" s="68"/>
      <c r="Z481" s="68" t="s">
        <v>1972</v>
      </c>
      <c r="AA481" s="68"/>
      <c r="AB481" s="68" t="s">
        <v>2208</v>
      </c>
      <c r="AC481" s="68" t="s">
        <v>2236</v>
      </c>
    </row>
    <row r="482" spans="1:29" ht="15" customHeight="1" collapsed="1" x14ac:dyDescent="0.3">
      <c r="A482" s="68" t="s">
        <v>178</v>
      </c>
      <c r="B482" s="68" t="s">
        <v>179</v>
      </c>
      <c r="C482" s="75" t="s">
        <v>2165</v>
      </c>
      <c r="D482" s="68" t="s">
        <v>158</v>
      </c>
      <c r="E482" s="68" t="s">
        <v>173</v>
      </c>
      <c r="F482" s="68" t="s">
        <v>8</v>
      </c>
      <c r="G482" s="68" t="s">
        <v>2249</v>
      </c>
      <c r="H482" s="68" t="s">
        <v>935</v>
      </c>
      <c r="I482" s="68" t="s">
        <v>936</v>
      </c>
      <c r="J482" s="69">
        <v>0.57099999999999995</v>
      </c>
      <c r="K482" s="69">
        <v>1.5604681404421327E-2</v>
      </c>
      <c r="L482" s="68"/>
      <c r="M482" s="68">
        <v>0</v>
      </c>
      <c r="N482" s="68" t="s">
        <v>916</v>
      </c>
      <c r="O482" s="68" t="str">
        <f t="shared" si="7"/>
        <v>BZ22_HCS LATAM BRZ VxRail</v>
      </c>
      <c r="P482" s="68" t="s">
        <v>2194</v>
      </c>
      <c r="Q482" s="68" t="s">
        <v>2252</v>
      </c>
      <c r="R482" s="68">
        <v>14</v>
      </c>
      <c r="S482" s="78"/>
      <c r="T482" s="68" t="s">
        <v>905</v>
      </c>
      <c r="U482" s="68">
        <v>13</v>
      </c>
      <c r="V482" s="72" t="s">
        <v>1958</v>
      </c>
      <c r="W482" s="72">
        <v>14</v>
      </c>
      <c r="X482" s="68"/>
      <c r="Y482" s="68" t="s">
        <v>2049</v>
      </c>
      <c r="Z482" s="68" t="s">
        <v>1974</v>
      </c>
      <c r="AA482" s="68" t="str">
        <f>IFERROR("Queue Got Merged in "&amp;VLOOKUP(A482,'CQNs Merged_Split'!$B$7:$D$103,3,FALSE),"")</f>
        <v/>
      </c>
      <c r="AB482" s="68" t="s">
        <v>2209</v>
      </c>
      <c r="AC482" s="68" t="s">
        <v>2235</v>
      </c>
    </row>
    <row r="483" spans="1:29" ht="15" customHeight="1" collapsed="1" x14ac:dyDescent="0.3">
      <c r="A483" s="68" t="s">
        <v>958</v>
      </c>
      <c r="B483" s="68" t="s">
        <v>959</v>
      </c>
      <c r="C483" s="68" t="s">
        <v>914</v>
      </c>
      <c r="D483" s="68" t="s">
        <v>952</v>
      </c>
      <c r="E483" s="68" t="s">
        <v>960</v>
      </c>
      <c r="F483" s="68" t="s">
        <v>900</v>
      </c>
      <c r="G483" s="68" t="s">
        <v>1881</v>
      </c>
      <c r="H483" s="68" t="s">
        <v>903</v>
      </c>
      <c r="I483" s="68" t="s">
        <v>909</v>
      </c>
      <c r="J483" s="69">
        <v>0.63900000000000001</v>
      </c>
      <c r="K483" s="69"/>
      <c r="L483" s="68"/>
      <c r="M483" s="68" t="s">
        <v>895</v>
      </c>
      <c r="N483" s="68"/>
      <c r="O483" s="68" t="str">
        <f t="shared" si="7"/>
        <v>CSS1_APJ HES CST Chinese</v>
      </c>
      <c r="P483" s="68" t="s">
        <v>2197</v>
      </c>
      <c r="Q483" s="68" t="s">
        <v>1883</v>
      </c>
      <c r="R483" s="68">
        <v>14</v>
      </c>
      <c r="S483" s="78"/>
      <c r="T483" s="68" t="s">
        <v>905</v>
      </c>
      <c r="U483" s="68">
        <v>13</v>
      </c>
      <c r="V483" s="72" t="s">
        <v>1958</v>
      </c>
      <c r="W483" s="72">
        <v>22</v>
      </c>
      <c r="X483" s="68"/>
      <c r="Y483" s="68" t="e">
        <v>#N/A</v>
      </c>
      <c r="Z483" s="68" t="e">
        <v>#N/A</v>
      </c>
      <c r="AA483" s="68"/>
      <c r="AB483" s="68" t="s">
        <v>2211</v>
      </c>
      <c r="AC483" s="68" t="s">
        <v>2244</v>
      </c>
    </row>
    <row r="484" spans="1:29" ht="15" customHeight="1" collapsed="1" x14ac:dyDescent="0.3">
      <c r="A484" s="68" t="s">
        <v>471</v>
      </c>
      <c r="B484" s="68" t="s">
        <v>472</v>
      </c>
      <c r="C484" s="68" t="s">
        <v>928</v>
      </c>
      <c r="D484" s="68" t="s">
        <v>439</v>
      </c>
      <c r="E484" s="68" t="s">
        <v>439</v>
      </c>
      <c r="F484" s="68" t="s">
        <v>8</v>
      </c>
      <c r="G484" s="68" t="s">
        <v>2250</v>
      </c>
      <c r="H484" s="68" t="s">
        <v>929</v>
      </c>
      <c r="I484" s="68" t="s">
        <v>929</v>
      </c>
      <c r="J484" s="69">
        <v>0.63300000000000001</v>
      </c>
      <c r="K484" s="69">
        <v>4.3827611395178961E-3</v>
      </c>
      <c r="L484" s="68"/>
      <c r="M484" s="68" t="s">
        <v>895</v>
      </c>
      <c r="N484" s="68" t="s">
        <v>1882</v>
      </c>
      <c r="O484" s="68" t="str">
        <f t="shared" si="7"/>
        <v>CT25_Global Compute Hardware</v>
      </c>
      <c r="P484" s="68" t="s">
        <v>2193</v>
      </c>
      <c r="Q484" s="68" t="s">
        <v>1810</v>
      </c>
      <c r="R484" s="68">
        <v>14</v>
      </c>
      <c r="S484" s="78"/>
      <c r="T484" s="72" t="s">
        <v>905</v>
      </c>
      <c r="U484" s="68">
        <v>13</v>
      </c>
      <c r="V484" s="72" t="s">
        <v>1958</v>
      </c>
      <c r="W484" s="72">
        <v>100</v>
      </c>
      <c r="X484" s="68" t="s">
        <v>2147</v>
      </c>
      <c r="Y484" s="68" t="s">
        <v>1790</v>
      </c>
      <c r="Z484" s="68" t="s">
        <v>1790</v>
      </c>
      <c r="AA484" s="68"/>
      <c r="AB484" s="68" t="s">
        <v>2208</v>
      </c>
      <c r="AC484" s="68" t="s">
        <v>2243</v>
      </c>
    </row>
    <row r="485" spans="1:29" ht="15" customHeight="1" collapsed="1" x14ac:dyDescent="0.3">
      <c r="A485" s="68" t="s">
        <v>234</v>
      </c>
      <c r="B485" s="68" t="s">
        <v>2087</v>
      </c>
      <c r="C485" s="68" t="s">
        <v>973</v>
      </c>
      <c r="D485" s="68" t="s">
        <v>229</v>
      </c>
      <c r="E485" s="68" t="s">
        <v>229</v>
      </c>
      <c r="F485" s="68" t="s">
        <v>8</v>
      </c>
      <c r="G485" s="68" t="s">
        <v>2250</v>
      </c>
      <c r="H485" s="68" t="s">
        <v>929</v>
      </c>
      <c r="I485" s="68" t="s">
        <v>929</v>
      </c>
      <c r="J485" s="69">
        <v>0.63300000000000001</v>
      </c>
      <c r="K485" s="69">
        <v>6.7873303167420825E-3</v>
      </c>
      <c r="L485" s="68"/>
      <c r="M485" s="68" t="s">
        <v>922</v>
      </c>
      <c r="N485" s="68" t="s">
        <v>1882</v>
      </c>
      <c r="O485" s="68" t="str">
        <f t="shared" si="7"/>
        <v>CT26_Global ESG Midrange Backline</v>
      </c>
      <c r="P485" s="68" t="s">
        <v>2196</v>
      </c>
      <c r="Q485" s="68" t="s">
        <v>2252</v>
      </c>
      <c r="R485" s="68">
        <v>24</v>
      </c>
      <c r="S485" s="78"/>
      <c r="T485" s="68" t="s">
        <v>905</v>
      </c>
      <c r="U485" s="68">
        <v>13</v>
      </c>
      <c r="V485" s="72" t="s">
        <v>1958</v>
      </c>
      <c r="W485" s="72">
        <v>104</v>
      </c>
      <c r="X485" s="68"/>
      <c r="Y485" s="68" t="s">
        <v>1971</v>
      </c>
      <c r="Z485" s="68" t="s">
        <v>1972</v>
      </c>
      <c r="AA485" s="68"/>
      <c r="AB485" s="68" t="s">
        <v>2208</v>
      </c>
      <c r="AC485" s="68" t="s">
        <v>2242</v>
      </c>
    </row>
    <row r="486" spans="1:29" ht="15" customHeight="1" collapsed="1" x14ac:dyDescent="0.3">
      <c r="A486" s="68" t="s">
        <v>277</v>
      </c>
      <c r="B486" s="68" t="s">
        <v>278</v>
      </c>
      <c r="C486" s="68" t="s">
        <v>928</v>
      </c>
      <c r="D486" s="68" t="s">
        <v>266</v>
      </c>
      <c r="E486" s="68" t="s">
        <v>266</v>
      </c>
      <c r="F486" s="68" t="s">
        <v>8</v>
      </c>
      <c r="G486" s="68" t="s">
        <v>2250</v>
      </c>
      <c r="H486" s="68" t="s">
        <v>929</v>
      </c>
      <c r="I486" s="68" t="s">
        <v>929</v>
      </c>
      <c r="J486" s="69">
        <v>0.63300000000000001</v>
      </c>
      <c r="K486" s="69">
        <v>9.8253275109170309E-3</v>
      </c>
      <c r="L486" s="68"/>
      <c r="M486" s="68" t="s">
        <v>895</v>
      </c>
      <c r="N486" s="68" t="s">
        <v>1882</v>
      </c>
      <c r="O486" s="68" t="str">
        <f t="shared" si="7"/>
        <v>CT30_Global Networking</v>
      </c>
      <c r="P486" s="68" t="s">
        <v>2193</v>
      </c>
      <c r="Q486" s="68" t="s">
        <v>1810</v>
      </c>
      <c r="R486" s="68">
        <v>14</v>
      </c>
      <c r="S486" s="78"/>
      <c r="T486" s="72" t="s">
        <v>905</v>
      </c>
      <c r="U486" s="68">
        <v>13</v>
      </c>
      <c r="V486" s="72" t="s">
        <v>1958</v>
      </c>
      <c r="W486" s="72">
        <v>63</v>
      </c>
      <c r="X486" s="68" t="s">
        <v>2147</v>
      </c>
      <c r="Y486" s="68" t="s">
        <v>1790</v>
      </c>
      <c r="Z486" s="68" t="s">
        <v>1790</v>
      </c>
      <c r="AA486" s="68"/>
      <c r="AB486" s="68" t="s">
        <v>2208</v>
      </c>
      <c r="AC486" s="68" t="s">
        <v>2234</v>
      </c>
    </row>
    <row r="487" spans="1:29" ht="15" customHeight="1" collapsed="1" x14ac:dyDescent="0.3">
      <c r="A487" s="68" t="s">
        <v>437</v>
      </c>
      <c r="B487" s="68" t="s">
        <v>438</v>
      </c>
      <c r="C487" s="68" t="s">
        <v>965</v>
      </c>
      <c r="D487" s="68" t="s">
        <v>436</v>
      </c>
      <c r="E487" s="68" t="s">
        <v>436</v>
      </c>
      <c r="F487" s="68" t="s">
        <v>8</v>
      </c>
      <c r="G487" s="68" t="s">
        <v>2250</v>
      </c>
      <c r="H487" s="68" t="s">
        <v>929</v>
      </c>
      <c r="I487" s="68" t="s">
        <v>929</v>
      </c>
      <c r="J487" s="69">
        <v>0.63300000000000001</v>
      </c>
      <c r="K487" s="69">
        <v>1.016949152542373E-2</v>
      </c>
      <c r="L487" s="68"/>
      <c r="M487" s="68" t="s">
        <v>895</v>
      </c>
      <c r="N487" s="68" t="s">
        <v>916</v>
      </c>
      <c r="O487" s="68" t="str">
        <f t="shared" si="7"/>
        <v>CT67_RPS Remote Proactive Services</v>
      </c>
      <c r="P487" s="68" t="s">
        <v>2192</v>
      </c>
      <c r="Q487" s="68" t="s">
        <v>2253</v>
      </c>
      <c r="R487" s="68">
        <v>14</v>
      </c>
      <c r="S487" s="78"/>
      <c r="T487" s="68" t="s">
        <v>905</v>
      </c>
      <c r="U487" s="68">
        <v>13</v>
      </c>
      <c r="V487" s="72" t="s">
        <v>1958</v>
      </c>
      <c r="W487" s="72">
        <v>217.33333333333334</v>
      </c>
      <c r="X487" s="68"/>
      <c r="Y487" s="68"/>
      <c r="Z487" s="68"/>
      <c r="AA487" s="68" t="str">
        <f>IFERROR("Queue Got Merged in "&amp;VLOOKUP(A487,'CQNs Merged_Split'!$B$7:$D$103,3,FALSE),"")</f>
        <v/>
      </c>
      <c r="AB487" s="68" t="s">
        <v>2210</v>
      </c>
      <c r="AC487" s="68" t="s">
        <v>2244</v>
      </c>
    </row>
    <row r="488" spans="1:29" ht="15" customHeight="1" collapsed="1" x14ac:dyDescent="0.3">
      <c r="A488" s="68" t="s">
        <v>1930</v>
      </c>
      <c r="B488" s="68" t="s">
        <v>1934</v>
      </c>
      <c r="C488" s="68" t="s">
        <v>928</v>
      </c>
      <c r="D488" s="68" t="s">
        <v>158</v>
      </c>
      <c r="E488" s="68" t="s">
        <v>173</v>
      </c>
      <c r="F488" s="68" t="s">
        <v>8</v>
      </c>
      <c r="G488" s="68" t="s">
        <v>2249</v>
      </c>
      <c r="H488" s="68" t="s">
        <v>929</v>
      </c>
      <c r="I488" s="68" t="s">
        <v>929</v>
      </c>
      <c r="J488" s="69">
        <v>0.63300000000000001</v>
      </c>
      <c r="K488" s="69">
        <v>9.279307145066501E-3</v>
      </c>
      <c r="L488" s="68"/>
      <c r="M488" s="68"/>
      <c r="N488" s="68" t="s">
        <v>916</v>
      </c>
      <c r="O488" s="68" t="str">
        <f t="shared" si="7"/>
        <v>GC17_Global VxRail</v>
      </c>
      <c r="P488" s="68" t="s">
        <v>2193</v>
      </c>
      <c r="Q488" s="68" t="s">
        <v>1810</v>
      </c>
      <c r="R488" s="68">
        <v>24</v>
      </c>
      <c r="S488" s="78"/>
      <c r="T488" s="68" t="s">
        <v>905</v>
      </c>
      <c r="U488" s="68">
        <v>13</v>
      </c>
      <c r="V488" s="72" t="s">
        <v>1958</v>
      </c>
      <c r="W488" s="72">
        <v>177</v>
      </c>
      <c r="X488" s="68"/>
      <c r="Y488" s="68"/>
      <c r="Z488" s="68"/>
      <c r="AA488" s="68" t="str">
        <f>IFERROR("Queue Got Merged in "&amp;VLOOKUP(A488,'CQNs Merged_Split'!$B$7:$D$103,3,FALSE),"")</f>
        <v/>
      </c>
      <c r="AB488" s="68" t="s">
        <v>2208</v>
      </c>
      <c r="AC488" s="68" t="s">
        <v>2238</v>
      </c>
    </row>
    <row r="489" spans="1:29" ht="15" customHeight="1" collapsed="1" x14ac:dyDescent="0.3">
      <c r="A489" s="68" t="s">
        <v>1929</v>
      </c>
      <c r="B489" s="68" t="s">
        <v>1933</v>
      </c>
      <c r="C489" s="68" t="s">
        <v>928</v>
      </c>
      <c r="D489" s="68" t="s">
        <v>158</v>
      </c>
      <c r="E489" s="68" t="s">
        <v>173</v>
      </c>
      <c r="F489" s="68" t="s">
        <v>8</v>
      </c>
      <c r="G489" s="68" t="s">
        <v>2250</v>
      </c>
      <c r="H489" s="68" t="s">
        <v>929</v>
      </c>
      <c r="I489" s="68" t="s">
        <v>929</v>
      </c>
      <c r="J489" s="69">
        <v>0.63300000000000001</v>
      </c>
      <c r="K489" s="69">
        <v>7.9365079365079361E-3</v>
      </c>
      <c r="L489" s="68"/>
      <c r="M489" s="68"/>
      <c r="N489" s="68" t="s">
        <v>1882</v>
      </c>
      <c r="O489" s="68" t="str">
        <f t="shared" si="7"/>
        <v>GC18_Global VxRail Domain Engineer</v>
      </c>
      <c r="P489" s="68" t="s">
        <v>2193</v>
      </c>
      <c r="Q489" s="68" t="s">
        <v>1810</v>
      </c>
      <c r="R489" s="68">
        <v>24</v>
      </c>
      <c r="S489" s="78"/>
      <c r="T489" s="68" t="s">
        <v>905</v>
      </c>
      <c r="U489" s="68">
        <v>13</v>
      </c>
      <c r="V489" s="72" t="s">
        <v>1958</v>
      </c>
      <c r="W489" s="72">
        <v>47.666666666666664</v>
      </c>
      <c r="X489" s="68"/>
      <c r="Y489" s="68"/>
      <c r="Z489" s="68"/>
      <c r="AA489" s="68"/>
      <c r="AB489" s="68" t="s">
        <v>2208</v>
      </c>
      <c r="AC489" s="68" t="s">
        <v>2243</v>
      </c>
    </row>
    <row r="490" spans="1:29" ht="15" customHeight="1" collapsed="1" x14ac:dyDescent="0.3">
      <c r="A490" s="68" t="s">
        <v>2076</v>
      </c>
      <c r="B490" s="68" t="s">
        <v>2160</v>
      </c>
      <c r="C490" s="68" t="s">
        <v>973</v>
      </c>
      <c r="D490" s="68" t="s">
        <v>301</v>
      </c>
      <c r="E490" s="68" t="s">
        <v>305</v>
      </c>
      <c r="F490" s="68" t="s">
        <v>8</v>
      </c>
      <c r="G490" s="68" t="s">
        <v>2249</v>
      </c>
      <c r="H490" s="68" t="s">
        <v>929</v>
      </c>
      <c r="I490" s="68" t="s">
        <v>929</v>
      </c>
      <c r="J490" s="69">
        <v>0.63300000000000001</v>
      </c>
      <c r="K490" s="69">
        <v>1.1472275334608031E-2</v>
      </c>
      <c r="L490" s="68"/>
      <c r="M490" s="68" t="s">
        <v>895</v>
      </c>
      <c r="N490" s="68" t="s">
        <v>916</v>
      </c>
      <c r="O490" s="68" t="str">
        <f t="shared" si="7"/>
        <v>GC22_Global Connectivity FL</v>
      </c>
      <c r="P490" s="68" t="s">
        <v>2196</v>
      </c>
      <c r="Q490" s="68" t="s">
        <v>2252</v>
      </c>
      <c r="R490" s="68">
        <v>14</v>
      </c>
      <c r="S490" s="78"/>
      <c r="T490" s="68" t="s">
        <v>905</v>
      </c>
      <c r="U490" s="68">
        <v>13</v>
      </c>
      <c r="V490" s="72" t="s">
        <v>1958</v>
      </c>
      <c r="W490" s="72">
        <v>37</v>
      </c>
      <c r="X490" s="68" t="s">
        <v>2077</v>
      </c>
      <c r="Y490" s="68" t="s">
        <v>2045</v>
      </c>
      <c r="Z490" s="68" t="s">
        <v>1974</v>
      </c>
      <c r="AA490" s="68" t="str">
        <f>IFERROR("Queue Got Merged in "&amp;VLOOKUP(A490,'CQNs Merged_Split'!$B$7:$D$103,3,FALSE),"")</f>
        <v/>
      </c>
      <c r="AB490" s="68" t="s">
        <v>2210</v>
      </c>
      <c r="AC490" s="68" t="s">
        <v>2242</v>
      </c>
    </row>
    <row r="491" spans="1:29" ht="15" customHeight="1" collapsed="1" x14ac:dyDescent="0.3">
      <c r="A491" s="68" t="s">
        <v>2079</v>
      </c>
      <c r="B491" s="68" t="s">
        <v>2159</v>
      </c>
      <c r="C491" s="68" t="s">
        <v>973</v>
      </c>
      <c r="D491" s="68" t="s">
        <v>301</v>
      </c>
      <c r="E491" s="68" t="s">
        <v>357</v>
      </c>
      <c r="F491" s="68" t="s">
        <v>8</v>
      </c>
      <c r="G491" s="68" t="s">
        <v>2249</v>
      </c>
      <c r="H491" s="68" t="s">
        <v>929</v>
      </c>
      <c r="I491" s="68" t="s">
        <v>929</v>
      </c>
      <c r="J491" s="69">
        <v>0.63300000000000001</v>
      </c>
      <c r="K491" s="69">
        <v>1.8670169726832081E-2</v>
      </c>
      <c r="L491" s="68"/>
      <c r="M491" s="68" t="s">
        <v>1072</v>
      </c>
      <c r="N491" s="68" t="s">
        <v>916</v>
      </c>
      <c r="O491" s="68" t="str">
        <f t="shared" si="7"/>
        <v>GC23_Global Symmetrix FL</v>
      </c>
      <c r="P491" s="68" t="s">
        <v>2196</v>
      </c>
      <c r="Q491" s="68" t="s">
        <v>2252</v>
      </c>
      <c r="R491" s="68">
        <v>16</v>
      </c>
      <c r="S491" s="78"/>
      <c r="T491" s="68" t="s">
        <v>905</v>
      </c>
      <c r="U491" s="68">
        <v>13</v>
      </c>
      <c r="V491" s="72" t="s">
        <v>1958</v>
      </c>
      <c r="W491" s="72">
        <v>85</v>
      </c>
      <c r="X491" s="68" t="s">
        <v>2080</v>
      </c>
      <c r="Y491" s="68"/>
      <c r="Z491" s="68" t="s">
        <v>1974</v>
      </c>
      <c r="AA491" s="68" t="str">
        <f>IFERROR("Queue Got Merged in "&amp;VLOOKUP(A491,'CQNs Merged_Split'!$B$7:$D$103,3,FALSE),"")</f>
        <v/>
      </c>
      <c r="AB491" s="68" t="s">
        <v>2210</v>
      </c>
      <c r="AC491" s="68" t="s">
        <v>2235</v>
      </c>
    </row>
    <row r="492" spans="1:29" ht="15" customHeight="1" collapsed="1" x14ac:dyDescent="0.3">
      <c r="A492" s="68" t="s">
        <v>2081</v>
      </c>
      <c r="B492" s="68" t="s">
        <v>2161</v>
      </c>
      <c r="C492" s="68" t="s">
        <v>973</v>
      </c>
      <c r="D492" s="68" t="s">
        <v>301</v>
      </c>
      <c r="E492" s="68" t="s">
        <v>386</v>
      </c>
      <c r="F492" s="68" t="s">
        <v>8</v>
      </c>
      <c r="G492" s="68" t="s">
        <v>2249</v>
      </c>
      <c r="H492" s="68" t="s">
        <v>929</v>
      </c>
      <c r="I492" s="68" t="s">
        <v>929</v>
      </c>
      <c r="J492" s="69">
        <v>0.63300000000000001</v>
      </c>
      <c r="K492" s="69">
        <v>1.8670169726832081E-2</v>
      </c>
      <c r="L492" s="68"/>
      <c r="M492" s="68" t="s">
        <v>1014</v>
      </c>
      <c r="N492" s="68" t="s">
        <v>916</v>
      </c>
      <c r="O492" s="68" t="str">
        <f t="shared" si="7"/>
        <v>GC24_Global Symmetrix SW FL</v>
      </c>
      <c r="P492" s="68" t="s">
        <v>2196</v>
      </c>
      <c r="Q492" s="68" t="s">
        <v>2252</v>
      </c>
      <c r="R492" s="68">
        <v>12</v>
      </c>
      <c r="S492" s="78"/>
      <c r="T492" s="68" t="s">
        <v>905</v>
      </c>
      <c r="U492" s="68">
        <v>13</v>
      </c>
      <c r="V492" s="72" t="s">
        <v>1958</v>
      </c>
      <c r="W492" s="72">
        <v>26</v>
      </c>
      <c r="X492" s="68" t="s">
        <v>2082</v>
      </c>
      <c r="Y492" s="68"/>
      <c r="Z492" s="68" t="s">
        <v>1974</v>
      </c>
      <c r="AA492" s="68" t="str">
        <f>IFERROR("Queue Got Merged in "&amp;VLOOKUP(A492,'CQNs Merged_Split'!$B$7:$D$103,3,FALSE),"")</f>
        <v/>
      </c>
      <c r="AB492" s="68" t="s">
        <v>2210</v>
      </c>
      <c r="AC492" s="68" t="s">
        <v>2235</v>
      </c>
    </row>
    <row r="493" spans="1:29" ht="15" customHeight="1" collapsed="1" x14ac:dyDescent="0.3">
      <c r="A493" s="68" t="s">
        <v>2117</v>
      </c>
      <c r="B493" s="68" t="s">
        <v>2118</v>
      </c>
      <c r="C493" s="68" t="s">
        <v>973</v>
      </c>
      <c r="D493" s="68" t="s">
        <v>301</v>
      </c>
      <c r="E493" s="68" t="s">
        <v>403</v>
      </c>
      <c r="F493" s="68" t="s">
        <v>8</v>
      </c>
      <c r="G493" s="68" t="s">
        <v>2249</v>
      </c>
      <c r="H493" s="68" t="s">
        <v>929</v>
      </c>
      <c r="I493" s="68" t="s">
        <v>929</v>
      </c>
      <c r="J493" s="69">
        <v>0.63300000000000001</v>
      </c>
      <c r="K493" s="69">
        <v>7.4812967581047388E-3</v>
      </c>
      <c r="L493" s="68"/>
      <c r="M493" s="68" t="s">
        <v>925</v>
      </c>
      <c r="N493" s="68" t="s">
        <v>916</v>
      </c>
      <c r="O493" s="68" t="str">
        <f t="shared" si="7"/>
        <v>GC25_Global Vplex FL</v>
      </c>
      <c r="P493" s="68" t="s">
        <v>2196</v>
      </c>
      <c r="Q493" s="68" t="s">
        <v>2252</v>
      </c>
      <c r="R493" s="68">
        <v>11</v>
      </c>
      <c r="S493" s="78"/>
      <c r="T493" s="68" t="s">
        <v>905</v>
      </c>
      <c r="U493" s="68">
        <v>13</v>
      </c>
      <c r="V493" s="72" t="s">
        <v>1958</v>
      </c>
      <c r="W493" s="72">
        <v>21</v>
      </c>
      <c r="X493" s="68" t="s">
        <v>2093</v>
      </c>
      <c r="Y493" s="68"/>
      <c r="Z493" s="68" t="s">
        <v>1974</v>
      </c>
      <c r="AA493" s="68" t="str">
        <f>IFERROR("Queue Got Merged in "&amp;VLOOKUP(A493,'CQNs Merged_Split'!$B$7:$D$103,3,FALSE),"")</f>
        <v/>
      </c>
      <c r="AB493" s="68" t="s">
        <v>2210</v>
      </c>
      <c r="AC493" s="68" t="s">
        <v>2235</v>
      </c>
    </row>
    <row r="494" spans="1:29" ht="15" customHeight="1" collapsed="1" x14ac:dyDescent="0.3">
      <c r="A494" s="68" t="s">
        <v>48</v>
      </c>
      <c r="B494" s="68" t="s">
        <v>49</v>
      </c>
      <c r="C494" s="68" t="s">
        <v>1044</v>
      </c>
      <c r="D494" s="68" t="s">
        <v>44</v>
      </c>
      <c r="E494" s="68" t="s">
        <v>45</v>
      </c>
      <c r="F494" s="68" t="s">
        <v>8</v>
      </c>
      <c r="G494" s="68" t="s">
        <v>2250</v>
      </c>
      <c r="H494" s="68" t="s">
        <v>929</v>
      </c>
      <c r="I494" s="68" t="s">
        <v>929</v>
      </c>
      <c r="J494" s="69">
        <v>0.63300000000000001</v>
      </c>
      <c r="K494" s="69">
        <v>1.8670169726832081E-2</v>
      </c>
      <c r="L494" s="68"/>
      <c r="M494" s="68" t="s">
        <v>922</v>
      </c>
      <c r="N494" s="68" t="s">
        <v>1882</v>
      </c>
      <c r="O494" s="68" t="str">
        <f t="shared" si="7"/>
        <v>GH01_GLOBAL DPD AVAMAR</v>
      </c>
      <c r="P494" s="68" t="s">
        <v>2195</v>
      </c>
      <c r="Q494" s="68" t="s">
        <v>1884</v>
      </c>
      <c r="R494" s="68">
        <v>24</v>
      </c>
      <c r="S494" s="78"/>
      <c r="T494" s="68" t="s">
        <v>905</v>
      </c>
      <c r="U494" s="68">
        <v>13</v>
      </c>
      <c r="V494" s="72" t="s">
        <v>1958</v>
      </c>
      <c r="W494" s="72">
        <v>28</v>
      </c>
      <c r="X494" s="68"/>
      <c r="Y494" s="68" t="s">
        <v>1971</v>
      </c>
      <c r="Z494" s="68" t="s">
        <v>1972</v>
      </c>
      <c r="AA494" s="68"/>
      <c r="AB494" s="68" t="s">
        <v>2208</v>
      </c>
      <c r="AC494" s="68" t="s">
        <v>2240</v>
      </c>
    </row>
    <row r="495" spans="1:29" ht="15" customHeight="1" collapsed="1" x14ac:dyDescent="0.3">
      <c r="A495" s="68" t="s">
        <v>74</v>
      </c>
      <c r="B495" s="68" t="s">
        <v>75</v>
      </c>
      <c r="C495" s="68" t="s">
        <v>1044</v>
      </c>
      <c r="D495" s="68" t="s">
        <v>44</v>
      </c>
      <c r="E495" s="68" t="s">
        <v>71</v>
      </c>
      <c r="F495" s="68" t="s">
        <v>8</v>
      </c>
      <c r="G495" s="68" t="s">
        <v>2250</v>
      </c>
      <c r="H495" s="68" t="s">
        <v>929</v>
      </c>
      <c r="I495" s="68" t="s">
        <v>929</v>
      </c>
      <c r="J495" s="69">
        <v>0.63300000000000001</v>
      </c>
      <c r="K495" s="69">
        <v>1.8670169726832081E-2</v>
      </c>
      <c r="L495" s="68"/>
      <c r="M495" s="68" t="s">
        <v>922</v>
      </c>
      <c r="N495" s="68" t="s">
        <v>1882</v>
      </c>
      <c r="O495" s="68" t="str">
        <f t="shared" si="7"/>
        <v>GH03_GLOBAL DPD DataDomain</v>
      </c>
      <c r="P495" s="68" t="s">
        <v>2195</v>
      </c>
      <c r="Q495" s="68" t="s">
        <v>1884</v>
      </c>
      <c r="R495" s="68">
        <v>24</v>
      </c>
      <c r="S495" s="78"/>
      <c r="T495" s="68" t="s">
        <v>905</v>
      </c>
      <c r="U495" s="68">
        <v>13</v>
      </c>
      <c r="V495" s="72" t="s">
        <v>1958</v>
      </c>
      <c r="W495" s="72">
        <v>43</v>
      </c>
      <c r="X495" s="68"/>
      <c r="Y495" s="68" t="s">
        <v>1971</v>
      </c>
      <c r="Z495" s="68" t="s">
        <v>1972</v>
      </c>
      <c r="AA495" s="68"/>
      <c r="AB495" s="68" t="s">
        <v>2208</v>
      </c>
      <c r="AC495" s="68" t="s">
        <v>2240</v>
      </c>
    </row>
    <row r="496" spans="1:29" ht="15" customHeight="1" collapsed="1" x14ac:dyDescent="0.3">
      <c r="A496" s="68" t="s">
        <v>93</v>
      </c>
      <c r="B496" s="68" t="s">
        <v>94</v>
      </c>
      <c r="C496" s="68" t="s">
        <v>1044</v>
      </c>
      <c r="D496" s="68" t="s">
        <v>44</v>
      </c>
      <c r="E496" s="68" t="s">
        <v>92</v>
      </c>
      <c r="F496" s="68" t="s">
        <v>8</v>
      </c>
      <c r="G496" s="68" t="s">
        <v>2249</v>
      </c>
      <c r="H496" s="68" t="s">
        <v>929</v>
      </c>
      <c r="I496" s="68" t="s">
        <v>929</v>
      </c>
      <c r="J496" s="69">
        <v>0.63300000000000001</v>
      </c>
      <c r="K496" s="69">
        <v>1.8670169726832081E-2</v>
      </c>
      <c r="L496" s="68"/>
      <c r="M496" s="68" t="s">
        <v>1046</v>
      </c>
      <c r="N496" s="68" t="s">
        <v>916</v>
      </c>
      <c r="O496" s="68" t="str">
        <f t="shared" si="7"/>
        <v>GH04_GLOBAL DPD DPA</v>
      </c>
      <c r="P496" s="68" t="s">
        <v>2195</v>
      </c>
      <c r="Q496" s="68" t="s">
        <v>1884</v>
      </c>
      <c r="R496" s="68">
        <v>6</v>
      </c>
      <c r="S496" s="78"/>
      <c r="T496" s="68" t="s">
        <v>905</v>
      </c>
      <c r="U496" s="68">
        <v>13</v>
      </c>
      <c r="V496" s="72" t="s">
        <v>1958</v>
      </c>
      <c r="W496" s="72">
        <v>3</v>
      </c>
      <c r="X496" s="68"/>
      <c r="Y496" s="68" t="s">
        <v>1971</v>
      </c>
      <c r="Z496" s="68" t="s">
        <v>1972</v>
      </c>
      <c r="AA496" s="68" t="str">
        <f>IFERROR("Queue Got Merged in "&amp;VLOOKUP(A496,'CQNs Merged_Split'!$B$7:$D$103,3,FALSE),"")</f>
        <v/>
      </c>
      <c r="AB496" s="68" t="s">
        <v>2208</v>
      </c>
      <c r="AC496" s="68" t="s">
        <v>2234</v>
      </c>
    </row>
    <row r="497" spans="1:29" ht="15" customHeight="1" collapsed="1" x14ac:dyDescent="0.3">
      <c r="A497" s="68" t="s">
        <v>105</v>
      </c>
      <c r="B497" s="68" t="s">
        <v>106</v>
      </c>
      <c r="C497" s="68" t="s">
        <v>1044</v>
      </c>
      <c r="D497" s="68" t="s">
        <v>44</v>
      </c>
      <c r="E497" s="68" t="s">
        <v>102</v>
      </c>
      <c r="F497" s="68" t="s">
        <v>8</v>
      </c>
      <c r="G497" s="68" t="s">
        <v>2251</v>
      </c>
      <c r="H497" s="68" t="s">
        <v>929</v>
      </c>
      <c r="I497" s="68" t="s">
        <v>929</v>
      </c>
      <c r="J497" s="69">
        <v>0.63300000000000001</v>
      </c>
      <c r="K497" s="69">
        <v>1.8670169726832081E-2</v>
      </c>
      <c r="L497" s="68"/>
      <c r="M497" s="68" t="s">
        <v>922</v>
      </c>
      <c r="N497" s="68" t="s">
        <v>1882</v>
      </c>
      <c r="O497" s="68" t="str">
        <f t="shared" si="7"/>
        <v>GH06_GLOBAL DPD DPSolutions</v>
      </c>
      <c r="P497" s="68" t="s">
        <v>2195</v>
      </c>
      <c r="Q497" s="68" t="s">
        <v>1884</v>
      </c>
      <c r="R497" s="68">
        <v>20</v>
      </c>
      <c r="S497" s="78"/>
      <c r="T497" s="68" t="s">
        <v>905</v>
      </c>
      <c r="U497" s="68">
        <v>13</v>
      </c>
      <c r="V497" s="72" t="s">
        <v>1958</v>
      </c>
      <c r="W497" s="72">
        <v>18</v>
      </c>
      <c r="X497" s="68"/>
      <c r="Y497" s="68" t="e">
        <v>#N/A</v>
      </c>
      <c r="Z497" s="68" t="e">
        <v>#N/A</v>
      </c>
      <c r="AA497" s="68"/>
      <c r="AB497" s="68" t="s">
        <v>2208</v>
      </c>
      <c r="AC497" s="68" t="s">
        <v>2240</v>
      </c>
    </row>
    <row r="498" spans="1:29" ht="15" customHeight="1" collapsed="1" x14ac:dyDescent="0.3">
      <c r="A498" s="68" t="s">
        <v>680</v>
      </c>
      <c r="B498" s="68" t="s">
        <v>1902</v>
      </c>
      <c r="C498" s="68" t="s">
        <v>1044</v>
      </c>
      <c r="D498" s="68" t="s">
        <v>672</v>
      </c>
      <c r="E498" s="68" t="s">
        <v>2203</v>
      </c>
      <c r="F498" s="68" t="s">
        <v>8</v>
      </c>
      <c r="G498" s="68" t="s">
        <v>2250</v>
      </c>
      <c r="H498" s="68" t="s">
        <v>929</v>
      </c>
      <c r="I498" s="68" t="s">
        <v>929</v>
      </c>
      <c r="J498" s="69">
        <v>0.63300000000000001</v>
      </c>
      <c r="K498" s="69">
        <v>1.2562814070351759E-2</v>
      </c>
      <c r="L498" s="68"/>
      <c r="M498" s="68" t="s">
        <v>922</v>
      </c>
      <c r="N498" s="68" t="s">
        <v>1882</v>
      </c>
      <c r="O498" s="68" t="str">
        <f t="shared" si="7"/>
        <v>GH07_GLOBAL UDS PowerScale</v>
      </c>
      <c r="P498" s="68" t="s">
        <v>2195</v>
      </c>
      <c r="Q498" s="68" t="s">
        <v>1884</v>
      </c>
      <c r="R498" s="68">
        <v>24</v>
      </c>
      <c r="S498" s="78"/>
      <c r="T498" s="68" t="s">
        <v>905</v>
      </c>
      <c r="U498" s="68">
        <v>13</v>
      </c>
      <c r="V498" s="72" t="s">
        <v>1958</v>
      </c>
      <c r="W498" s="72">
        <v>84</v>
      </c>
      <c r="X498" s="68"/>
      <c r="Y498" s="68" t="s">
        <v>1971</v>
      </c>
      <c r="Z498" s="68" t="s">
        <v>1972</v>
      </c>
      <c r="AA498" s="68"/>
      <c r="AB498" s="68" t="s">
        <v>2208</v>
      </c>
      <c r="AC498" s="68" t="s">
        <v>2232</v>
      </c>
    </row>
    <row r="499" spans="1:29" ht="15" customHeight="1" collapsed="1" x14ac:dyDescent="0.3">
      <c r="A499" s="68" t="s">
        <v>112</v>
      </c>
      <c r="B499" s="68" t="s">
        <v>113</v>
      </c>
      <c r="C499" s="68" t="s">
        <v>1044</v>
      </c>
      <c r="D499" s="68" t="s">
        <v>44</v>
      </c>
      <c r="E499" s="68" t="s">
        <v>109</v>
      </c>
      <c r="F499" s="68" t="s">
        <v>8</v>
      </c>
      <c r="G499" s="68" t="s">
        <v>2250</v>
      </c>
      <c r="H499" s="68" t="s">
        <v>929</v>
      </c>
      <c r="I499" s="68" t="s">
        <v>929</v>
      </c>
      <c r="J499" s="69">
        <v>0.63300000000000001</v>
      </c>
      <c r="K499" s="69">
        <v>1.8670169726832081E-2</v>
      </c>
      <c r="L499" s="68"/>
      <c r="M499" s="68" t="s">
        <v>922</v>
      </c>
      <c r="N499" s="68" t="s">
        <v>1882</v>
      </c>
      <c r="O499" s="68" t="str">
        <f t="shared" si="7"/>
        <v>GH08_GLOBAL DPD Networker</v>
      </c>
      <c r="P499" s="68" t="s">
        <v>2195</v>
      </c>
      <c r="Q499" s="68" t="s">
        <v>1884</v>
      </c>
      <c r="R499" s="68">
        <v>2</v>
      </c>
      <c r="S499" s="78"/>
      <c r="T499" s="68" t="s">
        <v>905</v>
      </c>
      <c r="U499" s="68">
        <v>13</v>
      </c>
      <c r="V499" s="72" t="s">
        <v>1958</v>
      </c>
      <c r="W499" s="72">
        <v>1</v>
      </c>
      <c r="X499" s="68"/>
      <c r="Y499" s="68" t="s">
        <v>1971</v>
      </c>
      <c r="Z499" s="68" t="s">
        <v>1972</v>
      </c>
      <c r="AA499" s="68"/>
      <c r="AB499" s="68" t="s">
        <v>2208</v>
      </c>
      <c r="AC499" s="68" t="s">
        <v>2240</v>
      </c>
    </row>
    <row r="500" spans="1:29" ht="15" customHeight="1" collapsed="1" x14ac:dyDescent="0.3">
      <c r="A500" s="68" t="s">
        <v>703</v>
      </c>
      <c r="B500" s="68" t="s">
        <v>704</v>
      </c>
      <c r="C500" s="68" t="s">
        <v>1044</v>
      </c>
      <c r="D500" s="68" t="s">
        <v>672</v>
      </c>
      <c r="E500" s="68" t="s">
        <v>702</v>
      </c>
      <c r="F500" s="68" t="s">
        <v>8</v>
      </c>
      <c r="G500" s="68" t="s">
        <v>2251</v>
      </c>
      <c r="H500" s="68" t="s">
        <v>929</v>
      </c>
      <c r="I500" s="68" t="s">
        <v>929</v>
      </c>
      <c r="J500" s="69">
        <v>0.63300000000000001</v>
      </c>
      <c r="K500" s="69">
        <v>9.9337748344370848E-3</v>
      </c>
      <c r="L500" s="68"/>
      <c r="M500" s="68" t="s">
        <v>922</v>
      </c>
      <c r="N500" s="68" t="s">
        <v>916</v>
      </c>
      <c r="O500" s="68" t="str">
        <f t="shared" si="7"/>
        <v>GH09_GLOBAL UDS OBJ</v>
      </c>
      <c r="P500" s="68" t="s">
        <v>2195</v>
      </c>
      <c r="Q500" s="68" t="s">
        <v>1884</v>
      </c>
      <c r="R500" s="68">
        <v>24</v>
      </c>
      <c r="S500" s="78"/>
      <c r="T500" s="68" t="s">
        <v>905</v>
      </c>
      <c r="U500" s="68">
        <v>13</v>
      </c>
      <c r="V500" s="72" t="s">
        <v>1958</v>
      </c>
      <c r="W500" s="72">
        <v>75</v>
      </c>
      <c r="X500" s="68"/>
      <c r="Y500" s="68" t="s">
        <v>1971</v>
      </c>
      <c r="Z500" s="68" t="s">
        <v>1972</v>
      </c>
      <c r="AA500" s="68" t="str">
        <f>IFERROR("Queue Got Merged in "&amp;VLOOKUP(A500,'CQNs Merged_Split'!$B$7:$D$103,3,FALSE),"")</f>
        <v/>
      </c>
      <c r="AB500" s="68" t="s">
        <v>2208</v>
      </c>
      <c r="AC500" s="68" t="s">
        <v>2232</v>
      </c>
    </row>
    <row r="501" spans="1:29" ht="15" customHeight="1" collapsed="1" x14ac:dyDescent="0.3">
      <c r="A501" s="68" t="s">
        <v>131</v>
      </c>
      <c r="B501" s="68" t="s">
        <v>132</v>
      </c>
      <c r="C501" s="68" t="s">
        <v>1044</v>
      </c>
      <c r="D501" s="68" t="s">
        <v>44</v>
      </c>
      <c r="E501" s="68" t="s">
        <v>130</v>
      </c>
      <c r="F501" s="68" t="s">
        <v>8</v>
      </c>
      <c r="G501" s="68" t="s">
        <v>2251</v>
      </c>
      <c r="H501" s="68" t="s">
        <v>929</v>
      </c>
      <c r="I501" s="68" t="s">
        <v>929</v>
      </c>
      <c r="J501" s="69">
        <v>0.63300000000000001</v>
      </c>
      <c r="K501" s="69">
        <v>1.8670169726832081E-2</v>
      </c>
      <c r="L501" s="68"/>
      <c r="M501" s="68" t="s">
        <v>922</v>
      </c>
      <c r="N501" s="68" t="s">
        <v>916</v>
      </c>
      <c r="O501" s="68" t="str">
        <f t="shared" si="7"/>
        <v>GH10_GLOBAL DPD PowerProtect</v>
      </c>
      <c r="P501" s="68" t="s">
        <v>2195</v>
      </c>
      <c r="Q501" s="68" t="s">
        <v>1884</v>
      </c>
      <c r="R501" s="68">
        <v>24</v>
      </c>
      <c r="S501" s="78"/>
      <c r="T501" s="68" t="s">
        <v>905</v>
      </c>
      <c r="U501" s="68">
        <v>13</v>
      </c>
      <c r="V501" s="72" t="s">
        <v>1958</v>
      </c>
      <c r="W501" s="72">
        <v>114</v>
      </c>
      <c r="X501" s="68"/>
      <c r="Y501" s="68" t="s">
        <v>1971</v>
      </c>
      <c r="Z501" s="68" t="s">
        <v>1972</v>
      </c>
      <c r="AA501" s="68" t="str">
        <f>IFERROR("Queue Got Merged in "&amp;VLOOKUP(A501,'CQNs Merged_Split'!$B$7:$D$103,3,FALSE),"")</f>
        <v/>
      </c>
      <c r="AB501" s="68" t="s">
        <v>2208</v>
      </c>
      <c r="AC501" s="68" t="s">
        <v>2236</v>
      </c>
    </row>
    <row r="502" spans="1:29" ht="15" customHeight="1" collapsed="1" x14ac:dyDescent="0.3">
      <c r="A502" s="68" t="s">
        <v>138</v>
      </c>
      <c r="B502" s="68" t="s">
        <v>139</v>
      </c>
      <c r="C502" s="68" t="s">
        <v>1044</v>
      </c>
      <c r="D502" s="68" t="s">
        <v>44</v>
      </c>
      <c r="E502" s="68" t="s">
        <v>137</v>
      </c>
      <c r="F502" s="68" t="s">
        <v>8</v>
      </c>
      <c r="G502" s="68" t="s">
        <v>2251</v>
      </c>
      <c r="H502" s="68" t="s">
        <v>929</v>
      </c>
      <c r="I502" s="68" t="s">
        <v>929</v>
      </c>
      <c r="J502" s="69">
        <v>0.63300000000000001</v>
      </c>
      <c r="K502" s="69">
        <v>1.8670169726832081E-2</v>
      </c>
      <c r="L502" s="68"/>
      <c r="M502" s="68" t="s">
        <v>922</v>
      </c>
      <c r="N502" s="68" t="s">
        <v>916</v>
      </c>
      <c r="O502" s="68" t="str">
        <f t="shared" si="7"/>
        <v>GH11_GLOBAL DPD RecoverPoint</v>
      </c>
      <c r="P502" s="68" t="s">
        <v>2195</v>
      </c>
      <c r="Q502" s="68" t="s">
        <v>1884</v>
      </c>
      <c r="R502" s="68">
        <v>24</v>
      </c>
      <c r="S502" s="78"/>
      <c r="T502" s="68" t="s">
        <v>905</v>
      </c>
      <c r="U502" s="68">
        <v>13</v>
      </c>
      <c r="V502" s="72" t="s">
        <v>1958</v>
      </c>
      <c r="W502" s="72">
        <v>23</v>
      </c>
      <c r="X502" s="68"/>
      <c r="Y502" s="68" t="s">
        <v>1971</v>
      </c>
      <c r="Z502" s="68" t="s">
        <v>1972</v>
      </c>
      <c r="AA502" s="68" t="str">
        <f>IFERROR("Queue Got Merged in "&amp;VLOOKUP(A502,'CQNs Merged_Split'!$B$7:$D$103,3,FALSE),"")</f>
        <v/>
      </c>
      <c r="AB502" s="68" t="s">
        <v>2208</v>
      </c>
      <c r="AC502" s="68" t="s">
        <v>2240</v>
      </c>
    </row>
    <row r="503" spans="1:29" ht="15" customHeight="1" collapsed="1" x14ac:dyDescent="0.3">
      <c r="A503" s="68" t="s">
        <v>308</v>
      </c>
      <c r="B503" s="68" t="s">
        <v>2088</v>
      </c>
      <c r="C503" s="68" t="s">
        <v>973</v>
      </c>
      <c r="D503" s="68" t="s">
        <v>301</v>
      </c>
      <c r="E503" s="68" t="s">
        <v>305</v>
      </c>
      <c r="F503" s="68" t="s">
        <v>8</v>
      </c>
      <c r="G503" s="68" t="s">
        <v>2250</v>
      </c>
      <c r="H503" s="68" t="s">
        <v>929</v>
      </c>
      <c r="I503" s="68" t="s">
        <v>929</v>
      </c>
      <c r="J503" s="69">
        <v>0.63300000000000001</v>
      </c>
      <c r="K503" s="69">
        <v>1.8670169726832081E-2</v>
      </c>
      <c r="L503" s="68"/>
      <c r="M503" s="68" t="s">
        <v>922</v>
      </c>
      <c r="N503" s="68" t="s">
        <v>1882</v>
      </c>
      <c r="O503" s="68" t="str">
        <f t="shared" si="7"/>
        <v>GH16_Global Connectivity Backline</v>
      </c>
      <c r="P503" s="68" t="s">
        <v>2196</v>
      </c>
      <c r="Q503" s="68" t="s">
        <v>2252</v>
      </c>
      <c r="R503" s="68">
        <v>24</v>
      </c>
      <c r="S503" s="78"/>
      <c r="T503" s="68" t="s">
        <v>905</v>
      </c>
      <c r="U503" s="68">
        <v>13</v>
      </c>
      <c r="V503" s="72" t="s">
        <v>1958</v>
      </c>
      <c r="W503" s="72">
        <v>22</v>
      </c>
      <c r="X503" s="68"/>
      <c r="Y503" s="68" t="s">
        <v>1971</v>
      </c>
      <c r="Z503" s="68" t="s">
        <v>1972</v>
      </c>
      <c r="AA503" s="68"/>
      <c r="AB503" s="68" t="s">
        <v>2208</v>
      </c>
      <c r="AC503" s="68" t="s">
        <v>2242</v>
      </c>
    </row>
    <row r="504" spans="1:29" ht="15" customHeight="1" x14ac:dyDescent="0.3">
      <c r="A504" s="68" t="s">
        <v>326</v>
      </c>
      <c r="B504" s="68" t="s">
        <v>2089</v>
      </c>
      <c r="C504" s="68" t="s">
        <v>973</v>
      </c>
      <c r="D504" s="68" t="s">
        <v>301</v>
      </c>
      <c r="E504" s="68" t="s">
        <v>325</v>
      </c>
      <c r="F504" s="68" t="s">
        <v>8</v>
      </c>
      <c r="G504" s="68" t="s">
        <v>2250</v>
      </c>
      <c r="H504" s="68" t="s">
        <v>929</v>
      </c>
      <c r="I504" s="68" t="s">
        <v>929</v>
      </c>
      <c r="J504" s="69">
        <v>0.63300000000000001</v>
      </c>
      <c r="K504" s="69">
        <v>1.8670169726832081E-2</v>
      </c>
      <c r="L504" s="68"/>
      <c r="M504" s="68" t="s">
        <v>922</v>
      </c>
      <c r="N504" s="68" t="s">
        <v>916</v>
      </c>
      <c r="O504" s="68" t="str">
        <f t="shared" si="7"/>
        <v>GH17_Global DLM Backline</v>
      </c>
      <c r="P504" s="68" t="s">
        <v>2196</v>
      </c>
      <c r="Q504" s="68" t="s">
        <v>2252</v>
      </c>
      <c r="R504" s="68">
        <v>24</v>
      </c>
      <c r="S504" s="78"/>
      <c r="T504" s="68" t="s">
        <v>905</v>
      </c>
      <c r="U504" s="68">
        <v>13</v>
      </c>
      <c r="V504" s="72" t="s">
        <v>1958</v>
      </c>
      <c r="W504" s="72">
        <v>16</v>
      </c>
      <c r="X504" s="68"/>
      <c r="Y504" s="68" t="s">
        <v>1971</v>
      </c>
      <c r="Z504" s="68" t="s">
        <v>1972</v>
      </c>
      <c r="AA504" s="68" t="str">
        <f>IFERROR("Queue Got Merged in "&amp;VLOOKUP(A504,'CQNs Merged_Split'!$B$7:$D$103,3,FALSE),"")</f>
        <v/>
      </c>
      <c r="AB504" s="68" t="s">
        <v>2208</v>
      </c>
      <c r="AC504" s="68" t="s">
        <v>2243</v>
      </c>
    </row>
    <row r="505" spans="1:29" ht="15" customHeight="1" collapsed="1" x14ac:dyDescent="0.3">
      <c r="A505" s="68" t="s">
        <v>337</v>
      </c>
      <c r="B505" s="68" t="s">
        <v>338</v>
      </c>
      <c r="C505" s="68" t="s">
        <v>973</v>
      </c>
      <c r="D505" s="68" t="s">
        <v>301</v>
      </c>
      <c r="E505" s="68" t="s">
        <v>334</v>
      </c>
      <c r="F505" s="68" t="s">
        <v>8</v>
      </c>
      <c r="G505" s="68" t="s">
        <v>1881</v>
      </c>
      <c r="H505" s="68" t="s">
        <v>929</v>
      </c>
      <c r="I505" s="68" t="s">
        <v>894</v>
      </c>
      <c r="J505" s="69">
        <v>0.63300000000000001</v>
      </c>
      <c r="K505" s="69">
        <v>1.8670169726832081E-2</v>
      </c>
      <c r="L505" s="68"/>
      <c r="M505" s="68" t="s">
        <v>992</v>
      </c>
      <c r="N505" s="68" t="s">
        <v>1016</v>
      </c>
      <c r="O505" s="68" t="str">
        <f t="shared" si="7"/>
        <v>GH18_GLOBAL HES Integrated_Software</v>
      </c>
      <c r="P505" s="68" t="s">
        <v>2196</v>
      </c>
      <c r="Q505" s="68" t="s">
        <v>2252</v>
      </c>
      <c r="R505" s="68">
        <v>4</v>
      </c>
      <c r="S505" s="78"/>
      <c r="T505" s="68" t="s">
        <v>905</v>
      </c>
      <c r="U505" s="68">
        <v>13</v>
      </c>
      <c r="V505" s="72" t="s">
        <v>1958</v>
      </c>
      <c r="W505" s="72">
        <v>1</v>
      </c>
      <c r="X505" s="68"/>
      <c r="Y505" s="68" t="s">
        <v>1971</v>
      </c>
      <c r="Z505" s="68" t="s">
        <v>1972</v>
      </c>
      <c r="AA505" s="68"/>
      <c r="AB505" s="68" t="s">
        <v>2208</v>
      </c>
      <c r="AC505" s="68" t="s">
        <v>2235</v>
      </c>
    </row>
    <row r="506" spans="1:29" ht="15" customHeight="1" collapsed="1" x14ac:dyDescent="0.3">
      <c r="A506" s="68" t="s">
        <v>353</v>
      </c>
      <c r="B506" s="68" t="s">
        <v>2090</v>
      </c>
      <c r="C506" s="68" t="s">
        <v>973</v>
      </c>
      <c r="D506" s="68" t="s">
        <v>301</v>
      </c>
      <c r="E506" s="68" t="s">
        <v>352</v>
      </c>
      <c r="F506" s="68" t="s">
        <v>8</v>
      </c>
      <c r="G506" s="68" t="s">
        <v>2250</v>
      </c>
      <c r="H506" s="68" t="s">
        <v>929</v>
      </c>
      <c r="I506" s="68" t="s">
        <v>929</v>
      </c>
      <c r="J506" s="69">
        <v>0.63300000000000001</v>
      </c>
      <c r="K506" s="69">
        <v>1.8670169726832081E-2</v>
      </c>
      <c r="L506" s="68"/>
      <c r="M506" s="68" t="s">
        <v>1046</v>
      </c>
      <c r="N506" s="68" t="s">
        <v>1882</v>
      </c>
      <c r="O506" s="68" t="str">
        <f t="shared" si="7"/>
        <v>GH19_Global Mainframe Backline</v>
      </c>
      <c r="P506" s="68" t="s">
        <v>2196</v>
      </c>
      <c r="Q506" s="68" t="s">
        <v>2252</v>
      </c>
      <c r="R506" s="68">
        <v>14</v>
      </c>
      <c r="S506" s="78"/>
      <c r="T506" s="68" t="s">
        <v>905</v>
      </c>
      <c r="U506" s="68">
        <v>13</v>
      </c>
      <c r="V506" s="72" t="s">
        <v>1958</v>
      </c>
      <c r="W506" s="72">
        <v>14</v>
      </c>
      <c r="X506" s="68"/>
      <c r="Y506" s="68" t="s">
        <v>1971</v>
      </c>
      <c r="Z506" s="68" t="s">
        <v>1972</v>
      </c>
      <c r="AA506" s="68"/>
      <c r="AB506" s="68" t="s">
        <v>2208</v>
      </c>
      <c r="AC506" s="68" t="s">
        <v>2235</v>
      </c>
    </row>
    <row r="507" spans="1:29" ht="15" customHeight="1" collapsed="1" x14ac:dyDescent="0.3">
      <c r="A507" s="68" t="s">
        <v>362</v>
      </c>
      <c r="B507" s="68" t="s">
        <v>2091</v>
      </c>
      <c r="C507" s="68" t="s">
        <v>973</v>
      </c>
      <c r="D507" s="68" t="s">
        <v>301</v>
      </c>
      <c r="E507" s="68" t="s">
        <v>357</v>
      </c>
      <c r="F507" s="68" t="s">
        <v>8</v>
      </c>
      <c r="G507" s="68" t="s">
        <v>2250</v>
      </c>
      <c r="H507" s="68" t="s">
        <v>929</v>
      </c>
      <c r="I507" s="68" t="s">
        <v>929</v>
      </c>
      <c r="J507" s="69">
        <v>0.63300000000000001</v>
      </c>
      <c r="K507" s="69">
        <v>8.6956521739130436E-3</v>
      </c>
      <c r="L507" s="68"/>
      <c r="M507" s="68" t="s">
        <v>922</v>
      </c>
      <c r="N507" s="68" t="s">
        <v>1882</v>
      </c>
      <c r="O507" s="68" t="str">
        <f t="shared" si="7"/>
        <v>GH20_Global Symmetrix Backline</v>
      </c>
      <c r="P507" s="68" t="s">
        <v>2196</v>
      </c>
      <c r="Q507" s="68" t="s">
        <v>2252</v>
      </c>
      <c r="R507" s="68">
        <v>24</v>
      </c>
      <c r="S507" s="78"/>
      <c r="T507" s="68" t="s">
        <v>905</v>
      </c>
      <c r="U507" s="68">
        <v>13</v>
      </c>
      <c r="V507" s="72" t="s">
        <v>1958</v>
      </c>
      <c r="W507" s="72">
        <v>85</v>
      </c>
      <c r="X507" s="68"/>
      <c r="Y507" s="68" t="s">
        <v>1971</v>
      </c>
      <c r="Z507" s="68" t="s">
        <v>1972</v>
      </c>
      <c r="AA507" s="68"/>
      <c r="AB507" s="68" t="s">
        <v>2208</v>
      </c>
      <c r="AC507" s="68" t="s">
        <v>2235</v>
      </c>
    </row>
    <row r="508" spans="1:29" ht="15" customHeight="1" collapsed="1" x14ac:dyDescent="0.3">
      <c r="A508" s="68" t="s">
        <v>389</v>
      </c>
      <c r="B508" s="68" t="s">
        <v>2092</v>
      </c>
      <c r="C508" s="68" t="s">
        <v>973</v>
      </c>
      <c r="D508" s="68" t="s">
        <v>301</v>
      </c>
      <c r="E508" s="68" t="s">
        <v>1047</v>
      </c>
      <c r="F508" s="68" t="s">
        <v>8</v>
      </c>
      <c r="G508" s="68" t="s">
        <v>2250</v>
      </c>
      <c r="H508" s="68" t="s">
        <v>929</v>
      </c>
      <c r="I508" s="68" t="s">
        <v>929</v>
      </c>
      <c r="J508" s="69">
        <v>0.63300000000000001</v>
      </c>
      <c r="K508" s="69">
        <v>1.8670169726832081E-2</v>
      </c>
      <c r="L508" s="68"/>
      <c r="M508" s="68" t="s">
        <v>992</v>
      </c>
      <c r="N508" s="68" t="s">
        <v>1882</v>
      </c>
      <c r="O508" s="68" t="str">
        <f t="shared" si="7"/>
        <v>GH21_Global SymmSW Backline</v>
      </c>
      <c r="P508" s="68" t="s">
        <v>2196</v>
      </c>
      <c r="Q508" s="68" t="s">
        <v>2252</v>
      </c>
      <c r="R508" s="68">
        <v>4</v>
      </c>
      <c r="S508" s="78"/>
      <c r="T508" s="68" t="s">
        <v>905</v>
      </c>
      <c r="U508" s="68">
        <v>13</v>
      </c>
      <c r="V508" s="72" t="s">
        <v>1958</v>
      </c>
      <c r="W508" s="72">
        <v>4</v>
      </c>
      <c r="X508" s="68"/>
      <c r="Y508" s="68" t="s">
        <v>1971</v>
      </c>
      <c r="Z508" s="68" t="s">
        <v>1972</v>
      </c>
      <c r="AA508" s="68"/>
      <c r="AB508" s="68" t="s">
        <v>2208</v>
      </c>
      <c r="AC508" s="68" t="s">
        <v>2235</v>
      </c>
    </row>
    <row r="509" spans="1:29" ht="15" customHeight="1" collapsed="1" x14ac:dyDescent="0.3">
      <c r="A509" s="68" t="s">
        <v>406</v>
      </c>
      <c r="B509" s="68" t="s">
        <v>2093</v>
      </c>
      <c r="C509" s="68" t="s">
        <v>973</v>
      </c>
      <c r="D509" s="68" t="s">
        <v>301</v>
      </c>
      <c r="E509" s="68" t="s">
        <v>403</v>
      </c>
      <c r="F509" s="68" t="s">
        <v>8</v>
      </c>
      <c r="G509" s="68" t="s">
        <v>2250</v>
      </c>
      <c r="H509" s="68" t="s">
        <v>929</v>
      </c>
      <c r="I509" s="68" t="s">
        <v>929</v>
      </c>
      <c r="J509" s="69">
        <v>0.63300000000000001</v>
      </c>
      <c r="K509" s="69">
        <v>1.8670169726832081E-2</v>
      </c>
      <c r="L509" s="68"/>
      <c r="M509" s="68" t="s">
        <v>924</v>
      </c>
      <c r="N509" s="68" t="s">
        <v>1882</v>
      </c>
      <c r="O509" s="68" t="str">
        <f t="shared" si="7"/>
        <v>GH23_Global Vplex Backline</v>
      </c>
      <c r="P509" s="68" t="s">
        <v>2196</v>
      </c>
      <c r="Q509" s="68" t="s">
        <v>2252</v>
      </c>
      <c r="R509" s="68">
        <v>12</v>
      </c>
      <c r="S509" s="78"/>
      <c r="T509" s="68" t="s">
        <v>905</v>
      </c>
      <c r="U509" s="68">
        <v>13</v>
      </c>
      <c r="V509" s="72" t="s">
        <v>1958</v>
      </c>
      <c r="W509" s="72">
        <v>10</v>
      </c>
      <c r="X509" s="68"/>
      <c r="Y509" s="68" t="s">
        <v>1971</v>
      </c>
      <c r="Z509" s="68" t="s">
        <v>1972</v>
      </c>
      <c r="AA509" s="68"/>
      <c r="AB509" s="68" t="s">
        <v>2208</v>
      </c>
      <c r="AC509" s="68" t="s">
        <v>2235</v>
      </c>
    </row>
    <row r="510" spans="1:29" ht="15" customHeight="1" collapsed="1" x14ac:dyDescent="0.3">
      <c r="A510" s="68" t="s">
        <v>135</v>
      </c>
      <c r="B510" s="68" t="s">
        <v>136</v>
      </c>
      <c r="C510" s="68" t="s">
        <v>1044</v>
      </c>
      <c r="D510" s="68" t="s">
        <v>44</v>
      </c>
      <c r="E510" s="68" t="s">
        <v>134</v>
      </c>
      <c r="F510" s="68" t="s">
        <v>8</v>
      </c>
      <c r="G510" s="68" t="s">
        <v>2251</v>
      </c>
      <c r="H510" s="68" t="s">
        <v>929</v>
      </c>
      <c r="I510" s="68" t="s">
        <v>929</v>
      </c>
      <c r="J510" s="69">
        <v>0.63300000000000001</v>
      </c>
      <c r="K510" s="69">
        <v>1.0563380281690141E-2</v>
      </c>
      <c r="L510" s="68"/>
      <c r="M510" s="68" t="s">
        <v>895</v>
      </c>
      <c r="N510" s="68" t="s">
        <v>916</v>
      </c>
      <c r="O510" s="68" t="str">
        <f t="shared" si="7"/>
        <v>GH25_Global DPD PowerProtect Cyber</v>
      </c>
      <c r="P510" s="68" t="s">
        <v>2195</v>
      </c>
      <c r="Q510" s="68" t="s">
        <v>1884</v>
      </c>
      <c r="R510" s="68">
        <v>14</v>
      </c>
      <c r="S510" s="78"/>
      <c r="T510" s="68" t="s">
        <v>905</v>
      </c>
      <c r="U510" s="68">
        <v>13</v>
      </c>
      <c r="V510" s="72" t="s">
        <v>1958</v>
      </c>
      <c r="W510" s="72">
        <v>27</v>
      </c>
      <c r="X510" s="68"/>
      <c r="Y510" s="68" t="s">
        <v>1971</v>
      </c>
      <c r="Z510" s="68" t="s">
        <v>1972</v>
      </c>
      <c r="AA510" s="68" t="str">
        <f>IFERROR("Queue Got Merged in "&amp;VLOOKUP(A510,'CQNs Merged_Split'!$B$7:$D$103,3,FALSE),"")</f>
        <v/>
      </c>
      <c r="AB510" s="68" t="s">
        <v>2210</v>
      </c>
      <c r="AC510" s="68" t="s">
        <v>2236</v>
      </c>
    </row>
    <row r="511" spans="1:29" s="11" customFormat="1" ht="15" customHeight="1" collapsed="1" x14ac:dyDescent="0.3">
      <c r="A511" s="68" t="s">
        <v>2070</v>
      </c>
      <c r="B511" s="68" t="s">
        <v>2071</v>
      </c>
      <c r="C511" s="68" t="s">
        <v>928</v>
      </c>
      <c r="D511" s="68" t="s">
        <v>158</v>
      </c>
      <c r="E511" s="68" t="s">
        <v>224</v>
      </c>
      <c r="F511" s="68" t="s">
        <v>8</v>
      </c>
      <c r="G511" s="68" t="s">
        <v>2250</v>
      </c>
      <c r="H511" s="68" t="s">
        <v>929</v>
      </c>
      <c r="I511" s="68" t="s">
        <v>929</v>
      </c>
      <c r="J511" s="69">
        <v>0.63300000000000001</v>
      </c>
      <c r="K511" s="69">
        <v>1.8670169726832081E-2</v>
      </c>
      <c r="L511" s="68"/>
      <c r="M511" s="68" t="s">
        <v>922</v>
      </c>
      <c r="N511" s="68" t="s">
        <v>1882</v>
      </c>
      <c r="O511" s="68" t="str">
        <f t="shared" si="7"/>
        <v>GS01_Global Solutions HCI DE</v>
      </c>
      <c r="P511" s="68" t="s">
        <v>2193</v>
      </c>
      <c r="Q511" s="68" t="s">
        <v>1810</v>
      </c>
      <c r="R511" s="68">
        <v>24</v>
      </c>
      <c r="S511" s="78"/>
      <c r="T511" s="68" t="s">
        <v>905</v>
      </c>
      <c r="U511" s="68">
        <v>13</v>
      </c>
      <c r="V511" s="72" t="s">
        <v>1958</v>
      </c>
      <c r="W511" s="72">
        <v>94</v>
      </c>
      <c r="X511" s="68" t="s">
        <v>2071</v>
      </c>
      <c r="Y511" s="68" t="s">
        <v>1971</v>
      </c>
      <c r="Z511" s="68" t="s">
        <v>1972</v>
      </c>
      <c r="AA511" s="68"/>
      <c r="AB511" s="68" t="s">
        <v>2208</v>
      </c>
      <c r="AC511" s="68" t="s">
        <v>2238</v>
      </c>
    </row>
    <row r="512" spans="1:29" s="11" customFormat="1" ht="15" customHeight="1" collapsed="1" x14ac:dyDescent="0.3">
      <c r="A512" s="68" t="s">
        <v>2068</v>
      </c>
      <c r="B512" s="68" t="s">
        <v>2069</v>
      </c>
      <c r="C512" s="68" t="s">
        <v>928</v>
      </c>
      <c r="D512" s="68" t="s">
        <v>158</v>
      </c>
      <c r="E512" s="68" t="s">
        <v>224</v>
      </c>
      <c r="F512" s="68" t="s">
        <v>8</v>
      </c>
      <c r="G512" s="68" t="s">
        <v>2250</v>
      </c>
      <c r="H512" s="68" t="s">
        <v>929</v>
      </c>
      <c r="I512" s="68" t="s">
        <v>929</v>
      </c>
      <c r="J512" s="69">
        <v>0.63300000000000001</v>
      </c>
      <c r="K512" s="69">
        <v>1.8670169726832081E-2</v>
      </c>
      <c r="L512" s="68"/>
      <c r="M512" s="68" t="s">
        <v>922</v>
      </c>
      <c r="N512" s="68" t="s">
        <v>1882</v>
      </c>
      <c r="O512" s="68" t="str">
        <f t="shared" si="7"/>
        <v>GS02_Global Solutions MS DE</v>
      </c>
      <c r="P512" s="68" t="s">
        <v>2193</v>
      </c>
      <c r="Q512" s="68" t="s">
        <v>1810</v>
      </c>
      <c r="R512" s="68">
        <v>24</v>
      </c>
      <c r="S512" s="78"/>
      <c r="T512" s="68" t="s">
        <v>905</v>
      </c>
      <c r="U512" s="68">
        <v>13</v>
      </c>
      <c r="V512" s="72" t="s">
        <v>1958</v>
      </c>
      <c r="W512" s="72">
        <v>75</v>
      </c>
      <c r="X512" s="68" t="s">
        <v>2069</v>
      </c>
      <c r="Y512" s="68" t="s">
        <v>1971</v>
      </c>
      <c r="Z512" s="68" t="s">
        <v>1972</v>
      </c>
      <c r="AA512" s="68"/>
      <c r="AB512" s="68" t="s">
        <v>2208</v>
      </c>
      <c r="AC512" s="68" t="s">
        <v>2238</v>
      </c>
    </row>
    <row r="513" spans="1:29" s="11" customFormat="1" ht="15" customHeight="1" collapsed="1" x14ac:dyDescent="0.3">
      <c r="A513" s="68" t="s">
        <v>2085</v>
      </c>
      <c r="B513" s="68" t="s">
        <v>2086</v>
      </c>
      <c r="C513" s="68" t="s">
        <v>973</v>
      </c>
      <c r="D513" s="68" t="s">
        <v>229</v>
      </c>
      <c r="E513" s="68" t="s">
        <v>229</v>
      </c>
      <c r="F513" s="68" t="s">
        <v>8</v>
      </c>
      <c r="G513" s="68" t="s">
        <v>2249</v>
      </c>
      <c r="H513" s="68" t="s">
        <v>929</v>
      </c>
      <c r="I513" s="68" t="s">
        <v>929</v>
      </c>
      <c r="J513" s="69">
        <v>0.63300000000000001</v>
      </c>
      <c r="K513" s="69">
        <v>1.8670169726832081E-2</v>
      </c>
      <c r="L513" s="68"/>
      <c r="M513" s="68" t="s">
        <v>895</v>
      </c>
      <c r="N513" s="68" t="s">
        <v>916</v>
      </c>
      <c r="O513" s="68" t="str">
        <f t="shared" ref="O513:O576" si="8">A513&amp;"_"&amp;B513</f>
        <v>GS05_Global HES Midrange FL</v>
      </c>
      <c r="P513" s="68" t="s">
        <v>2196</v>
      </c>
      <c r="Q513" s="68" t="s">
        <v>2252</v>
      </c>
      <c r="R513" s="68">
        <v>14</v>
      </c>
      <c r="S513" s="78"/>
      <c r="T513" s="68" t="s">
        <v>905</v>
      </c>
      <c r="U513" s="68">
        <v>13</v>
      </c>
      <c r="V513" s="72" t="s">
        <v>1958</v>
      </c>
      <c r="W513" s="72">
        <v>92</v>
      </c>
      <c r="X513" s="68" t="s">
        <v>2086</v>
      </c>
      <c r="Y513" s="68"/>
      <c r="Z513" s="68" t="s">
        <v>1972</v>
      </c>
      <c r="AA513" s="68" t="str">
        <f>IFERROR("Queue Got Merged in "&amp;VLOOKUP(A513,'CQNs Merged_Split'!$B$7:$D$103,3,FALSE),"")</f>
        <v/>
      </c>
      <c r="AB513" s="68" t="s">
        <v>2210</v>
      </c>
      <c r="AC513" s="68" t="s">
        <v>2237</v>
      </c>
    </row>
    <row r="514" spans="1:29" s="11" customFormat="1" ht="15" customHeight="1" collapsed="1" x14ac:dyDescent="0.3">
      <c r="A514" s="68" t="s">
        <v>339</v>
      </c>
      <c r="B514" s="68" t="s">
        <v>2162</v>
      </c>
      <c r="C514" s="68" t="s">
        <v>973</v>
      </c>
      <c r="D514" s="68" t="s">
        <v>301</v>
      </c>
      <c r="E514" s="68" t="s">
        <v>334</v>
      </c>
      <c r="F514" s="68" t="s">
        <v>8</v>
      </c>
      <c r="G514" s="68" t="s">
        <v>2249</v>
      </c>
      <c r="H514" s="68" t="s">
        <v>929</v>
      </c>
      <c r="I514" s="68" t="s">
        <v>929</v>
      </c>
      <c r="J514" s="69">
        <v>0.63300000000000001</v>
      </c>
      <c r="K514" s="69">
        <v>9.9833610648918467E-3</v>
      </c>
      <c r="L514" s="68"/>
      <c r="M514" s="68" t="s">
        <v>923</v>
      </c>
      <c r="N514" s="68" t="s">
        <v>916</v>
      </c>
      <c r="O514" s="68" t="str">
        <f t="shared" si="8"/>
        <v>HE12_Global Integrated Software FL</v>
      </c>
      <c r="P514" s="68" t="s">
        <v>2196</v>
      </c>
      <c r="Q514" s="68" t="s">
        <v>2252</v>
      </c>
      <c r="R514" s="68">
        <v>16</v>
      </c>
      <c r="S514" s="78"/>
      <c r="T514" s="68" t="s">
        <v>905</v>
      </c>
      <c r="U514" s="68">
        <v>13</v>
      </c>
      <c r="V514" s="72" t="s">
        <v>1958</v>
      </c>
      <c r="W514" s="72">
        <v>39</v>
      </c>
      <c r="X514" s="68" t="s">
        <v>2078</v>
      </c>
      <c r="Y514" s="68" t="s">
        <v>2045</v>
      </c>
      <c r="Z514" s="68" t="s">
        <v>1974</v>
      </c>
      <c r="AA514" s="68" t="str">
        <f>IFERROR("Queue Got Merged in "&amp;VLOOKUP(A514,'CQNs Merged_Split'!$B$7:$D$103,3,FALSE),"")</f>
        <v/>
      </c>
      <c r="AB514" s="68" t="s">
        <v>2208</v>
      </c>
      <c r="AC514" s="68" t="s">
        <v>2242</v>
      </c>
    </row>
    <row r="515" spans="1:29" s="11" customFormat="1" ht="15" customHeight="1" x14ac:dyDescent="0.3">
      <c r="A515" s="68" t="s">
        <v>198</v>
      </c>
      <c r="B515" s="68" t="s">
        <v>199</v>
      </c>
      <c r="C515" s="68" t="s">
        <v>914</v>
      </c>
      <c r="D515" s="68" t="s">
        <v>158</v>
      </c>
      <c r="E515" s="68" t="s">
        <v>173</v>
      </c>
      <c r="F515" s="68" t="s">
        <v>8</v>
      </c>
      <c r="G515" s="68" t="s">
        <v>2249</v>
      </c>
      <c r="H515" s="68" t="s">
        <v>903</v>
      </c>
      <c r="I515" s="68" t="s">
        <v>1063</v>
      </c>
      <c r="J515" s="69">
        <v>0.629</v>
      </c>
      <c r="K515" s="69">
        <v>2.278539874447803E-2</v>
      </c>
      <c r="L515" s="68"/>
      <c r="M515" s="68" t="s">
        <v>992</v>
      </c>
      <c r="N515" s="68" t="s">
        <v>916</v>
      </c>
      <c r="O515" s="68" t="str">
        <f t="shared" si="8"/>
        <v>HE72_HCS APJ VxRail Korean</v>
      </c>
      <c r="P515" s="68" t="s">
        <v>2197</v>
      </c>
      <c r="Q515" s="68" t="s">
        <v>1883</v>
      </c>
      <c r="R515" s="68">
        <v>6</v>
      </c>
      <c r="S515" s="78"/>
      <c r="T515" s="68" t="s">
        <v>905</v>
      </c>
      <c r="U515" s="68">
        <v>13</v>
      </c>
      <c r="V515" s="72" t="s">
        <v>1958</v>
      </c>
      <c r="W515" s="72">
        <v>6</v>
      </c>
      <c r="X515" s="68"/>
      <c r="Y515" s="68" t="s">
        <v>1971</v>
      </c>
      <c r="Z515" s="68" t="s">
        <v>1972</v>
      </c>
      <c r="AA515" s="68" t="str">
        <f>IFERROR("Queue Got Merged in "&amp;VLOOKUP(A515,'CQNs Merged_Split'!$B$7:$D$103,3,FALSE),"")</f>
        <v/>
      </c>
      <c r="AB515" s="68" t="s">
        <v>2212</v>
      </c>
      <c r="AC515" s="68" t="s">
        <v>2243</v>
      </c>
    </row>
    <row r="516" spans="1:29" ht="15" customHeight="1" x14ac:dyDescent="0.3">
      <c r="A516" s="68" t="s">
        <v>1825</v>
      </c>
      <c r="B516" s="68" t="s">
        <v>1827</v>
      </c>
      <c r="C516" s="75" t="s">
        <v>2165</v>
      </c>
      <c r="D516" s="68" t="s">
        <v>44</v>
      </c>
      <c r="E516" s="68" t="s">
        <v>109</v>
      </c>
      <c r="F516" s="68" t="s">
        <v>8</v>
      </c>
      <c r="G516" s="68" t="s">
        <v>2249</v>
      </c>
      <c r="H516" s="68" t="s">
        <v>935</v>
      </c>
      <c r="I516" s="68" t="s">
        <v>936</v>
      </c>
      <c r="J516" s="69">
        <v>0.57099999999999995</v>
      </c>
      <c r="K516" s="69">
        <v>1.5604681404421327E-2</v>
      </c>
      <c r="L516" s="68"/>
      <c r="M516" s="68"/>
      <c r="N516" s="68" t="s">
        <v>916</v>
      </c>
      <c r="O516" s="68" t="str">
        <f t="shared" si="8"/>
        <v>HED1_LATAM Networker Portuguese</v>
      </c>
      <c r="P516" s="68" t="s">
        <v>2194</v>
      </c>
      <c r="Q516" s="68" t="s">
        <v>2252</v>
      </c>
      <c r="R516" s="68">
        <v>8</v>
      </c>
      <c r="S516" s="78"/>
      <c r="T516" s="68" t="s">
        <v>905</v>
      </c>
      <c r="U516" s="68">
        <v>13</v>
      </c>
      <c r="V516" s="72" t="s">
        <v>1958</v>
      </c>
      <c r="W516" s="72">
        <v>7</v>
      </c>
      <c r="X516" s="68"/>
      <c r="Y516" s="68"/>
      <c r="Z516" s="68"/>
      <c r="AA516" s="68" t="str">
        <f>IFERROR("Queue Got Merged in "&amp;VLOOKUP(A516,'CQNs Merged_Split'!$B$7:$D$103,3,FALSE),"")</f>
        <v/>
      </c>
      <c r="AB516" s="68" t="s">
        <v>2209</v>
      </c>
      <c r="AC516" s="68" t="s">
        <v>2240</v>
      </c>
    </row>
    <row r="517" spans="1:29" s="32" customFormat="1" ht="15" customHeight="1" x14ac:dyDescent="0.3">
      <c r="A517" s="68" t="s">
        <v>1826</v>
      </c>
      <c r="B517" s="68" t="s">
        <v>1828</v>
      </c>
      <c r="C517" s="75" t="s">
        <v>2165</v>
      </c>
      <c r="D517" s="68" t="s">
        <v>44</v>
      </c>
      <c r="E517" s="68" t="s">
        <v>109</v>
      </c>
      <c r="F517" s="68" t="s">
        <v>8</v>
      </c>
      <c r="G517" s="68" t="s">
        <v>2249</v>
      </c>
      <c r="H517" s="68" t="s">
        <v>935</v>
      </c>
      <c r="I517" s="68" t="s">
        <v>1076</v>
      </c>
      <c r="J517" s="69">
        <v>0.64100000000000001</v>
      </c>
      <c r="K517" s="69">
        <v>1.5604681404421327E-2</v>
      </c>
      <c r="L517" s="68"/>
      <c r="M517" s="68"/>
      <c r="N517" s="68" t="s">
        <v>916</v>
      </c>
      <c r="O517" s="68" t="str">
        <f t="shared" si="8"/>
        <v>HED2_LATAM Networker Spanish</v>
      </c>
      <c r="P517" s="68" t="s">
        <v>2194</v>
      </c>
      <c r="Q517" s="68" t="s">
        <v>2252</v>
      </c>
      <c r="R517" s="68">
        <v>6</v>
      </c>
      <c r="S517" s="78"/>
      <c r="T517" s="68" t="s">
        <v>905</v>
      </c>
      <c r="U517" s="68">
        <v>13</v>
      </c>
      <c r="V517" s="72" t="s">
        <v>1958</v>
      </c>
      <c r="W517" s="72">
        <v>5</v>
      </c>
      <c r="X517" s="68"/>
      <c r="Y517" s="68"/>
      <c r="Z517" s="68"/>
      <c r="AA517" s="68" t="str">
        <f>IFERROR("Queue Got Merged in "&amp;VLOOKUP(A517,'CQNs Merged_Split'!$B$7:$D$103,3,FALSE),"")</f>
        <v/>
      </c>
      <c r="AB517" s="68" t="s">
        <v>779</v>
      </c>
      <c r="AC517" s="68" t="s">
        <v>2239</v>
      </c>
    </row>
    <row r="518" spans="1:29" ht="15" customHeight="1" x14ac:dyDescent="0.3">
      <c r="A518" s="68" t="s">
        <v>1833</v>
      </c>
      <c r="B518" s="68" t="s">
        <v>1834</v>
      </c>
      <c r="C518" s="75" t="s">
        <v>2165</v>
      </c>
      <c r="D518" s="68" t="s">
        <v>301</v>
      </c>
      <c r="E518" s="68" t="s">
        <v>357</v>
      </c>
      <c r="F518" s="68" t="s">
        <v>8</v>
      </c>
      <c r="G518" s="68" t="s">
        <v>2249</v>
      </c>
      <c r="H518" s="68" t="s">
        <v>935</v>
      </c>
      <c r="I518" s="68" t="s">
        <v>936</v>
      </c>
      <c r="J518" s="69">
        <v>0.57099999999999995</v>
      </c>
      <c r="K518" s="69">
        <v>1.5604681404421327E-2</v>
      </c>
      <c r="L518" s="68"/>
      <c r="M518" s="68"/>
      <c r="N518" s="68" t="s">
        <v>916</v>
      </c>
      <c r="O518" s="68" t="str">
        <f t="shared" si="8"/>
        <v>HEE4_LATAM Primary Storage Portuguese</v>
      </c>
      <c r="P518" s="68" t="s">
        <v>2194</v>
      </c>
      <c r="Q518" s="68" t="s">
        <v>2252</v>
      </c>
      <c r="R518" s="68">
        <v>13</v>
      </c>
      <c r="S518" s="78"/>
      <c r="T518" s="68" t="s">
        <v>905</v>
      </c>
      <c r="U518" s="68">
        <v>13</v>
      </c>
      <c r="V518" s="72" t="s">
        <v>1958</v>
      </c>
      <c r="W518" s="72">
        <v>13</v>
      </c>
      <c r="X518" s="68"/>
      <c r="Y518" s="68"/>
      <c r="Z518" s="68"/>
      <c r="AA518" s="68" t="str">
        <f>IFERROR("Queue Got Merged in "&amp;VLOOKUP(A518,'CQNs Merged_Split'!$B$7:$D$103,3,FALSE),"")</f>
        <v/>
      </c>
      <c r="AB518" s="68" t="s">
        <v>2209</v>
      </c>
      <c r="AC518" s="68" t="s">
        <v>2239</v>
      </c>
    </row>
    <row r="519" spans="1:29" ht="15" customHeight="1" x14ac:dyDescent="0.3">
      <c r="A519" s="68" t="s">
        <v>1835</v>
      </c>
      <c r="B519" s="68" t="s">
        <v>1836</v>
      </c>
      <c r="C519" s="75" t="s">
        <v>2165</v>
      </c>
      <c r="D519" s="68" t="s">
        <v>301</v>
      </c>
      <c r="E519" s="68" t="s">
        <v>357</v>
      </c>
      <c r="F519" s="68" t="s">
        <v>8</v>
      </c>
      <c r="G519" s="68" t="s">
        <v>2249</v>
      </c>
      <c r="H519" s="68" t="s">
        <v>935</v>
      </c>
      <c r="I519" s="68" t="s">
        <v>1076</v>
      </c>
      <c r="J519" s="69">
        <v>0.64100000000000001</v>
      </c>
      <c r="K519" s="69">
        <v>1.5604681404421327E-2</v>
      </c>
      <c r="L519" s="68"/>
      <c r="M519" s="68"/>
      <c r="N519" s="68" t="s">
        <v>916</v>
      </c>
      <c r="O519" s="68" t="str">
        <f t="shared" si="8"/>
        <v>HEE5_LATAM Primary Storage Spanish</v>
      </c>
      <c r="P519" s="68" t="s">
        <v>2194</v>
      </c>
      <c r="Q519" s="68" t="s">
        <v>2252</v>
      </c>
      <c r="R519" s="68">
        <v>8</v>
      </c>
      <c r="S519" s="78"/>
      <c r="T519" s="68" t="s">
        <v>905</v>
      </c>
      <c r="U519" s="68">
        <v>13</v>
      </c>
      <c r="V519" s="72" t="s">
        <v>1958</v>
      </c>
      <c r="W519" s="72">
        <v>6</v>
      </c>
      <c r="X519" s="68"/>
      <c r="Y519" s="68"/>
      <c r="Z519" s="68"/>
      <c r="AA519" s="68" t="str">
        <f>IFERROR("Queue Got Merged in "&amp;VLOOKUP(A519,'CQNs Merged_Split'!$B$7:$D$103,3,FALSE),"")</f>
        <v/>
      </c>
      <c r="AB519" s="68" t="s">
        <v>779</v>
      </c>
      <c r="AC519" s="68" t="s">
        <v>2237</v>
      </c>
    </row>
    <row r="520" spans="1:29" ht="15" customHeight="1" x14ac:dyDescent="0.3">
      <c r="A520" s="68" t="s">
        <v>1818</v>
      </c>
      <c r="B520" s="68" t="s">
        <v>1819</v>
      </c>
      <c r="C520" s="75" t="s">
        <v>2165</v>
      </c>
      <c r="D520" s="68" t="s">
        <v>44</v>
      </c>
      <c r="E520" s="68" t="s">
        <v>45</v>
      </c>
      <c r="F520" s="68" t="s">
        <v>8</v>
      </c>
      <c r="G520" s="68" t="s">
        <v>2249</v>
      </c>
      <c r="H520" s="68" t="s">
        <v>935</v>
      </c>
      <c r="I520" s="68" t="s">
        <v>1076</v>
      </c>
      <c r="J520" s="69">
        <v>0.64100000000000001</v>
      </c>
      <c r="K520" s="69">
        <v>1.5604681404421327E-2</v>
      </c>
      <c r="L520" s="68"/>
      <c r="M520" s="68"/>
      <c r="N520" s="68" t="s">
        <v>916</v>
      </c>
      <c r="O520" s="68" t="str">
        <f t="shared" si="8"/>
        <v>HEG3_LATAM Avamar Spanish</v>
      </c>
      <c r="P520" s="68" t="s">
        <v>2194</v>
      </c>
      <c r="Q520" s="68" t="s">
        <v>2252</v>
      </c>
      <c r="R520" s="68">
        <v>10</v>
      </c>
      <c r="S520" s="78"/>
      <c r="T520" s="68" t="s">
        <v>905</v>
      </c>
      <c r="U520" s="68">
        <v>13</v>
      </c>
      <c r="V520" s="72" t="s">
        <v>1958</v>
      </c>
      <c r="W520" s="72">
        <v>9</v>
      </c>
      <c r="X520" s="68"/>
      <c r="Y520" s="68"/>
      <c r="Z520" s="68"/>
      <c r="AA520" s="68" t="str">
        <f>IFERROR("Queue Got Merged in "&amp;VLOOKUP(A520,'CQNs Merged_Split'!$B$7:$D$103,3,FALSE),"")</f>
        <v/>
      </c>
      <c r="AB520" s="68" t="s">
        <v>779</v>
      </c>
      <c r="AC520" s="68" t="s">
        <v>2240</v>
      </c>
    </row>
    <row r="521" spans="1:29" ht="15" customHeight="1" x14ac:dyDescent="0.3">
      <c r="A521" s="68" t="s">
        <v>1821</v>
      </c>
      <c r="B521" s="68" t="s">
        <v>1823</v>
      </c>
      <c r="C521" s="75" t="s">
        <v>2165</v>
      </c>
      <c r="D521" s="68" t="s">
        <v>44</v>
      </c>
      <c r="E521" s="68" t="s">
        <v>71</v>
      </c>
      <c r="F521" s="68" t="s">
        <v>8</v>
      </c>
      <c r="G521" s="68" t="s">
        <v>2249</v>
      </c>
      <c r="H521" s="68" t="s">
        <v>935</v>
      </c>
      <c r="I521" s="68" t="s">
        <v>936</v>
      </c>
      <c r="J521" s="69">
        <v>0.57099999999999995</v>
      </c>
      <c r="K521" s="69">
        <v>1.5604681404421327E-2</v>
      </c>
      <c r="L521" s="68"/>
      <c r="M521" s="68"/>
      <c r="N521" s="68" t="s">
        <v>916</v>
      </c>
      <c r="O521" s="68" t="str">
        <f t="shared" si="8"/>
        <v>HEH4_LATAM DataDomain Portuguese</v>
      </c>
      <c r="P521" s="68" t="s">
        <v>2194</v>
      </c>
      <c r="Q521" s="68" t="s">
        <v>2252</v>
      </c>
      <c r="R521" s="68">
        <v>6</v>
      </c>
      <c r="S521" s="78"/>
      <c r="T521" s="68" t="s">
        <v>905</v>
      </c>
      <c r="U521" s="68">
        <v>13</v>
      </c>
      <c r="V521" s="72" t="s">
        <v>1958</v>
      </c>
      <c r="W521" s="72">
        <v>5</v>
      </c>
      <c r="X521" s="68"/>
      <c r="Y521" s="68"/>
      <c r="Z521" s="68"/>
      <c r="AA521" s="68" t="str">
        <f>IFERROR("Queue Got Merged in "&amp;VLOOKUP(A521,'CQNs Merged_Split'!$B$7:$D$103,3,FALSE),"")</f>
        <v/>
      </c>
      <c r="AB521" s="68" t="s">
        <v>2209</v>
      </c>
      <c r="AC521" s="68" t="s">
        <v>2240</v>
      </c>
    </row>
    <row r="522" spans="1:29" s="15" customFormat="1" ht="15" customHeight="1" x14ac:dyDescent="0.3">
      <c r="A522" s="68" t="s">
        <v>1822</v>
      </c>
      <c r="B522" s="68" t="s">
        <v>1824</v>
      </c>
      <c r="C522" s="75" t="s">
        <v>2165</v>
      </c>
      <c r="D522" s="68" t="s">
        <v>44</v>
      </c>
      <c r="E522" s="68" t="s">
        <v>71</v>
      </c>
      <c r="F522" s="68" t="s">
        <v>8</v>
      </c>
      <c r="G522" s="68" t="s">
        <v>2249</v>
      </c>
      <c r="H522" s="68" t="s">
        <v>935</v>
      </c>
      <c r="I522" s="68" t="s">
        <v>1076</v>
      </c>
      <c r="J522" s="69">
        <v>0.64100000000000001</v>
      </c>
      <c r="K522" s="69">
        <v>1.5604681404421327E-2</v>
      </c>
      <c r="L522" s="68"/>
      <c r="M522" s="68"/>
      <c r="N522" s="68" t="s">
        <v>916</v>
      </c>
      <c r="O522" s="68" t="str">
        <f t="shared" si="8"/>
        <v>HEH5_LATAM DataDomain Spanish</v>
      </c>
      <c r="P522" s="68" t="s">
        <v>2194</v>
      </c>
      <c r="Q522" s="68" t="s">
        <v>2252</v>
      </c>
      <c r="R522" s="68">
        <v>6</v>
      </c>
      <c r="S522" s="78"/>
      <c r="T522" s="68" t="s">
        <v>905</v>
      </c>
      <c r="U522" s="68">
        <v>13</v>
      </c>
      <c r="V522" s="72" t="s">
        <v>1958</v>
      </c>
      <c r="W522" s="72">
        <v>6</v>
      </c>
      <c r="X522" s="68"/>
      <c r="Y522" s="68"/>
      <c r="Z522" s="68"/>
      <c r="AA522" s="68" t="str">
        <f>IFERROR("Queue Got Merged in "&amp;VLOOKUP(A522,'CQNs Merged_Split'!$B$7:$D$103,3,FALSE),"")</f>
        <v/>
      </c>
      <c r="AB522" s="68" t="s">
        <v>779</v>
      </c>
      <c r="AC522" s="68" t="s">
        <v>2237</v>
      </c>
    </row>
    <row r="523" spans="1:29" ht="15" customHeight="1" x14ac:dyDescent="0.3">
      <c r="A523" s="68" t="s">
        <v>374</v>
      </c>
      <c r="B523" s="68" t="s">
        <v>375</v>
      </c>
      <c r="C523" s="68" t="s">
        <v>914</v>
      </c>
      <c r="D523" s="68" t="s">
        <v>301</v>
      </c>
      <c r="E523" s="68" t="s">
        <v>357</v>
      </c>
      <c r="F523" s="68" t="s">
        <v>8</v>
      </c>
      <c r="G523" s="68" t="s">
        <v>2249</v>
      </c>
      <c r="H523" s="68" t="s">
        <v>903</v>
      </c>
      <c r="I523" s="68" t="s">
        <v>1063</v>
      </c>
      <c r="J523" s="69">
        <v>0.629</v>
      </c>
      <c r="K523" s="69">
        <v>2.278539874447803E-2</v>
      </c>
      <c r="L523" s="68"/>
      <c r="M523" s="68">
        <v>0</v>
      </c>
      <c r="N523" s="68" t="s">
        <v>916</v>
      </c>
      <c r="O523" s="68" t="str">
        <f t="shared" si="8"/>
        <v>HEK8_APJ HES Symmetrix Korean</v>
      </c>
      <c r="P523" s="68" t="s">
        <v>2197</v>
      </c>
      <c r="Q523" s="68" t="s">
        <v>1883</v>
      </c>
      <c r="R523" s="68">
        <v>3</v>
      </c>
      <c r="S523" s="78"/>
      <c r="T523" s="68" t="s">
        <v>905</v>
      </c>
      <c r="U523" s="68">
        <v>13</v>
      </c>
      <c r="V523" s="72" t="s">
        <v>1958</v>
      </c>
      <c r="W523" s="72">
        <v>2</v>
      </c>
      <c r="X523" s="68"/>
      <c r="Y523" s="68" t="s">
        <v>2067</v>
      </c>
      <c r="Z523" s="68" t="s">
        <v>1986</v>
      </c>
      <c r="AA523" s="68" t="str">
        <f>IFERROR("Queue Got Merged in "&amp;VLOOKUP(A523,'CQNs Merged_Split'!$B$7:$D$103,3,FALSE),"")</f>
        <v/>
      </c>
      <c r="AB523" s="68" t="s">
        <v>2212</v>
      </c>
      <c r="AC523" s="68" t="s">
        <v>2234</v>
      </c>
    </row>
    <row r="524" spans="1:29" s="15" customFormat="1" ht="15" customHeight="1" x14ac:dyDescent="0.3">
      <c r="A524" s="68" t="s">
        <v>1830</v>
      </c>
      <c r="B524" s="68" t="s">
        <v>1832</v>
      </c>
      <c r="C524" s="75" t="s">
        <v>2165</v>
      </c>
      <c r="D524" s="68" t="s">
        <v>672</v>
      </c>
      <c r="E524" s="68" t="s">
        <v>2203</v>
      </c>
      <c r="F524" s="68" t="s">
        <v>8</v>
      </c>
      <c r="G524" s="68" t="s">
        <v>2249</v>
      </c>
      <c r="H524" s="68" t="s">
        <v>935</v>
      </c>
      <c r="I524" s="68" t="s">
        <v>1076</v>
      </c>
      <c r="J524" s="69">
        <v>0.64100000000000001</v>
      </c>
      <c r="K524" s="69">
        <v>1.5604681404421327E-2</v>
      </c>
      <c r="L524" s="68"/>
      <c r="M524" s="68"/>
      <c r="N524" s="68" t="s">
        <v>916</v>
      </c>
      <c r="O524" s="68" t="str">
        <f t="shared" si="8"/>
        <v>HEL1_LATAM PowerScale Spanish</v>
      </c>
      <c r="P524" s="68" t="s">
        <v>2194</v>
      </c>
      <c r="Q524" s="68" t="s">
        <v>2252</v>
      </c>
      <c r="R524" s="68">
        <v>6</v>
      </c>
      <c r="S524" s="78"/>
      <c r="T524" s="68" t="s">
        <v>905</v>
      </c>
      <c r="U524" s="68">
        <v>13</v>
      </c>
      <c r="V524" s="72" t="s">
        <v>1958</v>
      </c>
      <c r="W524" s="72">
        <v>8</v>
      </c>
      <c r="X524" s="68"/>
      <c r="Y524" s="68"/>
      <c r="Z524" s="68"/>
      <c r="AA524" s="68" t="str">
        <f>IFERROR("Queue Got Merged in "&amp;VLOOKUP(A524,'CQNs Merged_Split'!$B$7:$D$103,3,FALSE),"")</f>
        <v/>
      </c>
      <c r="AB524" s="68" t="s">
        <v>779</v>
      </c>
      <c r="AC524" s="68" t="s">
        <v>2239</v>
      </c>
    </row>
    <row r="525" spans="1:29" s="15" customFormat="1" ht="15" customHeight="1" x14ac:dyDescent="0.3">
      <c r="A525" s="68" t="s">
        <v>1817</v>
      </c>
      <c r="B525" s="68" t="s">
        <v>1820</v>
      </c>
      <c r="C525" s="75" t="s">
        <v>2165</v>
      </c>
      <c r="D525" s="68" t="s">
        <v>44</v>
      </c>
      <c r="E525" s="68" t="s">
        <v>45</v>
      </c>
      <c r="F525" s="68" t="s">
        <v>8</v>
      </c>
      <c r="G525" s="68" t="s">
        <v>2249</v>
      </c>
      <c r="H525" s="68" t="s">
        <v>935</v>
      </c>
      <c r="I525" s="68" t="s">
        <v>936</v>
      </c>
      <c r="J525" s="69">
        <v>0.64100000000000001</v>
      </c>
      <c r="K525" s="69">
        <v>1.5604681404421327E-2</v>
      </c>
      <c r="L525" s="68"/>
      <c r="M525" s="68"/>
      <c r="N525" s="68" t="s">
        <v>916</v>
      </c>
      <c r="O525" s="68" t="str">
        <f t="shared" si="8"/>
        <v>HEL2_LATAM Avamar Portuguese</v>
      </c>
      <c r="P525" s="68" t="s">
        <v>2194</v>
      </c>
      <c r="Q525" s="68" t="s">
        <v>2252</v>
      </c>
      <c r="R525" s="68">
        <v>10</v>
      </c>
      <c r="S525" s="78"/>
      <c r="T525" s="68" t="s">
        <v>905</v>
      </c>
      <c r="U525" s="68">
        <v>13</v>
      </c>
      <c r="V525" s="72" t="s">
        <v>1958</v>
      </c>
      <c r="W525" s="72">
        <v>9</v>
      </c>
      <c r="X525" s="68"/>
      <c r="Y525" s="68"/>
      <c r="Z525" s="68"/>
      <c r="AA525" s="68" t="str">
        <f>IFERROR("Queue Got Merged in "&amp;VLOOKUP(A525,'CQNs Merged_Split'!$B$7:$D$103,3,FALSE),"")</f>
        <v/>
      </c>
      <c r="AB525" s="68" t="s">
        <v>2209</v>
      </c>
      <c r="AC525" s="68" t="s">
        <v>2239</v>
      </c>
    </row>
    <row r="526" spans="1:29" ht="15" customHeight="1" x14ac:dyDescent="0.3">
      <c r="A526" s="68" t="s">
        <v>1829</v>
      </c>
      <c r="B526" s="68" t="s">
        <v>1831</v>
      </c>
      <c r="C526" s="75" t="s">
        <v>2165</v>
      </c>
      <c r="D526" s="68" t="s">
        <v>672</v>
      </c>
      <c r="E526" s="68" t="s">
        <v>2203</v>
      </c>
      <c r="F526" s="68" t="s">
        <v>8</v>
      </c>
      <c r="G526" s="68" t="s">
        <v>2249</v>
      </c>
      <c r="H526" s="68" t="s">
        <v>935</v>
      </c>
      <c r="I526" s="68" t="s">
        <v>936</v>
      </c>
      <c r="J526" s="69">
        <v>0.57099999999999995</v>
      </c>
      <c r="K526" s="69">
        <v>1.5604681404421327E-2</v>
      </c>
      <c r="L526" s="68"/>
      <c r="M526" s="68"/>
      <c r="N526" s="68" t="s">
        <v>916</v>
      </c>
      <c r="O526" s="68" t="str">
        <f t="shared" si="8"/>
        <v>HEL3_LATAM PowerScale Portuguese</v>
      </c>
      <c r="P526" s="68" t="s">
        <v>2194</v>
      </c>
      <c r="Q526" s="68" t="s">
        <v>2252</v>
      </c>
      <c r="R526" s="68">
        <v>6</v>
      </c>
      <c r="S526" s="78"/>
      <c r="T526" s="68" t="s">
        <v>905</v>
      </c>
      <c r="U526" s="68">
        <v>13</v>
      </c>
      <c r="V526" s="72" t="s">
        <v>1958</v>
      </c>
      <c r="W526" s="72">
        <v>5</v>
      </c>
      <c r="X526" s="68"/>
      <c r="Y526" s="68"/>
      <c r="Z526" s="68"/>
      <c r="AA526" s="68" t="str">
        <f>IFERROR("Queue Got Merged in "&amp;VLOOKUP(A526,'CQNs Merged_Split'!$B$7:$D$103,3,FALSE),"")</f>
        <v/>
      </c>
      <c r="AB526" s="68" t="s">
        <v>2209</v>
      </c>
      <c r="AC526" s="68" t="s">
        <v>2240</v>
      </c>
    </row>
    <row r="527" spans="1:29" s="32" customFormat="1" ht="15" customHeight="1" x14ac:dyDescent="0.3">
      <c r="A527" s="68" t="s">
        <v>1837</v>
      </c>
      <c r="B527" s="68" t="s">
        <v>1838</v>
      </c>
      <c r="C527" s="75" t="s">
        <v>2165</v>
      </c>
      <c r="D527" s="68" t="s">
        <v>672</v>
      </c>
      <c r="E527" s="68" t="s">
        <v>702</v>
      </c>
      <c r="F527" s="68" t="s">
        <v>8</v>
      </c>
      <c r="G527" s="68" t="s">
        <v>2249</v>
      </c>
      <c r="H527" s="68" t="s">
        <v>935</v>
      </c>
      <c r="I527" s="68" t="s">
        <v>936</v>
      </c>
      <c r="J527" s="69">
        <v>0.57099999999999995</v>
      </c>
      <c r="K527" s="69">
        <v>1.5604681404421327E-2</v>
      </c>
      <c r="L527" s="68"/>
      <c r="M527" s="68"/>
      <c r="N527" s="68" t="s">
        <v>916</v>
      </c>
      <c r="O527" s="68" t="str">
        <f t="shared" si="8"/>
        <v>HEL4_LATAM ECS Portuguese</v>
      </c>
      <c r="P527" s="68" t="s">
        <v>2194</v>
      </c>
      <c r="Q527" s="68" t="s">
        <v>2252</v>
      </c>
      <c r="R527" s="68">
        <v>3</v>
      </c>
      <c r="S527" s="78"/>
      <c r="T527" s="68" t="s">
        <v>905</v>
      </c>
      <c r="U527" s="68">
        <v>13</v>
      </c>
      <c r="V527" s="72" t="s">
        <v>1958</v>
      </c>
      <c r="W527" s="72">
        <v>2</v>
      </c>
      <c r="X527" s="68"/>
      <c r="Y527" s="68"/>
      <c r="Z527" s="68"/>
      <c r="AA527" s="68" t="str">
        <f>IFERROR("Queue Got Merged in "&amp;VLOOKUP(A527,'CQNs Merged_Split'!$B$7:$D$103,3,FALSE),"")</f>
        <v/>
      </c>
      <c r="AB527" s="68" t="s">
        <v>2209</v>
      </c>
      <c r="AC527" s="68" t="s">
        <v>2235</v>
      </c>
    </row>
    <row r="528" spans="1:29" ht="15" customHeight="1" x14ac:dyDescent="0.3">
      <c r="A528" s="68" t="s">
        <v>1840</v>
      </c>
      <c r="B528" s="68" t="s">
        <v>1839</v>
      </c>
      <c r="C528" s="75" t="s">
        <v>2165</v>
      </c>
      <c r="D528" s="68" t="s">
        <v>672</v>
      </c>
      <c r="E528" s="68" t="s">
        <v>702</v>
      </c>
      <c r="F528" s="68" t="s">
        <v>8</v>
      </c>
      <c r="G528" s="68" t="s">
        <v>2249</v>
      </c>
      <c r="H528" s="68" t="s">
        <v>935</v>
      </c>
      <c r="I528" s="68" t="s">
        <v>1076</v>
      </c>
      <c r="J528" s="69">
        <v>0.64100000000000001</v>
      </c>
      <c r="K528" s="69">
        <v>1.5604681404421327E-2</v>
      </c>
      <c r="L528" s="68"/>
      <c r="M528" s="68"/>
      <c r="N528" s="68" t="s">
        <v>916</v>
      </c>
      <c r="O528" s="68" t="str">
        <f t="shared" si="8"/>
        <v>HEL5_LATAM ECS Spanish</v>
      </c>
      <c r="P528" s="68" t="s">
        <v>2194</v>
      </c>
      <c r="Q528" s="68" t="s">
        <v>2252</v>
      </c>
      <c r="R528" s="68">
        <v>2</v>
      </c>
      <c r="S528" s="78"/>
      <c r="T528" s="68" t="s">
        <v>905</v>
      </c>
      <c r="U528" s="68">
        <v>13</v>
      </c>
      <c r="V528" s="72" t="s">
        <v>1958</v>
      </c>
      <c r="W528" s="72">
        <v>2</v>
      </c>
      <c r="X528" s="68"/>
      <c r="Y528" s="68"/>
      <c r="Z528" s="68"/>
      <c r="AA528" s="68" t="str">
        <f>IFERROR("Queue Got Merged in "&amp;VLOOKUP(A528,'CQNs Merged_Split'!$B$7:$D$103,3,FALSE),"")</f>
        <v/>
      </c>
      <c r="AB528" s="68" t="s">
        <v>779</v>
      </c>
      <c r="AC528" s="68" t="s">
        <v>2237</v>
      </c>
    </row>
    <row r="529" spans="1:29" ht="15" customHeight="1" x14ac:dyDescent="0.3">
      <c r="A529" s="68" t="s">
        <v>694</v>
      </c>
      <c r="B529" s="68" t="s">
        <v>1914</v>
      </c>
      <c r="C529" s="68" t="s">
        <v>1044</v>
      </c>
      <c r="D529" s="68" t="s">
        <v>672</v>
      </c>
      <c r="E529" s="68" t="s">
        <v>2203</v>
      </c>
      <c r="F529" s="68" t="s">
        <v>8</v>
      </c>
      <c r="G529" s="68" t="s">
        <v>2251</v>
      </c>
      <c r="H529" s="68" t="s">
        <v>912</v>
      </c>
      <c r="I529" s="68" t="s">
        <v>966</v>
      </c>
      <c r="J529" s="69">
        <v>0.61699999999999999</v>
      </c>
      <c r="K529" s="69">
        <v>3.8967379973253502E-2</v>
      </c>
      <c r="L529" s="68"/>
      <c r="M529" s="68" t="s">
        <v>923</v>
      </c>
      <c r="N529" s="68" t="s">
        <v>916</v>
      </c>
      <c r="O529" s="68" t="str">
        <f t="shared" si="8"/>
        <v>IS02_EMEA UDS PowerScale</v>
      </c>
      <c r="P529" s="68" t="s">
        <v>2195</v>
      </c>
      <c r="Q529" s="68" t="s">
        <v>1884</v>
      </c>
      <c r="R529" s="68">
        <v>11</v>
      </c>
      <c r="S529" s="78"/>
      <c r="T529" s="68" t="s">
        <v>905</v>
      </c>
      <c r="U529" s="68">
        <v>13</v>
      </c>
      <c r="V529" s="72" t="s">
        <v>1958</v>
      </c>
      <c r="W529" s="72">
        <v>20</v>
      </c>
      <c r="X529" s="68"/>
      <c r="Y529" s="68" t="s">
        <v>1976</v>
      </c>
      <c r="Z529" s="68" t="s">
        <v>1972</v>
      </c>
      <c r="AA529" s="68" t="str">
        <f>IFERROR("Queue Got Merged in "&amp;VLOOKUP(A529,'CQNs Merged_Split'!$B$7:$D$103,3,FALSE),"")</f>
        <v/>
      </c>
      <c r="AB529" s="68" t="s">
        <v>2210</v>
      </c>
      <c r="AC529" s="68" t="s">
        <v>2232</v>
      </c>
    </row>
    <row r="530" spans="1:29" ht="15" customHeight="1" x14ac:dyDescent="0.3">
      <c r="A530" s="68" t="s">
        <v>700</v>
      </c>
      <c r="B530" s="68" t="s">
        <v>1917</v>
      </c>
      <c r="C530" s="68" t="s">
        <v>1044</v>
      </c>
      <c r="D530" s="68" t="s">
        <v>672</v>
      </c>
      <c r="E530" s="68" t="s">
        <v>2203</v>
      </c>
      <c r="F530" s="68" t="s">
        <v>8</v>
      </c>
      <c r="G530" s="68" t="s">
        <v>2251</v>
      </c>
      <c r="H530" s="68" t="s">
        <v>893</v>
      </c>
      <c r="I530" s="68" t="s">
        <v>1070</v>
      </c>
      <c r="J530" s="69">
        <v>0.64800000000000002</v>
      </c>
      <c r="K530" s="69">
        <v>0.03</v>
      </c>
      <c r="L530" s="68"/>
      <c r="M530" s="68" t="s">
        <v>895</v>
      </c>
      <c r="N530" s="68" t="s">
        <v>916</v>
      </c>
      <c r="O530" s="68" t="str">
        <f t="shared" si="8"/>
        <v>IS05_NAMER UDS PowerScale</v>
      </c>
      <c r="P530" s="68" t="s">
        <v>2195</v>
      </c>
      <c r="Q530" s="68" t="s">
        <v>1884</v>
      </c>
      <c r="R530" s="68">
        <v>14</v>
      </c>
      <c r="S530" s="78"/>
      <c r="T530" s="68" t="s">
        <v>905</v>
      </c>
      <c r="U530" s="68">
        <v>13</v>
      </c>
      <c r="V530" s="72" t="s">
        <v>1958</v>
      </c>
      <c r="W530" s="72">
        <v>77</v>
      </c>
      <c r="X530" s="68"/>
      <c r="Y530" s="68" t="s">
        <v>1999</v>
      </c>
      <c r="Z530" s="68" t="s">
        <v>1974</v>
      </c>
      <c r="AA530" s="68" t="str">
        <f>IFERROR("Queue Got Merged in "&amp;VLOOKUP(A530,'CQNs Merged_Split'!$B$7:$D$103,3,FALSE),"")</f>
        <v/>
      </c>
      <c r="AB530" s="68" t="s">
        <v>2208</v>
      </c>
      <c r="AC530" s="68" t="s">
        <v>2232</v>
      </c>
    </row>
    <row r="531" spans="1:29" ht="15" customHeight="1" x14ac:dyDescent="0.3">
      <c r="A531" s="68" t="s">
        <v>56</v>
      </c>
      <c r="B531" s="68" t="s">
        <v>57</v>
      </c>
      <c r="C531" s="68" t="s">
        <v>1044</v>
      </c>
      <c r="D531" s="68" t="s">
        <v>44</v>
      </c>
      <c r="E531" s="68" t="s">
        <v>45</v>
      </c>
      <c r="F531" s="68" t="s">
        <v>8</v>
      </c>
      <c r="G531" s="68" t="s">
        <v>2249</v>
      </c>
      <c r="H531" s="68" t="s">
        <v>903</v>
      </c>
      <c r="I531" s="68" t="s">
        <v>904</v>
      </c>
      <c r="J531" s="69">
        <v>0.629</v>
      </c>
      <c r="K531" s="69">
        <v>1.2500000000000001E-2</v>
      </c>
      <c r="L531" s="68"/>
      <c r="M531" s="68" t="s">
        <v>923</v>
      </c>
      <c r="N531" s="68" t="s">
        <v>916</v>
      </c>
      <c r="O531" s="68" t="str">
        <f t="shared" si="8"/>
        <v>IS11_APJ DPD AVAMAR</v>
      </c>
      <c r="P531" s="68" t="s">
        <v>2195</v>
      </c>
      <c r="Q531" s="68" t="s">
        <v>1884</v>
      </c>
      <c r="R531" s="68">
        <v>11</v>
      </c>
      <c r="S531" s="78"/>
      <c r="T531" s="68" t="s">
        <v>905</v>
      </c>
      <c r="U531" s="68">
        <v>13</v>
      </c>
      <c r="V531" s="72" t="s">
        <v>1958</v>
      </c>
      <c r="W531" s="72">
        <v>9</v>
      </c>
      <c r="X531" s="68"/>
      <c r="Y531" s="68" t="s">
        <v>2048</v>
      </c>
      <c r="Z531" s="68" t="s">
        <v>1972</v>
      </c>
      <c r="AA531" s="68" t="str">
        <f>IFERROR("Queue Got Merged in "&amp;VLOOKUP(A531,'CQNs Merged_Split'!$B$7:$D$103,3,FALSE),"")</f>
        <v/>
      </c>
      <c r="AB531" s="68" t="s">
        <v>2210</v>
      </c>
      <c r="AC531" s="68" t="s">
        <v>2243</v>
      </c>
    </row>
    <row r="532" spans="1:29" ht="15" customHeight="1" x14ac:dyDescent="0.3">
      <c r="A532" s="68" t="s">
        <v>82</v>
      </c>
      <c r="B532" s="68" t="s">
        <v>83</v>
      </c>
      <c r="C532" s="68" t="s">
        <v>1044</v>
      </c>
      <c r="D532" s="68" t="s">
        <v>44</v>
      </c>
      <c r="E532" s="68" t="s">
        <v>71</v>
      </c>
      <c r="F532" s="68" t="s">
        <v>8</v>
      </c>
      <c r="G532" s="68" t="s">
        <v>2251</v>
      </c>
      <c r="H532" s="68" t="s">
        <v>903</v>
      </c>
      <c r="I532" s="68" t="s">
        <v>904</v>
      </c>
      <c r="J532" s="69">
        <v>0.629</v>
      </c>
      <c r="K532" s="69">
        <v>0.05</v>
      </c>
      <c r="L532" s="68"/>
      <c r="M532" s="68" t="s">
        <v>921</v>
      </c>
      <c r="N532" s="68" t="s">
        <v>916</v>
      </c>
      <c r="O532" s="68" t="str">
        <f t="shared" si="8"/>
        <v>IS15_APJ DPD DataDomain</v>
      </c>
      <c r="P532" s="68" t="s">
        <v>2195</v>
      </c>
      <c r="Q532" s="68" t="s">
        <v>1884</v>
      </c>
      <c r="R532" s="68">
        <v>7</v>
      </c>
      <c r="S532" s="78"/>
      <c r="T532" s="68" t="s">
        <v>905</v>
      </c>
      <c r="U532" s="68">
        <v>13</v>
      </c>
      <c r="V532" s="72" t="s">
        <v>1958</v>
      </c>
      <c r="W532" s="72">
        <v>27</v>
      </c>
      <c r="X532" s="68"/>
      <c r="Y532" s="68" t="s">
        <v>2052</v>
      </c>
      <c r="Z532" s="68" t="s">
        <v>1972</v>
      </c>
      <c r="AA532" s="68" t="str">
        <f>IFERROR("Queue Got Merged in "&amp;VLOOKUP(A532,'CQNs Merged_Split'!$B$7:$D$103,3,FALSE),"")</f>
        <v/>
      </c>
      <c r="AB532" s="68" t="s">
        <v>2210</v>
      </c>
      <c r="AC532" s="68" t="s">
        <v>2243</v>
      </c>
    </row>
    <row r="533" spans="1:29" ht="15" customHeight="1" x14ac:dyDescent="0.3">
      <c r="A533" s="68" t="s">
        <v>120</v>
      </c>
      <c r="B533" s="68" t="s">
        <v>121</v>
      </c>
      <c r="C533" s="68" t="s">
        <v>1044</v>
      </c>
      <c r="D533" s="68" t="s">
        <v>44</v>
      </c>
      <c r="E533" s="68" t="s">
        <v>109</v>
      </c>
      <c r="F533" s="68" t="s">
        <v>8</v>
      </c>
      <c r="G533" s="68" t="s">
        <v>2251</v>
      </c>
      <c r="H533" s="68" t="s">
        <v>903</v>
      </c>
      <c r="I533" s="68" t="s">
        <v>904</v>
      </c>
      <c r="J533" s="69">
        <v>0.629</v>
      </c>
      <c r="K533" s="69">
        <v>2.278539874447803E-2</v>
      </c>
      <c r="L533" s="68"/>
      <c r="M533" s="68" t="s">
        <v>920</v>
      </c>
      <c r="N533" s="68" t="s">
        <v>916</v>
      </c>
      <c r="O533" s="68" t="str">
        <f t="shared" si="8"/>
        <v>IS23_APJ DPD Networker</v>
      </c>
      <c r="P533" s="68" t="s">
        <v>2195</v>
      </c>
      <c r="Q533" s="68" t="s">
        <v>1884</v>
      </c>
      <c r="R533" s="68">
        <v>12</v>
      </c>
      <c r="S533" s="78"/>
      <c r="T533" s="68" t="s">
        <v>905</v>
      </c>
      <c r="U533" s="68">
        <v>13</v>
      </c>
      <c r="V533" s="72" t="s">
        <v>1958</v>
      </c>
      <c r="W533" s="72">
        <v>15</v>
      </c>
      <c r="X533" s="68"/>
      <c r="Y533" s="68" t="s">
        <v>2050</v>
      </c>
      <c r="Z533" s="68" t="s">
        <v>1972</v>
      </c>
      <c r="AA533" s="68" t="str">
        <f>IFERROR("Queue Got Merged in "&amp;VLOOKUP(A533,'CQNs Merged_Split'!$B$7:$D$103,3,FALSE),"")</f>
        <v/>
      </c>
      <c r="AB533" s="68" t="s">
        <v>2210</v>
      </c>
      <c r="AC533" s="68" t="s">
        <v>2242</v>
      </c>
    </row>
    <row r="534" spans="1:29" ht="15" customHeight="1" x14ac:dyDescent="0.3">
      <c r="A534" s="68" t="s">
        <v>428</v>
      </c>
      <c r="B534" s="68" t="s">
        <v>429</v>
      </c>
      <c r="C534" s="68" t="s">
        <v>914</v>
      </c>
      <c r="D534" s="68" t="s">
        <v>301</v>
      </c>
      <c r="E534" s="68" t="s">
        <v>419</v>
      </c>
      <c r="F534" s="68" t="s">
        <v>8</v>
      </c>
      <c r="G534" s="68" t="s">
        <v>2249</v>
      </c>
      <c r="H534" s="68" t="s">
        <v>903</v>
      </c>
      <c r="I534" s="68" t="s">
        <v>918</v>
      </c>
      <c r="J534" s="69">
        <v>0.629</v>
      </c>
      <c r="K534" s="69">
        <v>2.278539874447803E-2</v>
      </c>
      <c r="L534" s="68"/>
      <c r="M534" s="76" t="s">
        <v>1014</v>
      </c>
      <c r="N534" s="68" t="s">
        <v>916</v>
      </c>
      <c r="O534" s="68" t="str">
        <f t="shared" si="8"/>
        <v>IS37_APJ HES XtremIO</v>
      </c>
      <c r="P534" s="68" t="s">
        <v>2197</v>
      </c>
      <c r="Q534" s="68" t="s">
        <v>1883</v>
      </c>
      <c r="R534" s="68">
        <v>4</v>
      </c>
      <c r="S534" s="78"/>
      <c r="T534" s="68" t="s">
        <v>905</v>
      </c>
      <c r="U534" s="68">
        <v>13</v>
      </c>
      <c r="V534" s="72" t="s">
        <v>1958</v>
      </c>
      <c r="W534" s="72">
        <v>5</v>
      </c>
      <c r="X534" s="68" t="s">
        <v>2152</v>
      </c>
      <c r="Y534" s="68" t="s">
        <v>2066</v>
      </c>
      <c r="Z534" s="68" t="s">
        <v>1972</v>
      </c>
      <c r="AA534" s="68" t="s">
        <v>2148</v>
      </c>
      <c r="AB534" s="68" t="s">
        <v>2210</v>
      </c>
      <c r="AC534" s="68" t="s">
        <v>2242</v>
      </c>
    </row>
    <row r="535" spans="1:29" ht="15" customHeight="1" x14ac:dyDescent="0.3">
      <c r="A535" s="68" t="s">
        <v>58</v>
      </c>
      <c r="B535" s="68" t="s">
        <v>59</v>
      </c>
      <c r="C535" s="68" t="s">
        <v>1044</v>
      </c>
      <c r="D535" s="68" t="s">
        <v>44</v>
      </c>
      <c r="E535" s="68" t="s">
        <v>45</v>
      </c>
      <c r="F535" s="68" t="s">
        <v>8</v>
      </c>
      <c r="G535" s="68" t="s">
        <v>2249</v>
      </c>
      <c r="H535" s="68" t="s">
        <v>912</v>
      </c>
      <c r="I535" s="68" t="s">
        <v>966</v>
      </c>
      <c r="J535" s="69">
        <v>0.61699999999999999</v>
      </c>
      <c r="K535" s="69">
        <v>0.05</v>
      </c>
      <c r="L535" s="68"/>
      <c r="M535" s="68" t="s">
        <v>925</v>
      </c>
      <c r="N535" s="68" t="s">
        <v>916</v>
      </c>
      <c r="O535" s="68" t="str">
        <f t="shared" si="8"/>
        <v>IS38_EMEA DPD AVAMAR</v>
      </c>
      <c r="P535" s="68" t="s">
        <v>2195</v>
      </c>
      <c r="Q535" s="68" t="s">
        <v>1884</v>
      </c>
      <c r="R535" s="68">
        <v>9</v>
      </c>
      <c r="S535" s="78"/>
      <c r="T535" s="68" t="s">
        <v>905</v>
      </c>
      <c r="U535" s="68">
        <v>13</v>
      </c>
      <c r="V535" s="72" t="s">
        <v>1958</v>
      </c>
      <c r="W535" s="72">
        <v>7</v>
      </c>
      <c r="X535" s="68"/>
      <c r="Y535" s="68" t="s">
        <v>1976</v>
      </c>
      <c r="Z535" s="68" t="s">
        <v>1972</v>
      </c>
      <c r="AA535" s="68" t="str">
        <f>IFERROR("Queue Got Merged in "&amp;VLOOKUP(A535,'CQNs Merged_Split'!$B$7:$D$103,3,FALSE),"")</f>
        <v/>
      </c>
      <c r="AB535" s="68" t="s">
        <v>2210</v>
      </c>
      <c r="AC535" s="68" t="s">
        <v>2238</v>
      </c>
    </row>
    <row r="536" spans="1:29" ht="15" customHeight="1" x14ac:dyDescent="0.3">
      <c r="A536" s="68" t="s">
        <v>84</v>
      </c>
      <c r="B536" s="68" t="s">
        <v>85</v>
      </c>
      <c r="C536" s="68" t="s">
        <v>1044</v>
      </c>
      <c r="D536" s="68" t="s">
        <v>44</v>
      </c>
      <c r="E536" s="68" t="s">
        <v>71</v>
      </c>
      <c r="F536" s="68" t="s">
        <v>8</v>
      </c>
      <c r="G536" s="68" t="s">
        <v>2249</v>
      </c>
      <c r="H536" s="68" t="s">
        <v>912</v>
      </c>
      <c r="I536" s="68" t="s">
        <v>966</v>
      </c>
      <c r="J536" s="69">
        <v>0.61699999999999999</v>
      </c>
      <c r="K536" s="69">
        <v>0.05</v>
      </c>
      <c r="L536" s="68"/>
      <c r="M536" s="68" t="s">
        <v>923</v>
      </c>
      <c r="N536" s="68" t="s">
        <v>916</v>
      </c>
      <c r="O536" s="68" t="str">
        <f t="shared" si="8"/>
        <v>IS42_EMEA DPD DataDomain</v>
      </c>
      <c r="P536" s="68" t="s">
        <v>2195</v>
      </c>
      <c r="Q536" s="68" t="s">
        <v>1884</v>
      </c>
      <c r="R536" s="68">
        <v>11</v>
      </c>
      <c r="S536" s="78"/>
      <c r="T536" s="68" t="s">
        <v>905</v>
      </c>
      <c r="U536" s="68">
        <v>13</v>
      </c>
      <c r="V536" s="72" t="s">
        <v>1958</v>
      </c>
      <c r="W536" s="72">
        <v>21</v>
      </c>
      <c r="X536" s="68"/>
      <c r="Y536" s="68" t="s">
        <v>1976</v>
      </c>
      <c r="Z536" s="68" t="s">
        <v>1972</v>
      </c>
      <c r="AA536" s="68" t="str">
        <f>IFERROR("Queue Got Merged in "&amp;VLOOKUP(A536,'CQNs Merged_Split'!$B$7:$D$103,3,FALSE),"")</f>
        <v/>
      </c>
      <c r="AB536" s="68" t="s">
        <v>2210</v>
      </c>
      <c r="AC536" s="68" t="s">
        <v>2238</v>
      </c>
    </row>
    <row r="537" spans="1:29" ht="15" customHeight="1" x14ac:dyDescent="0.3">
      <c r="A537" s="68" t="s">
        <v>122</v>
      </c>
      <c r="B537" s="68" t="s">
        <v>123</v>
      </c>
      <c r="C537" s="68" t="s">
        <v>1044</v>
      </c>
      <c r="D537" s="68" t="s">
        <v>44</v>
      </c>
      <c r="E537" s="68" t="s">
        <v>109</v>
      </c>
      <c r="F537" s="68" t="s">
        <v>8</v>
      </c>
      <c r="G537" s="68" t="s">
        <v>2251</v>
      </c>
      <c r="H537" s="68" t="s">
        <v>912</v>
      </c>
      <c r="I537" s="68" t="s">
        <v>966</v>
      </c>
      <c r="J537" s="69">
        <v>0.61699999999999999</v>
      </c>
      <c r="K537" s="69">
        <v>0.1</v>
      </c>
      <c r="L537" s="68"/>
      <c r="M537" s="68" t="s">
        <v>923</v>
      </c>
      <c r="N537" s="68" t="s">
        <v>916</v>
      </c>
      <c r="O537" s="68" t="str">
        <f t="shared" si="8"/>
        <v>IS50_EMEA DPD Networker</v>
      </c>
      <c r="P537" s="68" t="s">
        <v>2195</v>
      </c>
      <c r="Q537" s="68" t="s">
        <v>1884</v>
      </c>
      <c r="R537" s="68">
        <v>11</v>
      </c>
      <c r="S537" s="78"/>
      <c r="T537" s="68" t="s">
        <v>905</v>
      </c>
      <c r="U537" s="68">
        <v>13</v>
      </c>
      <c r="V537" s="72" t="s">
        <v>1958</v>
      </c>
      <c r="W537" s="72">
        <v>17</v>
      </c>
      <c r="X537" s="68"/>
      <c r="Y537" s="68" t="s">
        <v>1976</v>
      </c>
      <c r="Z537" s="68" t="s">
        <v>1972</v>
      </c>
      <c r="AA537" s="68" t="str">
        <f>IFERROR("Queue Got Merged in "&amp;VLOOKUP(A537,'CQNs Merged_Split'!$B$7:$D$103,3,FALSE),"")</f>
        <v/>
      </c>
      <c r="AB537" s="68" t="s">
        <v>2210</v>
      </c>
      <c r="AC537" s="68" t="s">
        <v>2238</v>
      </c>
    </row>
    <row r="538" spans="1:29" ht="15" customHeight="1" x14ac:dyDescent="0.3">
      <c r="A538" s="68" t="s">
        <v>64</v>
      </c>
      <c r="B538" s="68" t="s">
        <v>65</v>
      </c>
      <c r="C538" s="68" t="s">
        <v>1044</v>
      </c>
      <c r="D538" s="68" t="s">
        <v>44</v>
      </c>
      <c r="E538" s="68" t="s">
        <v>45</v>
      </c>
      <c r="F538" s="68" t="s">
        <v>8</v>
      </c>
      <c r="G538" s="68" t="s">
        <v>2249</v>
      </c>
      <c r="H538" s="68" t="s">
        <v>893</v>
      </c>
      <c r="I538" s="68" t="s">
        <v>1070</v>
      </c>
      <c r="J538" s="69">
        <v>0.64800000000000002</v>
      </c>
      <c r="K538" s="69">
        <v>1.2355848434925867E-2</v>
      </c>
      <c r="L538" s="68"/>
      <c r="M538" s="68" t="s">
        <v>924</v>
      </c>
      <c r="N538" s="68" t="s">
        <v>916</v>
      </c>
      <c r="O538" s="68" t="str">
        <f t="shared" si="8"/>
        <v>IU20_NAMER DPD AVAMAR</v>
      </c>
      <c r="P538" s="68" t="s">
        <v>2195</v>
      </c>
      <c r="Q538" s="68" t="s">
        <v>1884</v>
      </c>
      <c r="R538" s="68">
        <v>12</v>
      </c>
      <c r="S538" s="78"/>
      <c r="T538" s="68" t="s">
        <v>905</v>
      </c>
      <c r="U538" s="68">
        <v>13</v>
      </c>
      <c r="V538" s="72" t="s">
        <v>1958</v>
      </c>
      <c r="W538" s="72">
        <v>26</v>
      </c>
      <c r="X538" s="68"/>
      <c r="Y538" s="68" t="s">
        <v>2038</v>
      </c>
      <c r="Z538" s="68" t="s">
        <v>1974</v>
      </c>
      <c r="AA538" s="68" t="str">
        <f>IFERROR("Queue Got Merged in "&amp;VLOOKUP(A538,'CQNs Merged_Split'!$B$7:$D$103,3,FALSE),"")</f>
        <v/>
      </c>
      <c r="AB538" s="68" t="s">
        <v>2208</v>
      </c>
      <c r="AC538" s="68" t="s">
        <v>2240</v>
      </c>
    </row>
    <row r="539" spans="1:29" ht="15" customHeight="1" x14ac:dyDescent="0.3">
      <c r="A539" s="68" t="s">
        <v>90</v>
      </c>
      <c r="B539" s="68" t="s">
        <v>91</v>
      </c>
      <c r="C539" s="68" t="s">
        <v>1044</v>
      </c>
      <c r="D539" s="68" t="s">
        <v>44</v>
      </c>
      <c r="E539" s="68" t="s">
        <v>71</v>
      </c>
      <c r="F539" s="68" t="s">
        <v>8</v>
      </c>
      <c r="G539" s="68" t="s">
        <v>2249</v>
      </c>
      <c r="H539" s="68" t="s">
        <v>893</v>
      </c>
      <c r="I539" s="68" t="s">
        <v>1070</v>
      </c>
      <c r="J539" s="69">
        <v>0.64800000000000002</v>
      </c>
      <c r="K539" s="69">
        <v>3.7082818294190355E-3</v>
      </c>
      <c r="L539" s="68"/>
      <c r="M539" s="68" t="s">
        <v>895</v>
      </c>
      <c r="N539" s="68" t="s">
        <v>916</v>
      </c>
      <c r="O539" s="68" t="str">
        <f t="shared" si="8"/>
        <v>IU24_NAMER DPD DataDomain</v>
      </c>
      <c r="P539" s="68" t="s">
        <v>2195</v>
      </c>
      <c r="Q539" s="68" t="s">
        <v>1884</v>
      </c>
      <c r="R539" s="68">
        <v>14</v>
      </c>
      <c r="S539" s="78"/>
      <c r="T539" s="68" t="s">
        <v>905</v>
      </c>
      <c r="U539" s="68">
        <v>13</v>
      </c>
      <c r="V539" s="72" t="s">
        <v>1958</v>
      </c>
      <c r="W539" s="72">
        <v>69.666666666666671</v>
      </c>
      <c r="X539" s="68"/>
      <c r="Y539" s="68" t="s">
        <v>2039</v>
      </c>
      <c r="Z539" s="68" t="s">
        <v>1974</v>
      </c>
      <c r="AA539" s="68" t="str">
        <f>IFERROR("Queue Got Merged in "&amp;VLOOKUP(A539,'CQNs Merged_Split'!$B$7:$D$103,3,FALSE),"")</f>
        <v/>
      </c>
      <c r="AB539" s="68" t="s">
        <v>2208</v>
      </c>
      <c r="AC539" s="68" t="s">
        <v>2240</v>
      </c>
    </row>
    <row r="540" spans="1:29" ht="15" customHeight="1" x14ac:dyDescent="0.3">
      <c r="A540" s="68" t="s">
        <v>128</v>
      </c>
      <c r="B540" s="68" t="s">
        <v>129</v>
      </c>
      <c r="C540" s="68" t="s">
        <v>1044</v>
      </c>
      <c r="D540" s="68" t="s">
        <v>44</v>
      </c>
      <c r="E540" s="68" t="s">
        <v>109</v>
      </c>
      <c r="F540" s="68" t="s">
        <v>8</v>
      </c>
      <c r="G540" s="68" t="s">
        <v>2251</v>
      </c>
      <c r="H540" s="68" t="s">
        <v>893</v>
      </c>
      <c r="I540" s="68" t="s">
        <v>1070</v>
      </c>
      <c r="J540" s="69">
        <v>0.64800000000000002</v>
      </c>
      <c r="K540" s="69">
        <v>0.03</v>
      </c>
      <c r="L540" s="68"/>
      <c r="M540" s="68" t="s">
        <v>1068</v>
      </c>
      <c r="N540" s="68" t="s">
        <v>916</v>
      </c>
      <c r="O540" s="68" t="str">
        <f t="shared" si="8"/>
        <v>IU32_NAMER DPD Networker</v>
      </c>
      <c r="P540" s="68" t="s">
        <v>2195</v>
      </c>
      <c r="Q540" s="68" t="s">
        <v>1884</v>
      </c>
      <c r="R540" s="68">
        <v>12</v>
      </c>
      <c r="S540" s="78"/>
      <c r="T540" s="68" t="s">
        <v>905</v>
      </c>
      <c r="U540" s="68">
        <v>13</v>
      </c>
      <c r="V540" s="72" t="s">
        <v>1958</v>
      </c>
      <c r="W540" s="72">
        <v>27</v>
      </c>
      <c r="X540" s="68"/>
      <c r="Y540" s="68" t="s">
        <v>2045</v>
      </c>
      <c r="Z540" s="68" t="s">
        <v>1974</v>
      </c>
      <c r="AA540" s="68" t="str">
        <f>IFERROR("Queue Got Merged in "&amp;VLOOKUP(A540,'CQNs Merged_Split'!$B$7:$D$103,3,FALSE),"")</f>
        <v/>
      </c>
      <c r="AB540" s="68" t="s">
        <v>2208</v>
      </c>
      <c r="AC540" s="68" t="s">
        <v>2240</v>
      </c>
    </row>
    <row r="541" spans="1:29" ht="15" customHeight="1" x14ac:dyDescent="0.3">
      <c r="A541" s="68" t="s">
        <v>1193</v>
      </c>
      <c r="B541" s="68" t="s">
        <v>1194</v>
      </c>
      <c r="C541" s="68" t="s">
        <v>928</v>
      </c>
      <c r="D541" s="68" t="s">
        <v>440</v>
      </c>
      <c r="E541" s="68" t="s">
        <v>440</v>
      </c>
      <c r="F541" s="68" t="s">
        <v>8</v>
      </c>
      <c r="G541" s="68" t="s">
        <v>2250</v>
      </c>
      <c r="H541" s="68" t="s">
        <v>929</v>
      </c>
      <c r="I541" s="68" t="s">
        <v>929</v>
      </c>
      <c r="J541" s="69">
        <v>0.63300000000000001</v>
      </c>
      <c r="K541" s="69">
        <v>1.8670169726832081E-2</v>
      </c>
      <c r="L541" s="68"/>
      <c r="M541" s="68" t="s">
        <v>895</v>
      </c>
      <c r="N541" s="68" t="s">
        <v>1882</v>
      </c>
      <c r="O541" s="68" t="str">
        <f t="shared" si="8"/>
        <v>NF57_Global TELCO</v>
      </c>
      <c r="P541" s="68" t="s">
        <v>2193</v>
      </c>
      <c r="Q541" s="68" t="s">
        <v>1810</v>
      </c>
      <c r="R541" s="68">
        <v>14</v>
      </c>
      <c r="S541" s="78"/>
      <c r="T541" s="72" t="s">
        <v>905</v>
      </c>
      <c r="U541" s="68">
        <v>13</v>
      </c>
      <c r="V541" s="72" t="s">
        <v>1958</v>
      </c>
      <c r="W541" s="72">
        <v>25</v>
      </c>
      <c r="X541" s="68" t="s">
        <v>2147</v>
      </c>
      <c r="Y541" s="68" t="s">
        <v>1790</v>
      </c>
      <c r="Z541" s="68" t="s">
        <v>1790</v>
      </c>
      <c r="AA541" s="68"/>
      <c r="AB541" s="68" t="s">
        <v>2208</v>
      </c>
      <c r="AC541" s="68" t="s">
        <v>2244</v>
      </c>
    </row>
    <row r="542" spans="1:29" ht="15" customHeight="1" x14ac:dyDescent="0.3">
      <c r="A542" s="68" t="s">
        <v>212</v>
      </c>
      <c r="B542" s="68" t="s">
        <v>213</v>
      </c>
      <c r="C542" s="75" t="s">
        <v>2165</v>
      </c>
      <c r="D542" s="68" t="s">
        <v>158</v>
      </c>
      <c r="E542" s="68" t="s">
        <v>173</v>
      </c>
      <c r="F542" s="68" t="s">
        <v>8</v>
      </c>
      <c r="G542" s="68" t="s">
        <v>2249</v>
      </c>
      <c r="H542" s="68" t="s">
        <v>935</v>
      </c>
      <c r="I542" s="68" t="s">
        <v>1159</v>
      </c>
      <c r="J542" s="69">
        <v>0.64100000000000001</v>
      </c>
      <c r="K542" s="69">
        <v>1.5604681404421327E-2</v>
      </c>
      <c r="L542" s="68"/>
      <c r="M542" s="68">
        <v>0</v>
      </c>
      <c r="N542" s="68" t="s">
        <v>916</v>
      </c>
      <c r="O542" s="68" t="str">
        <f t="shared" si="8"/>
        <v>RL15_HCS LATAM MMCLA VxRail</v>
      </c>
      <c r="P542" s="68" t="s">
        <v>2194</v>
      </c>
      <c r="Q542" s="68" t="s">
        <v>2252</v>
      </c>
      <c r="R542" s="68">
        <v>15</v>
      </c>
      <c r="S542" s="78"/>
      <c r="T542" s="68" t="s">
        <v>905</v>
      </c>
      <c r="U542" s="68">
        <v>13</v>
      </c>
      <c r="V542" s="72" t="s">
        <v>1958</v>
      </c>
      <c r="W542" s="72">
        <v>15</v>
      </c>
      <c r="X542" s="68"/>
      <c r="Y542" s="68" t="s">
        <v>2002</v>
      </c>
      <c r="Z542" s="68" t="s">
        <v>1974</v>
      </c>
      <c r="AA542" s="68" t="str">
        <f>IFERROR("Queue Got Merged in "&amp;VLOOKUP(A542,'CQNs Merged_Split'!$B$7:$D$103,3,FALSE),"")</f>
        <v/>
      </c>
      <c r="AB542" s="68" t="s">
        <v>779</v>
      </c>
      <c r="AC542" s="68" t="s">
        <v>2235</v>
      </c>
    </row>
    <row r="543" spans="1:29" ht="15" customHeight="1" x14ac:dyDescent="0.3">
      <c r="A543" s="68" t="s">
        <v>950</v>
      </c>
      <c r="B543" s="68" t="s">
        <v>951</v>
      </c>
      <c r="C543" s="68" t="s">
        <v>914</v>
      </c>
      <c r="D543" s="68" t="s">
        <v>952</v>
      </c>
      <c r="E543" s="68" t="s">
        <v>440</v>
      </c>
      <c r="F543" s="68" t="s">
        <v>900</v>
      </c>
      <c r="G543" s="68" t="s">
        <v>1881</v>
      </c>
      <c r="H543" s="68" t="s">
        <v>903</v>
      </c>
      <c r="I543" s="68" t="s">
        <v>909</v>
      </c>
      <c r="J543" s="69">
        <v>0.629</v>
      </c>
      <c r="K543" s="69"/>
      <c r="L543" s="68"/>
      <c r="M543" s="68" t="s">
        <v>895</v>
      </c>
      <c r="N543" s="68"/>
      <c r="O543" s="68" t="str">
        <f t="shared" si="8"/>
        <v>CC28_APJ ESG Call Directors Chinese</v>
      </c>
      <c r="P543" s="68" t="s">
        <v>2177</v>
      </c>
      <c r="Q543" s="68" t="s">
        <v>917</v>
      </c>
      <c r="R543" s="68">
        <v>14</v>
      </c>
      <c r="S543" s="78"/>
      <c r="T543" s="68" t="s">
        <v>1881</v>
      </c>
      <c r="U543" s="68"/>
      <c r="V543" s="72" t="s">
        <v>1958</v>
      </c>
      <c r="W543" s="72">
        <v>6</v>
      </c>
      <c r="X543" s="68"/>
      <c r="Y543" s="68" t="e">
        <v>#N/A</v>
      </c>
      <c r="Z543" s="68" t="e">
        <v>#N/A</v>
      </c>
      <c r="AA543" s="68"/>
      <c r="AB543" s="68" t="s">
        <v>2211</v>
      </c>
      <c r="AC543" s="68" t="e">
        <v>#N/A</v>
      </c>
    </row>
    <row r="544" spans="1:29" s="15" customFormat="1" ht="15" customHeight="1" x14ac:dyDescent="0.3">
      <c r="A544" s="80" t="s">
        <v>2168</v>
      </c>
      <c r="B544" s="66" t="s">
        <v>2167</v>
      </c>
      <c r="C544" s="66" t="s">
        <v>914</v>
      </c>
      <c r="D544" s="66" t="s">
        <v>439</v>
      </c>
      <c r="E544" s="66" t="s">
        <v>439</v>
      </c>
      <c r="F544" s="66" t="s">
        <v>8</v>
      </c>
      <c r="G544" s="66" t="s">
        <v>2249</v>
      </c>
      <c r="H544" s="66" t="s">
        <v>903</v>
      </c>
      <c r="I544" s="66" t="s">
        <v>909</v>
      </c>
      <c r="J544" s="79">
        <v>0.629</v>
      </c>
      <c r="K544" s="79">
        <v>2.278539874447803E-2</v>
      </c>
      <c r="L544" s="66"/>
      <c r="M544" s="66">
        <v>0</v>
      </c>
      <c r="N544" s="66" t="s">
        <v>916</v>
      </c>
      <c r="O544" s="66" t="str">
        <f t="shared" si="8"/>
        <v>CC29_CCC CNS Mandarin</v>
      </c>
      <c r="P544" s="66" t="s">
        <v>2195</v>
      </c>
      <c r="Q544" s="66" t="s">
        <v>1883</v>
      </c>
      <c r="R544" s="66">
        <v>3</v>
      </c>
      <c r="S544" s="70"/>
      <c r="T544" s="66" t="s">
        <v>897</v>
      </c>
      <c r="U544" s="66">
        <v>13</v>
      </c>
      <c r="V544" s="71" t="s">
        <v>1886</v>
      </c>
      <c r="W544" s="71">
        <v>0</v>
      </c>
      <c r="X544" s="66"/>
      <c r="Y544" s="66"/>
      <c r="Z544" s="66"/>
      <c r="AA544" s="66"/>
      <c r="AB544" s="66" t="s">
        <v>2211</v>
      </c>
      <c r="AC544" s="66" t="s">
        <v>2241</v>
      </c>
    </row>
    <row r="545" spans="1:29" ht="15" customHeight="1" x14ac:dyDescent="0.3">
      <c r="A545" s="68" t="s">
        <v>955</v>
      </c>
      <c r="B545" s="68" t="s">
        <v>956</v>
      </c>
      <c r="C545" s="68" t="s">
        <v>928</v>
      </c>
      <c r="D545" s="68" t="s">
        <v>440</v>
      </c>
      <c r="E545" s="68" t="s">
        <v>440</v>
      </c>
      <c r="F545" s="68" t="s">
        <v>900</v>
      </c>
      <c r="G545" s="68" t="s">
        <v>1881</v>
      </c>
      <c r="H545" s="68"/>
      <c r="I545" s="68"/>
      <c r="J545" s="69"/>
      <c r="K545" s="69"/>
      <c r="L545" s="68"/>
      <c r="M545" s="68"/>
      <c r="N545" s="68" t="s">
        <v>1882</v>
      </c>
      <c r="O545" s="68" t="str">
        <f t="shared" si="8"/>
        <v>CM03_CNS Manager</v>
      </c>
      <c r="P545" s="68" t="s">
        <v>2177</v>
      </c>
      <c r="Q545" s="68" t="s">
        <v>917</v>
      </c>
      <c r="R545" s="68">
        <v>0</v>
      </c>
      <c r="S545" s="78"/>
      <c r="T545" s="68" t="s">
        <v>1881</v>
      </c>
      <c r="U545" s="68">
        <v>13</v>
      </c>
      <c r="V545" s="72" t="s">
        <v>1958</v>
      </c>
      <c r="W545" s="72">
        <v>37.666666666666664</v>
      </c>
      <c r="X545" s="68"/>
      <c r="Y545" s="68" t="s">
        <v>1790</v>
      </c>
      <c r="Z545" s="68" t="s">
        <v>1790</v>
      </c>
      <c r="AA545" s="68"/>
      <c r="AB545" s="68" t="s">
        <v>2210</v>
      </c>
      <c r="AC545" s="68" t="e">
        <v>#N/A</v>
      </c>
    </row>
    <row r="546" spans="1:29" ht="15" customHeight="1" x14ac:dyDescent="0.3">
      <c r="A546" s="68" t="s">
        <v>963</v>
      </c>
      <c r="B546" s="68" t="s">
        <v>964</v>
      </c>
      <c r="C546" s="68" t="s">
        <v>965</v>
      </c>
      <c r="D546" s="68" t="s">
        <v>952</v>
      </c>
      <c r="E546" s="68" t="s">
        <v>960</v>
      </c>
      <c r="F546" s="68" t="s">
        <v>900</v>
      </c>
      <c r="G546" s="68" t="s">
        <v>1881</v>
      </c>
      <c r="H546" s="68" t="s">
        <v>912</v>
      </c>
      <c r="I546" s="68" t="s">
        <v>966</v>
      </c>
      <c r="J546" s="69">
        <v>0.61699999999999999</v>
      </c>
      <c r="K546" s="69"/>
      <c r="L546" s="68"/>
      <c r="M546" s="68" t="s">
        <v>931</v>
      </c>
      <c r="N546" s="68" t="s">
        <v>952</v>
      </c>
      <c r="O546" s="68" t="str">
        <f t="shared" si="8"/>
        <v>CST5_CST VIC</v>
      </c>
      <c r="P546" s="68" t="s">
        <v>2177</v>
      </c>
      <c r="Q546" s="68" t="s">
        <v>896</v>
      </c>
      <c r="R546" s="68">
        <v>8</v>
      </c>
      <c r="S546" s="78"/>
      <c r="T546" s="68" t="s">
        <v>1881</v>
      </c>
      <c r="U546" s="68"/>
      <c r="V546" s="72" t="s">
        <v>1958</v>
      </c>
      <c r="W546" s="72">
        <v>1</v>
      </c>
      <c r="X546" s="68"/>
      <c r="Y546" s="68" t="e">
        <v>#N/A</v>
      </c>
      <c r="Z546" s="68" t="e">
        <v>#N/A</v>
      </c>
      <c r="AA546" s="68"/>
      <c r="AB546" s="68" t="s">
        <v>2210</v>
      </c>
      <c r="AC546" s="68" t="e">
        <v>#N/A</v>
      </c>
    </row>
    <row r="547" spans="1:29" ht="15" customHeight="1" x14ac:dyDescent="0.3">
      <c r="A547" s="68" t="s">
        <v>303</v>
      </c>
      <c r="B547" s="68" t="s">
        <v>304</v>
      </c>
      <c r="C547" s="68" t="s">
        <v>973</v>
      </c>
      <c r="D547" s="68" t="s">
        <v>301</v>
      </c>
      <c r="E547" s="68" t="s">
        <v>302</v>
      </c>
      <c r="F547" s="68" t="s">
        <v>8</v>
      </c>
      <c r="G547" s="68" t="s">
        <v>2250</v>
      </c>
      <c r="H547" s="68" t="s">
        <v>929</v>
      </c>
      <c r="I547" s="68" t="s">
        <v>894</v>
      </c>
      <c r="J547" s="69">
        <v>0.63300000000000001</v>
      </c>
      <c r="K547" s="69">
        <v>1.8670169726832081E-2</v>
      </c>
      <c r="L547" s="68"/>
      <c r="M547" s="68" t="s">
        <v>922</v>
      </c>
      <c r="N547" s="68" t="s">
        <v>1882</v>
      </c>
      <c r="O547" s="68" t="str">
        <f t="shared" si="8"/>
        <v>CT23_GLOBAL HES BSAFE</v>
      </c>
      <c r="P547" s="68" t="s">
        <v>2187</v>
      </c>
      <c r="Q547" s="68" t="s">
        <v>972</v>
      </c>
      <c r="R547" s="68">
        <v>24</v>
      </c>
      <c r="S547" s="78"/>
      <c r="T547" s="68" t="s">
        <v>1881</v>
      </c>
      <c r="U547" s="68">
        <v>13</v>
      </c>
      <c r="V547" s="72" t="s">
        <v>1958</v>
      </c>
      <c r="W547" s="72">
        <v>2</v>
      </c>
      <c r="X547" s="68"/>
      <c r="Y547" s="68" t="s">
        <v>1790</v>
      </c>
      <c r="Z547" s="68" t="s">
        <v>1790</v>
      </c>
      <c r="AA547" s="68"/>
      <c r="AB547" s="68" t="s">
        <v>2208</v>
      </c>
      <c r="AC547" s="68" t="s">
        <v>2243</v>
      </c>
    </row>
    <row r="548" spans="1:29" ht="15" customHeight="1" x14ac:dyDescent="0.3">
      <c r="A548" s="68" t="s">
        <v>974</v>
      </c>
      <c r="B548" s="68" t="s">
        <v>975</v>
      </c>
      <c r="C548" s="68" t="s">
        <v>1044</v>
      </c>
      <c r="D548" s="68" t="s">
        <v>976</v>
      </c>
      <c r="E548" s="68" t="s">
        <v>960</v>
      </c>
      <c r="F548" s="68" t="s">
        <v>900</v>
      </c>
      <c r="G548" s="68" t="s">
        <v>2250</v>
      </c>
      <c r="H548" s="68" t="s">
        <v>929</v>
      </c>
      <c r="I548" s="68" t="s">
        <v>929</v>
      </c>
      <c r="J548" s="69">
        <v>0.63300000000000001</v>
      </c>
      <c r="K548" s="69"/>
      <c r="L548" s="68"/>
      <c r="M548" s="68" t="s">
        <v>895</v>
      </c>
      <c r="N548" s="68" t="s">
        <v>1882</v>
      </c>
      <c r="O548" s="68" t="str">
        <f t="shared" si="8"/>
        <v>CT24_HCS Global DSE</v>
      </c>
      <c r="P548" s="68" t="s">
        <v>2177</v>
      </c>
      <c r="Q548" s="68" t="s">
        <v>972</v>
      </c>
      <c r="R548" s="68">
        <v>14</v>
      </c>
      <c r="S548" s="78"/>
      <c r="T548" s="68" t="s">
        <v>1881</v>
      </c>
      <c r="U548" s="68">
        <v>13</v>
      </c>
      <c r="V548" s="72" t="s">
        <v>1958</v>
      </c>
      <c r="W548" s="72">
        <v>134</v>
      </c>
      <c r="X548" s="68"/>
      <c r="Y548" s="68" t="s">
        <v>1790</v>
      </c>
      <c r="Z548" s="68" t="s">
        <v>1790</v>
      </c>
      <c r="AA548" s="68"/>
      <c r="AB548" s="68" t="s">
        <v>2208</v>
      </c>
      <c r="AC548" s="68" t="s">
        <v>2239</v>
      </c>
    </row>
    <row r="549" spans="1:29" ht="15" customHeight="1" x14ac:dyDescent="0.3">
      <c r="A549" s="68" t="s">
        <v>986</v>
      </c>
      <c r="B549" s="68" t="s">
        <v>987</v>
      </c>
      <c r="C549" s="68" t="s">
        <v>965</v>
      </c>
      <c r="D549" s="68" t="s">
        <v>436</v>
      </c>
      <c r="E549" s="68" t="s">
        <v>439</v>
      </c>
      <c r="F549" s="68" t="s">
        <v>900</v>
      </c>
      <c r="G549" s="68" t="s">
        <v>2250</v>
      </c>
      <c r="H549" s="68" t="s">
        <v>929</v>
      </c>
      <c r="I549" s="68" t="s">
        <v>929</v>
      </c>
      <c r="J549" s="69">
        <v>0.63300000000000001</v>
      </c>
      <c r="K549" s="69"/>
      <c r="L549" s="68"/>
      <c r="M549" s="68" t="s">
        <v>895</v>
      </c>
      <c r="N549" s="68" t="s">
        <v>916</v>
      </c>
      <c r="O549" s="68" t="str">
        <f t="shared" si="8"/>
        <v>CT68_RPS Proactive Systems Maintenance</v>
      </c>
      <c r="P549" s="68" t="s">
        <v>2177</v>
      </c>
      <c r="Q549" s="68" t="s">
        <v>1883</v>
      </c>
      <c r="R549" s="68">
        <v>14</v>
      </c>
      <c r="S549" s="78"/>
      <c r="T549" s="72" t="s">
        <v>1881</v>
      </c>
      <c r="U549" s="68">
        <v>13</v>
      </c>
      <c r="V549" s="72" t="s">
        <v>1958</v>
      </c>
      <c r="W549" s="72">
        <v>52.333333333333336</v>
      </c>
      <c r="X549" s="68"/>
      <c r="Y549" s="68" t="s">
        <v>1790</v>
      </c>
      <c r="Z549" s="68" t="s">
        <v>1790</v>
      </c>
      <c r="AA549" s="68" t="str">
        <f>IFERROR("Queue Got Merged in "&amp;VLOOKUP(A549,'CQNs Merged_Split'!$B$7:$D$103,3,FALSE),"")</f>
        <v/>
      </c>
      <c r="AB549" s="68" t="s">
        <v>2210</v>
      </c>
      <c r="AC549" s="68" t="e">
        <v>#N/A</v>
      </c>
    </row>
    <row r="550" spans="1:29" ht="15" customHeight="1" collapsed="1" x14ac:dyDescent="0.3">
      <c r="A550" s="77" t="s">
        <v>2172</v>
      </c>
      <c r="B550" s="68" t="s">
        <v>2199</v>
      </c>
      <c r="C550" s="68" t="s">
        <v>2204</v>
      </c>
      <c r="D550" s="68" t="s">
        <v>440</v>
      </c>
      <c r="E550" s="68" t="s">
        <v>440</v>
      </c>
      <c r="F550" s="68" t="s">
        <v>900</v>
      </c>
      <c r="G550" s="68" t="e">
        <v>#N/A</v>
      </c>
      <c r="H550" s="68" t="s">
        <v>929</v>
      </c>
      <c r="I550" s="68" t="s">
        <v>2206</v>
      </c>
      <c r="J550" s="69">
        <v>0.629</v>
      </c>
      <c r="K550" s="69">
        <v>2.278539874447803E-2</v>
      </c>
      <c r="L550" s="68"/>
      <c r="M550" s="76" t="s">
        <v>1014</v>
      </c>
      <c r="N550" s="68" t="s">
        <v>1882</v>
      </c>
      <c r="O550" s="68" t="str">
        <f t="shared" si="8"/>
        <v>GC02_E2E Manager</v>
      </c>
      <c r="P550" s="68" t="s">
        <v>2177</v>
      </c>
      <c r="Q550" s="68"/>
      <c r="R550" s="68">
        <v>2</v>
      </c>
      <c r="S550" s="78"/>
      <c r="T550" s="68" t="s">
        <v>1881</v>
      </c>
      <c r="U550" s="68">
        <v>13</v>
      </c>
      <c r="V550" s="72" t="s">
        <v>1958</v>
      </c>
      <c r="W550" s="72">
        <v>1</v>
      </c>
      <c r="X550" s="68"/>
      <c r="Y550" s="68"/>
      <c r="Z550" s="68"/>
      <c r="AA550" s="68"/>
      <c r="AB550" s="68" t="s">
        <v>2210</v>
      </c>
      <c r="AC550" s="68" t="e">
        <v>#N/A</v>
      </c>
    </row>
    <row r="551" spans="1:29" ht="15" customHeight="1" collapsed="1" x14ac:dyDescent="0.3">
      <c r="A551" s="77" t="s">
        <v>2173</v>
      </c>
      <c r="B551" s="68" t="s">
        <v>2200</v>
      </c>
      <c r="C551" s="68" t="s">
        <v>2204</v>
      </c>
      <c r="D551" s="68" t="s">
        <v>440</v>
      </c>
      <c r="E551" s="68" t="s">
        <v>440</v>
      </c>
      <c r="F551" s="68" t="s">
        <v>900</v>
      </c>
      <c r="G551" s="68" t="e">
        <v>#N/A</v>
      </c>
      <c r="H551" s="68" t="s">
        <v>929</v>
      </c>
      <c r="I551" s="68" t="s">
        <v>2206</v>
      </c>
      <c r="J551" s="69">
        <v>0.629</v>
      </c>
      <c r="K551" s="69">
        <v>2.278539874447803E-2</v>
      </c>
      <c r="L551" s="68"/>
      <c r="M551" s="76" t="s">
        <v>1014</v>
      </c>
      <c r="N551" s="68" t="s">
        <v>1882</v>
      </c>
      <c r="O551" s="68" t="str">
        <f t="shared" si="8"/>
        <v>GC04_Licensing Manager</v>
      </c>
      <c r="P551" s="68" t="s">
        <v>2177</v>
      </c>
      <c r="Q551" s="68"/>
      <c r="R551" s="68">
        <v>2</v>
      </c>
      <c r="S551" s="78"/>
      <c r="T551" s="68" t="s">
        <v>1881</v>
      </c>
      <c r="U551" s="68">
        <v>13</v>
      </c>
      <c r="V551" s="72" t="s">
        <v>1958</v>
      </c>
      <c r="W551" s="72">
        <v>2</v>
      </c>
      <c r="X551" s="68"/>
      <c r="Y551" s="68"/>
      <c r="Z551" s="68"/>
      <c r="AA551" s="68"/>
      <c r="AB551" s="68" t="s">
        <v>2210</v>
      </c>
      <c r="AC551" s="68" t="e">
        <v>#N/A</v>
      </c>
    </row>
    <row r="552" spans="1:29" ht="15" customHeight="1" x14ac:dyDescent="0.3">
      <c r="A552" s="77" t="s">
        <v>2174</v>
      </c>
      <c r="B552" s="68" t="s">
        <v>2201</v>
      </c>
      <c r="C552" s="68" t="s">
        <v>2204</v>
      </c>
      <c r="D552" s="68" t="s">
        <v>440</v>
      </c>
      <c r="E552" s="68" t="s">
        <v>440</v>
      </c>
      <c r="F552" s="68" t="s">
        <v>900</v>
      </c>
      <c r="G552" s="68" t="e">
        <v>#N/A</v>
      </c>
      <c r="H552" s="68" t="s">
        <v>929</v>
      </c>
      <c r="I552" s="68" t="s">
        <v>2206</v>
      </c>
      <c r="J552" s="69">
        <v>0.629</v>
      </c>
      <c r="K552" s="69">
        <v>2.278539874447803E-2</v>
      </c>
      <c r="L552" s="68"/>
      <c r="M552" s="76" t="s">
        <v>1014</v>
      </c>
      <c r="N552" s="68" t="s">
        <v>1882</v>
      </c>
      <c r="O552" s="68" t="str">
        <f t="shared" si="8"/>
        <v>GC06_S&amp;AS Manager</v>
      </c>
      <c r="P552" s="68" t="s">
        <v>2177</v>
      </c>
      <c r="Q552" s="68"/>
      <c r="R552" s="68">
        <v>2</v>
      </c>
      <c r="S552" s="78"/>
      <c r="T552" s="68" t="s">
        <v>1881</v>
      </c>
      <c r="U552" s="68">
        <v>13</v>
      </c>
      <c r="V552" s="72" t="s">
        <v>1958</v>
      </c>
      <c r="W552" s="72">
        <v>4</v>
      </c>
      <c r="X552" s="68"/>
      <c r="Y552" s="68"/>
      <c r="Z552" s="68"/>
      <c r="AA552" s="68"/>
      <c r="AB552" s="68" t="s">
        <v>2210</v>
      </c>
      <c r="AC552" s="68" t="e">
        <v>#N/A</v>
      </c>
    </row>
    <row r="553" spans="1:29" ht="15" customHeight="1" collapsed="1" x14ac:dyDescent="0.3">
      <c r="A553" s="68" t="s">
        <v>1038</v>
      </c>
      <c r="B553" s="68" t="s">
        <v>1039</v>
      </c>
      <c r="C553" s="68" t="s">
        <v>965</v>
      </c>
      <c r="D553" s="68" t="s">
        <v>440</v>
      </c>
      <c r="E553" s="68" t="s">
        <v>440</v>
      </c>
      <c r="F553" s="68" t="s">
        <v>900</v>
      </c>
      <c r="G553" s="68" t="s">
        <v>1881</v>
      </c>
      <c r="H553" s="68" t="s">
        <v>929</v>
      </c>
      <c r="I553" s="68" t="s">
        <v>929</v>
      </c>
      <c r="J553" s="69"/>
      <c r="K553" s="69"/>
      <c r="L553" s="68"/>
      <c r="M553" s="68"/>
      <c r="N553" s="68" t="s">
        <v>902</v>
      </c>
      <c r="O553" s="68" t="str">
        <f t="shared" si="8"/>
        <v>GC12_E2E Quality Coach</v>
      </c>
      <c r="P553" s="68" t="s">
        <v>2177</v>
      </c>
      <c r="Q553" s="68" t="s">
        <v>1883</v>
      </c>
      <c r="R553" s="68">
        <v>0</v>
      </c>
      <c r="S553" s="78"/>
      <c r="T553" s="72" t="s">
        <v>1881</v>
      </c>
      <c r="U553" s="68">
        <v>13</v>
      </c>
      <c r="V553" s="72" t="s">
        <v>1958</v>
      </c>
      <c r="W553" s="72">
        <v>1</v>
      </c>
      <c r="X553" s="68"/>
      <c r="Y553" s="68" t="s">
        <v>1790</v>
      </c>
      <c r="Z553" s="68" t="s">
        <v>1790</v>
      </c>
      <c r="AA553" s="68" t="str">
        <f>IFERROR("Queue Got Merged in "&amp;VLOOKUP(A553,'CQNs Merged_Split'!$B$7:$D$103,3,FALSE),"")</f>
        <v/>
      </c>
      <c r="AB553" s="68" t="s">
        <v>2210</v>
      </c>
      <c r="AC553" s="68" t="e">
        <v>#N/A</v>
      </c>
    </row>
    <row r="554" spans="1:29" ht="15" customHeight="1" collapsed="1" x14ac:dyDescent="0.3">
      <c r="A554" s="68" t="s">
        <v>1040</v>
      </c>
      <c r="B554" s="68" t="s">
        <v>1041</v>
      </c>
      <c r="C554" s="68" t="s">
        <v>965</v>
      </c>
      <c r="D554" s="68" t="s">
        <v>440</v>
      </c>
      <c r="E554" s="68" t="s">
        <v>440</v>
      </c>
      <c r="F554" s="68" t="s">
        <v>900</v>
      </c>
      <c r="G554" s="68" t="s">
        <v>1881</v>
      </c>
      <c r="H554" s="68" t="s">
        <v>929</v>
      </c>
      <c r="I554" s="68" t="s">
        <v>929</v>
      </c>
      <c r="J554" s="69"/>
      <c r="K554" s="69"/>
      <c r="L554" s="68"/>
      <c r="M554" s="68"/>
      <c r="N554" s="68" t="s">
        <v>902</v>
      </c>
      <c r="O554" s="68" t="str">
        <f t="shared" si="8"/>
        <v>GC13_GIST Quality Coach</v>
      </c>
      <c r="P554" s="68" t="s">
        <v>2177</v>
      </c>
      <c r="Q554" s="68" t="s">
        <v>1883</v>
      </c>
      <c r="R554" s="68">
        <v>0</v>
      </c>
      <c r="S554" s="78"/>
      <c r="T554" s="72" t="s">
        <v>1881</v>
      </c>
      <c r="U554" s="68">
        <v>13</v>
      </c>
      <c r="V554" s="72" t="s">
        <v>1958</v>
      </c>
      <c r="W554" s="72">
        <v>7</v>
      </c>
      <c r="X554" s="68"/>
      <c r="Y554" s="68" t="s">
        <v>1790</v>
      </c>
      <c r="Z554" s="68" t="s">
        <v>1790</v>
      </c>
      <c r="AA554" s="68" t="str">
        <f>IFERROR("Queue Got Merged in "&amp;VLOOKUP(A554,'CQNs Merged_Split'!$B$7:$D$103,3,FALSE),"")</f>
        <v/>
      </c>
      <c r="AB554" s="68" t="s">
        <v>2210</v>
      </c>
      <c r="AC554" s="68" t="e">
        <v>#N/A</v>
      </c>
    </row>
    <row r="555" spans="1:29" ht="15" customHeight="1" collapsed="1" x14ac:dyDescent="0.3">
      <c r="A555" s="68" t="s">
        <v>1042</v>
      </c>
      <c r="B555" s="68" t="s">
        <v>1043</v>
      </c>
      <c r="C555" s="68" t="s">
        <v>965</v>
      </c>
      <c r="D555" s="68" t="s">
        <v>440</v>
      </c>
      <c r="E555" s="68" t="s">
        <v>440</v>
      </c>
      <c r="F555" s="68" t="s">
        <v>900</v>
      </c>
      <c r="G555" s="68" t="s">
        <v>1881</v>
      </c>
      <c r="H555" s="68" t="s">
        <v>929</v>
      </c>
      <c r="I555" s="68" t="s">
        <v>929</v>
      </c>
      <c r="J555" s="69"/>
      <c r="K555" s="69"/>
      <c r="L555" s="68"/>
      <c r="M555" s="68"/>
      <c r="N555" s="68" t="s">
        <v>902</v>
      </c>
      <c r="O555" s="68" t="str">
        <f t="shared" si="8"/>
        <v>GC14_Licensing Quality Coach</v>
      </c>
      <c r="P555" s="68" t="s">
        <v>2177</v>
      </c>
      <c r="Q555" s="68" t="s">
        <v>1883</v>
      </c>
      <c r="R555" s="68">
        <v>0</v>
      </c>
      <c r="S555" s="78"/>
      <c r="T555" s="72" t="s">
        <v>1881</v>
      </c>
      <c r="U555" s="68">
        <v>13</v>
      </c>
      <c r="V555" s="72" t="s">
        <v>1958</v>
      </c>
      <c r="W555" s="72">
        <v>2</v>
      </c>
      <c r="X555" s="68"/>
      <c r="Y555" s="68" t="s">
        <v>1790</v>
      </c>
      <c r="Z555" s="68" t="s">
        <v>1790</v>
      </c>
      <c r="AA555" s="68" t="str">
        <f>IFERROR("Queue Got Merged in "&amp;VLOOKUP(A555,'CQNs Merged_Split'!$B$7:$D$103,3,FALSE),"")</f>
        <v/>
      </c>
      <c r="AB555" s="68" t="s">
        <v>2210</v>
      </c>
      <c r="AC555" s="68" t="e">
        <v>#N/A</v>
      </c>
    </row>
    <row r="556" spans="1:29" ht="15" customHeight="1" collapsed="1" x14ac:dyDescent="0.3">
      <c r="A556" s="77" t="s">
        <v>2175</v>
      </c>
      <c r="B556" s="68" t="s">
        <v>2095</v>
      </c>
      <c r="C556" s="68" t="s">
        <v>2204</v>
      </c>
      <c r="D556" s="68" t="s">
        <v>440</v>
      </c>
      <c r="E556" s="68" t="s">
        <v>440</v>
      </c>
      <c r="F556" s="68" t="s">
        <v>900</v>
      </c>
      <c r="G556" s="68" t="e">
        <v>#N/A</v>
      </c>
      <c r="H556" s="68" t="s">
        <v>929</v>
      </c>
      <c r="I556" s="68" t="s">
        <v>2206</v>
      </c>
      <c r="J556" s="69">
        <v>0.629</v>
      </c>
      <c r="K556" s="69">
        <v>2.278539874447803E-2</v>
      </c>
      <c r="L556" s="68"/>
      <c r="M556" s="76" t="s">
        <v>1014</v>
      </c>
      <c r="N556" s="68" t="s">
        <v>1882</v>
      </c>
      <c r="O556" s="68" t="str">
        <f t="shared" si="8"/>
        <v>GC16_GIST Manager</v>
      </c>
      <c r="P556" s="68" t="s">
        <v>2177</v>
      </c>
      <c r="Q556" s="68"/>
      <c r="R556" s="68">
        <v>2</v>
      </c>
      <c r="S556" s="78"/>
      <c r="T556" s="68" t="s">
        <v>1881</v>
      </c>
      <c r="U556" s="68">
        <v>13</v>
      </c>
      <c r="V556" s="72" t="s">
        <v>1958</v>
      </c>
      <c r="W556" s="72">
        <v>4</v>
      </c>
      <c r="X556" s="68"/>
      <c r="Y556" s="68"/>
      <c r="Z556" s="68"/>
      <c r="AA556" s="68"/>
      <c r="AB556" s="68" t="s">
        <v>2210</v>
      </c>
      <c r="AC556" s="68" t="e">
        <v>#N/A</v>
      </c>
    </row>
    <row r="557" spans="1:29" ht="15" customHeight="1" collapsed="1" x14ac:dyDescent="0.3">
      <c r="A557" s="68" t="s">
        <v>1953</v>
      </c>
      <c r="B557" s="68" t="s">
        <v>1954</v>
      </c>
      <c r="C557" s="68" t="s">
        <v>928</v>
      </c>
      <c r="D557" s="68" t="s">
        <v>439</v>
      </c>
      <c r="E557" s="68" t="s">
        <v>439</v>
      </c>
      <c r="F557" s="68" t="s">
        <v>900</v>
      </c>
      <c r="G557" s="68" t="s">
        <v>2251</v>
      </c>
      <c r="H557" s="68" t="s">
        <v>929</v>
      </c>
      <c r="I557" s="68" t="s">
        <v>929</v>
      </c>
      <c r="J557" s="69"/>
      <c r="K557" s="69"/>
      <c r="L557" s="68"/>
      <c r="M557" s="68"/>
      <c r="N557" s="68" t="s">
        <v>916</v>
      </c>
      <c r="O557" s="68" t="str">
        <f t="shared" si="8"/>
        <v>GCF1_Global Compute Community Forum</v>
      </c>
      <c r="P557" s="68" t="s">
        <v>2177</v>
      </c>
      <c r="Q557" s="68" t="s">
        <v>1810</v>
      </c>
      <c r="R557" s="68"/>
      <c r="S557" s="78"/>
      <c r="T557" s="72" t="s">
        <v>1881</v>
      </c>
      <c r="U557" s="68"/>
      <c r="V557" s="72" t="s">
        <v>1958</v>
      </c>
      <c r="W557" s="72">
        <v>7</v>
      </c>
      <c r="X557" s="68"/>
      <c r="Y557" s="68" t="e">
        <v>#N/A</v>
      </c>
      <c r="Z557" s="68" t="e">
        <v>#N/A</v>
      </c>
      <c r="AA557" s="68" t="str">
        <f>IFERROR("Queue Got Merged in "&amp;VLOOKUP(A557,'CQNs Merged_Split'!$B$7:$D$103,3,FALSE),"")</f>
        <v/>
      </c>
      <c r="AB557" s="68" t="s">
        <v>2210</v>
      </c>
      <c r="AC557" s="68" t="e">
        <v>#N/A</v>
      </c>
    </row>
    <row r="558" spans="1:29" ht="15" customHeight="1" collapsed="1" x14ac:dyDescent="0.3">
      <c r="A558" s="68" t="s">
        <v>531</v>
      </c>
      <c r="B558" s="68" t="s">
        <v>532</v>
      </c>
      <c r="C558" s="68" t="s">
        <v>928</v>
      </c>
      <c r="D558" s="68" t="s">
        <v>439</v>
      </c>
      <c r="E558" s="68" t="s">
        <v>439</v>
      </c>
      <c r="F558" s="68" t="s">
        <v>900</v>
      </c>
      <c r="G558" s="68" t="e">
        <v>#N/A</v>
      </c>
      <c r="H558" s="68" t="s">
        <v>912</v>
      </c>
      <c r="I558" s="68" t="s">
        <v>1009</v>
      </c>
      <c r="J558" s="69">
        <v>0.61699999999999999</v>
      </c>
      <c r="K558" s="69">
        <v>3.8967379973253502E-2</v>
      </c>
      <c r="L558" s="68"/>
      <c r="M558" s="68" t="s">
        <v>895</v>
      </c>
      <c r="N558" s="68" t="s">
        <v>916</v>
      </c>
      <c r="O558" s="68" t="str">
        <f t="shared" si="8"/>
        <v>HC07_German Trainees</v>
      </c>
      <c r="P558" s="68" t="s">
        <v>2177</v>
      </c>
      <c r="Q558" s="68" t="s">
        <v>1810</v>
      </c>
      <c r="R558" s="68">
        <v>14</v>
      </c>
      <c r="S558" s="78"/>
      <c r="T558" s="68" t="s">
        <v>1881</v>
      </c>
      <c r="U558" s="68">
        <v>13</v>
      </c>
      <c r="V558" s="72" t="s">
        <v>1958</v>
      </c>
      <c r="W558" s="72">
        <v>12</v>
      </c>
      <c r="X558" s="68"/>
      <c r="Y558" s="68" t="s">
        <v>1790</v>
      </c>
      <c r="Z558" s="68" t="s">
        <v>1790</v>
      </c>
      <c r="AA558" s="68" t="str">
        <f>IFERROR("Queue Got Merged in "&amp;VLOOKUP(A558,'CQNs Merged_Split'!$B$7:$D$103,3,FALSE),"")</f>
        <v/>
      </c>
      <c r="AB558" s="68" t="s">
        <v>2213</v>
      </c>
      <c r="AC558" s="68" t="e">
        <v>#N/A</v>
      </c>
    </row>
    <row r="559" spans="1:29" ht="15" customHeight="1" collapsed="1" x14ac:dyDescent="0.3">
      <c r="A559" s="77" t="s">
        <v>2176</v>
      </c>
      <c r="B559" s="68" t="s">
        <v>2202</v>
      </c>
      <c r="C559" s="68" t="s">
        <v>2205</v>
      </c>
      <c r="D559" s="68" t="s">
        <v>440</v>
      </c>
      <c r="E559" s="68" t="s">
        <v>440</v>
      </c>
      <c r="F559" s="68" t="s">
        <v>900</v>
      </c>
      <c r="G559" s="68" t="e">
        <v>#N/A</v>
      </c>
      <c r="H559" s="68" t="s">
        <v>929</v>
      </c>
      <c r="I559" s="68" t="s">
        <v>2206</v>
      </c>
      <c r="J559" s="69">
        <v>0.629</v>
      </c>
      <c r="K559" s="69">
        <v>2.278539874447803E-2</v>
      </c>
      <c r="L559" s="68"/>
      <c r="M559" s="76" t="s">
        <v>1014</v>
      </c>
      <c r="N559" s="68" t="s">
        <v>1882</v>
      </c>
      <c r="O559" s="68" t="str">
        <f t="shared" si="8"/>
        <v>L2G5_ARS ESC Commercial REC</v>
      </c>
      <c r="P559" s="68" t="s">
        <v>2182</v>
      </c>
      <c r="Q559" s="68"/>
      <c r="R559" s="68">
        <v>2</v>
      </c>
      <c r="S559" s="78"/>
      <c r="T559" s="68" t="s">
        <v>1881</v>
      </c>
      <c r="U559" s="68">
        <v>13</v>
      </c>
      <c r="V559" s="72" t="s">
        <v>1958</v>
      </c>
      <c r="W559" s="72">
        <v>97</v>
      </c>
      <c r="X559" s="68"/>
      <c r="Y559" s="68"/>
      <c r="Z559" s="68"/>
      <c r="AA559" s="68"/>
      <c r="AB559" s="68" t="s">
        <v>2210</v>
      </c>
      <c r="AC559" s="68" t="e">
        <v>#N/A</v>
      </c>
    </row>
    <row r="560" spans="1:29" ht="15" customHeight="1" collapsed="1" x14ac:dyDescent="0.3">
      <c r="A560" s="68" t="s">
        <v>836</v>
      </c>
      <c r="B560" s="68" t="s">
        <v>837</v>
      </c>
      <c r="C560" s="68" t="s">
        <v>1846</v>
      </c>
      <c r="D560" s="68" t="s">
        <v>934</v>
      </c>
      <c r="E560" s="68"/>
      <c r="F560" s="68" t="s">
        <v>8</v>
      </c>
      <c r="G560" s="68" t="s">
        <v>1881</v>
      </c>
      <c r="H560" s="68"/>
      <c r="I560" s="68"/>
      <c r="J560" s="69"/>
      <c r="K560" s="69"/>
      <c r="L560" s="68"/>
      <c r="M560" s="68"/>
      <c r="N560" s="68"/>
      <c r="O560" s="68" t="str">
        <f t="shared" si="8"/>
        <v>NALC_NA Basic Core Concentrix</v>
      </c>
      <c r="P560" s="68" t="s">
        <v>2254</v>
      </c>
      <c r="Q560" s="68" t="s">
        <v>896</v>
      </c>
      <c r="R560" s="68"/>
      <c r="S560" s="78"/>
      <c r="T560" s="68" t="s">
        <v>1881</v>
      </c>
      <c r="U560" s="68"/>
      <c r="V560" s="72" t="s">
        <v>1958</v>
      </c>
      <c r="W560" s="72">
        <v>85</v>
      </c>
      <c r="X560" s="68"/>
      <c r="Y560" s="68" t="e">
        <v>#N/A</v>
      </c>
      <c r="Z560" s="68" t="e">
        <v>#N/A</v>
      </c>
      <c r="AA560" s="68"/>
      <c r="AB560" s="68" t="s">
        <v>2208</v>
      </c>
      <c r="AC560" s="68" t="e">
        <v>#N/A</v>
      </c>
    </row>
    <row r="561" spans="1:29" ht="15" customHeight="1" collapsed="1" x14ac:dyDescent="0.3">
      <c r="A561" s="68" t="s">
        <v>1092</v>
      </c>
      <c r="B561" s="68" t="s">
        <v>1093</v>
      </c>
      <c r="C561" s="68" t="s">
        <v>914</v>
      </c>
      <c r="D561" s="68" t="s">
        <v>440</v>
      </c>
      <c r="E561" s="68" t="s">
        <v>440</v>
      </c>
      <c r="F561" s="68" t="s">
        <v>900</v>
      </c>
      <c r="G561" s="68" t="s">
        <v>1881</v>
      </c>
      <c r="H561" s="68" t="s">
        <v>929</v>
      </c>
      <c r="I561" s="68" t="s">
        <v>929</v>
      </c>
      <c r="J561" s="69">
        <v>0.63300000000000001</v>
      </c>
      <c r="K561" s="69"/>
      <c r="L561" s="68"/>
      <c r="M561" s="68" t="s">
        <v>895</v>
      </c>
      <c r="N561" s="68" t="s">
        <v>957</v>
      </c>
      <c r="O561" s="68" t="str">
        <f t="shared" si="8"/>
        <v>NF01_APJ Manager</v>
      </c>
      <c r="P561" s="68" t="s">
        <v>2177</v>
      </c>
      <c r="Q561" s="68" t="s">
        <v>1883</v>
      </c>
      <c r="R561" s="68">
        <v>14</v>
      </c>
      <c r="S561" s="78"/>
      <c r="T561" s="72" t="s">
        <v>1881</v>
      </c>
      <c r="U561" s="68"/>
      <c r="V561" s="72" t="s">
        <v>1958</v>
      </c>
      <c r="W561" s="72">
        <v>35</v>
      </c>
      <c r="X561" s="68"/>
      <c r="Y561" s="68" t="e">
        <v>#N/A</v>
      </c>
      <c r="Z561" s="68" t="e">
        <v>#N/A</v>
      </c>
      <c r="AA561" s="68" t="str">
        <f>IFERROR("Queue Got Merged in "&amp;VLOOKUP(A561,'CQNs Merged_Split'!$B$7:$D$103,3,FALSE),"")</f>
        <v/>
      </c>
      <c r="AB561" s="68" t="s">
        <v>2210</v>
      </c>
      <c r="AC561" s="68" t="e">
        <v>#N/A</v>
      </c>
    </row>
    <row r="562" spans="1:29" ht="15" customHeight="1" collapsed="1" x14ac:dyDescent="0.3">
      <c r="A562" s="68" t="s">
        <v>1094</v>
      </c>
      <c r="B562" s="68" t="s">
        <v>1095</v>
      </c>
      <c r="C562" s="68" t="s">
        <v>914</v>
      </c>
      <c r="D562" s="68" t="s">
        <v>440</v>
      </c>
      <c r="E562" s="68" t="s">
        <v>440</v>
      </c>
      <c r="F562" s="68" t="s">
        <v>900</v>
      </c>
      <c r="G562" s="68" t="e">
        <v>#N/A</v>
      </c>
      <c r="H562" s="68" t="s">
        <v>929</v>
      </c>
      <c r="I562" s="68" t="s">
        <v>929</v>
      </c>
      <c r="J562" s="69">
        <v>0.63300000000000001</v>
      </c>
      <c r="K562" s="69"/>
      <c r="L562" s="68"/>
      <c r="M562" s="68" t="s">
        <v>895</v>
      </c>
      <c r="N562" s="68"/>
      <c r="O562" s="68" t="str">
        <f t="shared" si="8"/>
        <v>NF02_APJ Non-Frontline</v>
      </c>
      <c r="P562" s="68" t="s">
        <v>2177</v>
      </c>
      <c r="Q562" s="68" t="s">
        <v>917</v>
      </c>
      <c r="R562" s="68">
        <v>14</v>
      </c>
      <c r="S562" s="78"/>
      <c r="T562" s="68" t="s">
        <v>1881</v>
      </c>
      <c r="U562" s="68"/>
      <c r="V562" s="72" t="s">
        <v>1958</v>
      </c>
      <c r="W562" s="72">
        <v>4</v>
      </c>
      <c r="X562" s="68"/>
      <c r="Y562" s="68" t="e">
        <v>#N/A</v>
      </c>
      <c r="Z562" s="68" t="e">
        <v>#N/A</v>
      </c>
      <c r="AA562" s="68"/>
      <c r="AB562" s="68" t="s">
        <v>2210</v>
      </c>
      <c r="AC562" s="68" t="e">
        <v>#N/A</v>
      </c>
    </row>
    <row r="563" spans="1:29" ht="15" customHeight="1" collapsed="1" x14ac:dyDescent="0.3">
      <c r="A563" s="68" t="s">
        <v>1098</v>
      </c>
      <c r="B563" s="68" t="s">
        <v>1099</v>
      </c>
      <c r="C563" s="68" t="s">
        <v>914</v>
      </c>
      <c r="D563" s="68" t="s">
        <v>440</v>
      </c>
      <c r="E563" s="68" t="s">
        <v>440</v>
      </c>
      <c r="F563" s="68" t="s">
        <v>900</v>
      </c>
      <c r="G563" s="68" t="s">
        <v>1881</v>
      </c>
      <c r="H563" s="68" t="s">
        <v>929</v>
      </c>
      <c r="I563" s="68" t="s">
        <v>929</v>
      </c>
      <c r="J563" s="69">
        <v>0.63300000000000001</v>
      </c>
      <c r="K563" s="69"/>
      <c r="L563" s="68"/>
      <c r="M563" s="68" t="s">
        <v>895</v>
      </c>
      <c r="N563" s="68" t="s">
        <v>902</v>
      </c>
      <c r="O563" s="68" t="str">
        <f t="shared" si="8"/>
        <v>NF04_APJ Quality Coach</v>
      </c>
      <c r="P563" s="68" t="s">
        <v>2177</v>
      </c>
      <c r="Q563" s="68" t="s">
        <v>1883</v>
      </c>
      <c r="R563" s="68">
        <v>14</v>
      </c>
      <c r="S563" s="78"/>
      <c r="T563" s="72" t="s">
        <v>1881</v>
      </c>
      <c r="U563" s="68">
        <v>13</v>
      </c>
      <c r="V563" s="72" t="s">
        <v>1958</v>
      </c>
      <c r="W563" s="72">
        <v>39</v>
      </c>
      <c r="X563" s="68"/>
      <c r="Y563" s="68" t="s">
        <v>1790</v>
      </c>
      <c r="Z563" s="68" t="s">
        <v>1790</v>
      </c>
      <c r="AA563" s="68" t="str">
        <f>IFERROR("Queue Got Merged in "&amp;VLOOKUP(A563,'CQNs Merged_Split'!$B$7:$D$103,3,FALSE),"")</f>
        <v/>
      </c>
      <c r="AB563" s="68" t="s">
        <v>2210</v>
      </c>
      <c r="AC563" s="68" t="e">
        <v>#N/A</v>
      </c>
    </row>
    <row r="564" spans="1:29" ht="15" customHeight="1" collapsed="1" x14ac:dyDescent="0.3">
      <c r="A564" s="68" t="s">
        <v>1102</v>
      </c>
      <c r="B564" s="68" t="s">
        <v>1103</v>
      </c>
      <c r="C564" s="68" t="s">
        <v>928</v>
      </c>
      <c r="D564" s="68" t="s">
        <v>440</v>
      </c>
      <c r="E564" s="68" t="s">
        <v>440</v>
      </c>
      <c r="F564" s="68" t="s">
        <v>900</v>
      </c>
      <c r="G564" s="68" t="s">
        <v>1881</v>
      </c>
      <c r="H564" s="68" t="s">
        <v>929</v>
      </c>
      <c r="I564" s="68" t="s">
        <v>929</v>
      </c>
      <c r="J564" s="69"/>
      <c r="K564" s="69"/>
      <c r="L564" s="68"/>
      <c r="M564" s="68"/>
      <c r="N564" s="68" t="s">
        <v>902</v>
      </c>
      <c r="O564" s="68" t="str">
        <f t="shared" si="8"/>
        <v>NF06_Social Media Quality Coach</v>
      </c>
      <c r="P564" s="68" t="s">
        <v>2177</v>
      </c>
      <c r="Q564" s="68" t="s">
        <v>1810</v>
      </c>
      <c r="R564" s="68">
        <v>0</v>
      </c>
      <c r="S564" s="78"/>
      <c r="T564" s="72" t="s">
        <v>1881</v>
      </c>
      <c r="U564" s="68">
        <v>13</v>
      </c>
      <c r="V564" s="72" t="s">
        <v>1958</v>
      </c>
      <c r="W564" s="72">
        <v>6</v>
      </c>
      <c r="X564" s="68"/>
      <c r="Y564" s="68" t="s">
        <v>1790</v>
      </c>
      <c r="Z564" s="68" t="s">
        <v>1790</v>
      </c>
      <c r="AA564" s="68" t="str">
        <f>IFERROR("Queue Got Merged in "&amp;VLOOKUP(A564,'CQNs Merged_Split'!$B$7:$D$103,3,FALSE),"")</f>
        <v/>
      </c>
      <c r="AB564" s="68" t="s">
        <v>2210</v>
      </c>
      <c r="AC564" s="68" t="e">
        <v>#N/A</v>
      </c>
    </row>
    <row r="565" spans="1:29" ht="15" customHeight="1" collapsed="1" x14ac:dyDescent="0.3">
      <c r="A565" s="68" t="s">
        <v>1104</v>
      </c>
      <c r="B565" s="68" t="s">
        <v>1105</v>
      </c>
      <c r="C565" s="68" t="s">
        <v>1044</v>
      </c>
      <c r="D565" s="68" t="s">
        <v>440</v>
      </c>
      <c r="E565" s="68" t="s">
        <v>440</v>
      </c>
      <c r="F565" s="68" t="s">
        <v>900</v>
      </c>
      <c r="G565" s="68" t="s">
        <v>1881</v>
      </c>
      <c r="H565" s="68" t="s">
        <v>929</v>
      </c>
      <c r="I565" s="68" t="s">
        <v>929</v>
      </c>
      <c r="J565" s="69">
        <v>0.63300000000000001</v>
      </c>
      <c r="K565" s="69"/>
      <c r="L565" s="68"/>
      <c r="M565" s="68" t="s">
        <v>895</v>
      </c>
      <c r="N565" s="68" t="s">
        <v>957</v>
      </c>
      <c r="O565" s="68" t="str">
        <f t="shared" si="8"/>
        <v>NF09_DPD/UDS Manager</v>
      </c>
      <c r="P565" s="68" t="s">
        <v>2177</v>
      </c>
      <c r="Q565" s="68" t="s">
        <v>1884</v>
      </c>
      <c r="R565" s="68">
        <v>14</v>
      </c>
      <c r="S565" s="78"/>
      <c r="T565" s="72" t="s">
        <v>1881</v>
      </c>
      <c r="U565" s="68">
        <v>13</v>
      </c>
      <c r="V565" s="72" t="s">
        <v>1958</v>
      </c>
      <c r="W565" s="72">
        <v>43</v>
      </c>
      <c r="X565" s="68"/>
      <c r="Y565" s="68" t="s">
        <v>1790</v>
      </c>
      <c r="Z565" s="68" t="s">
        <v>1790</v>
      </c>
      <c r="AA565" s="68" t="str">
        <f>IFERROR("Queue Got Merged in "&amp;VLOOKUP(A565,'CQNs Merged_Split'!$B$7:$D$103,3,FALSE),"")</f>
        <v/>
      </c>
      <c r="AB565" s="68" t="s">
        <v>2210</v>
      </c>
      <c r="AC565" s="68" t="e">
        <v>#N/A</v>
      </c>
    </row>
    <row r="566" spans="1:29" ht="15" customHeight="1" collapsed="1" x14ac:dyDescent="0.3">
      <c r="A566" s="68" t="s">
        <v>1106</v>
      </c>
      <c r="B566" s="68" t="s">
        <v>1107</v>
      </c>
      <c r="C566" s="68" t="s">
        <v>1044</v>
      </c>
      <c r="D566" s="68" t="s">
        <v>440</v>
      </c>
      <c r="E566" s="68" t="s">
        <v>440</v>
      </c>
      <c r="F566" s="68" t="s">
        <v>900</v>
      </c>
      <c r="G566" s="68" t="e">
        <v>#N/A</v>
      </c>
      <c r="H566" s="68" t="s">
        <v>912</v>
      </c>
      <c r="I566" s="68" t="s">
        <v>966</v>
      </c>
      <c r="J566" s="69">
        <v>0.61699999999999999</v>
      </c>
      <c r="K566" s="69"/>
      <c r="L566" s="68"/>
      <c r="M566" s="68" t="s">
        <v>895</v>
      </c>
      <c r="N566" s="68" t="s">
        <v>1882</v>
      </c>
      <c r="O566" s="68" t="str">
        <f t="shared" si="8"/>
        <v>NF10_DPD/UDS Non-Frontline</v>
      </c>
      <c r="P566" s="68" t="s">
        <v>2177</v>
      </c>
      <c r="Q566" s="68" t="s">
        <v>1884</v>
      </c>
      <c r="R566" s="68">
        <v>14</v>
      </c>
      <c r="S566" s="78"/>
      <c r="T566" s="72" t="s">
        <v>1881</v>
      </c>
      <c r="U566" s="68">
        <v>13</v>
      </c>
      <c r="V566" s="72" t="s">
        <v>1958</v>
      </c>
      <c r="W566" s="72">
        <v>1</v>
      </c>
      <c r="X566" s="68"/>
      <c r="Y566" s="68" t="e">
        <v>#N/A</v>
      </c>
      <c r="Z566" s="68" t="e">
        <v>#N/A</v>
      </c>
      <c r="AA566" s="68"/>
      <c r="AB566" s="68" t="s">
        <v>2210</v>
      </c>
      <c r="AC566" s="68" t="e">
        <v>#N/A</v>
      </c>
    </row>
    <row r="567" spans="1:29" ht="15" customHeight="1" collapsed="1" x14ac:dyDescent="0.3">
      <c r="A567" s="68" t="s">
        <v>1110</v>
      </c>
      <c r="B567" s="68" t="s">
        <v>1111</v>
      </c>
      <c r="C567" s="68" t="s">
        <v>1044</v>
      </c>
      <c r="D567" s="68" t="s">
        <v>440</v>
      </c>
      <c r="E567" s="68" t="s">
        <v>440</v>
      </c>
      <c r="F567" s="68" t="s">
        <v>900</v>
      </c>
      <c r="G567" s="68" t="s">
        <v>1881</v>
      </c>
      <c r="H567" s="68" t="s">
        <v>929</v>
      </c>
      <c r="I567" s="68" t="s">
        <v>929</v>
      </c>
      <c r="J567" s="69">
        <v>0.63300000000000001</v>
      </c>
      <c r="K567" s="69"/>
      <c r="L567" s="68"/>
      <c r="M567" s="68" t="s">
        <v>895</v>
      </c>
      <c r="N567" s="68" t="s">
        <v>902</v>
      </c>
      <c r="O567" s="68" t="str">
        <f t="shared" si="8"/>
        <v>NF12_DPD/UDS Quality Coach</v>
      </c>
      <c r="P567" s="68" t="s">
        <v>2177</v>
      </c>
      <c r="Q567" s="68" t="s">
        <v>1884</v>
      </c>
      <c r="R567" s="68">
        <v>14</v>
      </c>
      <c r="S567" s="78"/>
      <c r="T567" s="72" t="s">
        <v>1881</v>
      </c>
      <c r="U567" s="68">
        <v>13</v>
      </c>
      <c r="V567" s="72" t="s">
        <v>1958</v>
      </c>
      <c r="W567" s="72">
        <v>30.666666666666668</v>
      </c>
      <c r="X567" s="68"/>
      <c r="Y567" s="68" t="s">
        <v>1790</v>
      </c>
      <c r="Z567" s="68" t="s">
        <v>1790</v>
      </c>
      <c r="AA567" s="68" t="str">
        <f>IFERROR("Queue Got Merged in "&amp;VLOOKUP(A567,'CQNs Merged_Split'!$B$7:$D$103,3,FALSE),"")</f>
        <v/>
      </c>
      <c r="AB567" s="68" t="s">
        <v>2210</v>
      </c>
      <c r="AC567" s="68" t="e">
        <v>#N/A</v>
      </c>
    </row>
    <row r="568" spans="1:29" ht="15" customHeight="1" collapsed="1" x14ac:dyDescent="0.3">
      <c r="A568" s="68" t="s">
        <v>1112</v>
      </c>
      <c r="B568" s="68" t="s">
        <v>1113</v>
      </c>
      <c r="C568" s="68" t="s">
        <v>1044</v>
      </c>
      <c r="D568" s="68" t="s">
        <v>440</v>
      </c>
      <c r="E568" s="68" t="s">
        <v>440</v>
      </c>
      <c r="F568" s="68" t="s">
        <v>900</v>
      </c>
      <c r="G568" s="68" t="s">
        <v>1881</v>
      </c>
      <c r="H568" s="68" t="s">
        <v>893</v>
      </c>
      <c r="I568" s="68" t="s">
        <v>894</v>
      </c>
      <c r="J568" s="69">
        <v>0.64800000000000002</v>
      </c>
      <c r="K568" s="69"/>
      <c r="L568" s="68"/>
      <c r="M568" s="68" t="s">
        <v>895</v>
      </c>
      <c r="N568" s="68" t="s">
        <v>1114</v>
      </c>
      <c r="O568" s="68" t="str">
        <f t="shared" si="8"/>
        <v>NF13_DPD/UDS Technical Lead</v>
      </c>
      <c r="P568" s="68" t="s">
        <v>2177</v>
      </c>
      <c r="Q568" s="68" t="s">
        <v>1884</v>
      </c>
      <c r="R568" s="68">
        <v>14</v>
      </c>
      <c r="S568" s="78"/>
      <c r="T568" s="72" t="s">
        <v>1881</v>
      </c>
      <c r="U568" s="68">
        <v>13</v>
      </c>
      <c r="V568" s="72" t="s">
        <v>1958</v>
      </c>
      <c r="W568" s="72">
        <v>1</v>
      </c>
      <c r="X568" s="68"/>
      <c r="Y568" s="68" t="s">
        <v>1790</v>
      </c>
      <c r="Z568" s="68" t="s">
        <v>1790</v>
      </c>
      <c r="AA568" s="68" t="str">
        <f>IFERROR("Queue Got Merged in "&amp;VLOOKUP(A568,'CQNs Merged_Split'!$B$7:$D$103,3,FALSE),"")</f>
        <v/>
      </c>
      <c r="AB568" s="68" t="s">
        <v>2210</v>
      </c>
      <c r="AC568" s="68" t="e">
        <v>#N/A</v>
      </c>
    </row>
    <row r="569" spans="1:29" ht="15" customHeight="1" collapsed="1" x14ac:dyDescent="0.3">
      <c r="A569" s="68" t="s">
        <v>1115</v>
      </c>
      <c r="B569" s="68" t="s">
        <v>1116</v>
      </c>
      <c r="C569" s="68" t="s">
        <v>914</v>
      </c>
      <c r="D569" s="68" t="s">
        <v>440</v>
      </c>
      <c r="E569" s="68" t="s">
        <v>440</v>
      </c>
      <c r="F569" s="68" t="s">
        <v>900</v>
      </c>
      <c r="G569" s="68" t="e">
        <v>#N/A</v>
      </c>
      <c r="H569" s="68" t="s">
        <v>929</v>
      </c>
      <c r="I569" s="68" t="s">
        <v>929</v>
      </c>
      <c r="J569" s="69">
        <v>0.63300000000000001</v>
      </c>
      <c r="K569" s="69"/>
      <c r="L569" s="68"/>
      <c r="M569" s="68" t="s">
        <v>895</v>
      </c>
      <c r="N569" s="68" t="s">
        <v>957</v>
      </c>
      <c r="O569" s="68" t="str">
        <f t="shared" si="8"/>
        <v>NF14_EMEA Manager</v>
      </c>
      <c r="P569" s="68" t="s">
        <v>2177</v>
      </c>
      <c r="Q569" s="68" t="s">
        <v>896</v>
      </c>
      <c r="R569" s="68">
        <v>14</v>
      </c>
      <c r="S569" s="78"/>
      <c r="T569" s="68" t="s">
        <v>1881</v>
      </c>
      <c r="U569" s="68"/>
      <c r="V569" s="72" t="s">
        <v>1958</v>
      </c>
      <c r="W569" s="72">
        <v>0.66666666666666663</v>
      </c>
      <c r="X569" s="68"/>
      <c r="Y569" s="68" t="e">
        <v>#N/A</v>
      </c>
      <c r="Z569" s="68" t="e">
        <v>#N/A</v>
      </c>
      <c r="AA569" s="68"/>
      <c r="AB569" s="68" t="s">
        <v>2210</v>
      </c>
      <c r="AC569" s="68" t="e">
        <v>#N/A</v>
      </c>
    </row>
    <row r="570" spans="1:29" ht="15" customHeight="1" collapsed="1" x14ac:dyDescent="0.3">
      <c r="A570" s="68" t="s">
        <v>1121</v>
      </c>
      <c r="B570" s="68" t="s">
        <v>1122</v>
      </c>
      <c r="C570" s="68" t="s">
        <v>928</v>
      </c>
      <c r="D570" s="68" t="s">
        <v>440</v>
      </c>
      <c r="E570" s="68" t="s">
        <v>440</v>
      </c>
      <c r="F570" s="68" t="s">
        <v>900</v>
      </c>
      <c r="G570" s="68" t="s">
        <v>1881</v>
      </c>
      <c r="H570" s="68" t="s">
        <v>929</v>
      </c>
      <c r="I570" s="68" t="s">
        <v>929</v>
      </c>
      <c r="J570" s="69">
        <v>0.63300000000000001</v>
      </c>
      <c r="K570" s="69"/>
      <c r="L570" s="68"/>
      <c r="M570" s="68" t="s">
        <v>895</v>
      </c>
      <c r="N570" s="68" t="s">
        <v>902</v>
      </c>
      <c r="O570" s="68" t="str">
        <f t="shared" si="8"/>
        <v>NF17_EMEA Quality Coach</v>
      </c>
      <c r="P570" s="68" t="s">
        <v>2177</v>
      </c>
      <c r="Q570" s="68" t="s">
        <v>1810</v>
      </c>
      <c r="R570" s="68">
        <v>14</v>
      </c>
      <c r="S570" s="78"/>
      <c r="T570" s="72" t="s">
        <v>1881</v>
      </c>
      <c r="U570" s="68">
        <v>13</v>
      </c>
      <c r="V570" s="72" t="s">
        <v>1958</v>
      </c>
      <c r="W570" s="72">
        <v>20.666666666666668</v>
      </c>
      <c r="X570" s="68"/>
      <c r="Y570" s="68" t="s">
        <v>1790</v>
      </c>
      <c r="Z570" s="68" t="s">
        <v>1790</v>
      </c>
      <c r="AA570" s="68" t="str">
        <f>IFERROR("Queue Got Merged in "&amp;VLOOKUP(A570,'CQNs Merged_Split'!$B$7:$D$103,3,FALSE),"")</f>
        <v/>
      </c>
      <c r="AB570" s="68" t="s">
        <v>2210</v>
      </c>
      <c r="AC570" s="68" t="e">
        <v>#N/A</v>
      </c>
    </row>
    <row r="571" spans="1:29" ht="15" customHeight="1" collapsed="1" x14ac:dyDescent="0.3">
      <c r="A571" s="68" t="s">
        <v>1123</v>
      </c>
      <c r="B571" s="68" t="s">
        <v>1124</v>
      </c>
      <c r="C571" s="68" t="s">
        <v>928</v>
      </c>
      <c r="D571" s="68" t="s">
        <v>440</v>
      </c>
      <c r="E571" s="68" t="s">
        <v>440</v>
      </c>
      <c r="F571" s="68" t="s">
        <v>900</v>
      </c>
      <c r="G571" s="68" t="e">
        <v>#N/A</v>
      </c>
      <c r="H571" s="68" t="s">
        <v>929</v>
      </c>
      <c r="I571" s="68" t="s">
        <v>929</v>
      </c>
      <c r="J571" s="69">
        <v>0.63300000000000001</v>
      </c>
      <c r="K571" s="69"/>
      <c r="L571" s="68"/>
      <c r="M571" s="68" t="s">
        <v>895</v>
      </c>
      <c r="N571" s="68" t="s">
        <v>957</v>
      </c>
      <c r="O571" s="68" t="str">
        <f t="shared" si="8"/>
        <v>NF18_HCS Manager</v>
      </c>
      <c r="P571" s="68" t="s">
        <v>2177</v>
      </c>
      <c r="Q571" s="68" t="s">
        <v>896</v>
      </c>
      <c r="R571" s="68">
        <v>14</v>
      </c>
      <c r="S571" s="78"/>
      <c r="T571" s="68" t="s">
        <v>1881</v>
      </c>
      <c r="U571" s="68"/>
      <c r="V571" s="72" t="s">
        <v>1958</v>
      </c>
      <c r="W571" s="72">
        <v>26</v>
      </c>
      <c r="X571" s="68"/>
      <c r="Y571" s="68" t="e">
        <v>#N/A</v>
      </c>
      <c r="Z571" s="68" t="e">
        <v>#N/A</v>
      </c>
      <c r="AA571" s="68"/>
      <c r="AB571" s="68" t="s">
        <v>2210</v>
      </c>
      <c r="AC571" s="68" t="e">
        <v>#N/A</v>
      </c>
    </row>
    <row r="572" spans="1:29" ht="15" customHeight="1" collapsed="1" x14ac:dyDescent="0.3">
      <c r="A572" s="68" t="s">
        <v>1125</v>
      </c>
      <c r="B572" s="68" t="s">
        <v>1126</v>
      </c>
      <c r="C572" s="68" t="s">
        <v>928</v>
      </c>
      <c r="D572" s="68" t="s">
        <v>440</v>
      </c>
      <c r="E572" s="68" t="s">
        <v>440</v>
      </c>
      <c r="F572" s="68" t="s">
        <v>900</v>
      </c>
      <c r="G572" s="68" t="e">
        <v>#N/A</v>
      </c>
      <c r="H572" s="68" t="s">
        <v>929</v>
      </c>
      <c r="I572" s="68" t="s">
        <v>929</v>
      </c>
      <c r="J572" s="69">
        <v>0.63300000000000001</v>
      </c>
      <c r="K572" s="69"/>
      <c r="L572" s="68"/>
      <c r="M572" s="68" t="s">
        <v>895</v>
      </c>
      <c r="N572" s="68" t="s">
        <v>1882</v>
      </c>
      <c r="O572" s="68" t="str">
        <f t="shared" si="8"/>
        <v>NF19_HCS Non-Frontline</v>
      </c>
      <c r="P572" s="68" t="s">
        <v>2177</v>
      </c>
      <c r="Q572" s="68" t="s">
        <v>972</v>
      </c>
      <c r="R572" s="68">
        <v>14</v>
      </c>
      <c r="S572" s="78"/>
      <c r="T572" s="68" t="s">
        <v>1881</v>
      </c>
      <c r="U572" s="68">
        <v>13</v>
      </c>
      <c r="V572" s="72" t="s">
        <v>1958</v>
      </c>
      <c r="W572" s="72">
        <v>8</v>
      </c>
      <c r="X572" s="68"/>
      <c r="Y572" s="68" t="e">
        <v>#N/A</v>
      </c>
      <c r="Z572" s="68" t="e">
        <v>#N/A</v>
      </c>
      <c r="AA572" s="68" t="str">
        <f>IFERROR("Queue Got Merged in "&amp;VLOOKUP(A572,'CQNs Merged_Split'!$B$7:$D$103,3,FALSE),"")</f>
        <v/>
      </c>
      <c r="AB572" s="68" t="s">
        <v>2210</v>
      </c>
      <c r="AC572" s="68" t="e">
        <v>#N/A</v>
      </c>
    </row>
    <row r="573" spans="1:29" ht="15" customHeight="1" collapsed="1" x14ac:dyDescent="0.3">
      <c r="A573" s="68" t="s">
        <v>1129</v>
      </c>
      <c r="B573" s="68" t="s">
        <v>1130</v>
      </c>
      <c r="C573" s="68" t="s">
        <v>928</v>
      </c>
      <c r="D573" s="68" t="s">
        <v>440</v>
      </c>
      <c r="E573" s="68" t="s">
        <v>440</v>
      </c>
      <c r="F573" s="68" t="s">
        <v>900</v>
      </c>
      <c r="G573" s="68" t="s">
        <v>1881</v>
      </c>
      <c r="H573" s="68" t="s">
        <v>929</v>
      </c>
      <c r="I573" s="68" t="s">
        <v>929</v>
      </c>
      <c r="J573" s="69">
        <v>0.63300000000000001</v>
      </c>
      <c r="K573" s="69"/>
      <c r="L573" s="68"/>
      <c r="M573" s="68" t="s">
        <v>895</v>
      </c>
      <c r="N573" s="68" t="s">
        <v>1114</v>
      </c>
      <c r="O573" s="68" t="str">
        <f t="shared" si="8"/>
        <v>NF21_HCS Technical Lead</v>
      </c>
      <c r="P573" s="68" t="s">
        <v>2177</v>
      </c>
      <c r="Q573" s="68" t="s">
        <v>1810</v>
      </c>
      <c r="R573" s="68">
        <v>14</v>
      </c>
      <c r="S573" s="78"/>
      <c r="T573" s="72" t="s">
        <v>1881</v>
      </c>
      <c r="U573" s="68">
        <v>13</v>
      </c>
      <c r="V573" s="72" t="s">
        <v>1958</v>
      </c>
      <c r="W573" s="72">
        <v>5</v>
      </c>
      <c r="X573" s="68"/>
      <c r="Y573" s="68" t="s">
        <v>1790</v>
      </c>
      <c r="Z573" s="68" t="s">
        <v>1790</v>
      </c>
      <c r="AA573" s="68" t="str">
        <f>IFERROR("Queue Got Merged in "&amp;VLOOKUP(A573,'CQNs Merged_Split'!$B$7:$D$103,3,FALSE),"")</f>
        <v/>
      </c>
      <c r="AB573" s="68" t="s">
        <v>2210</v>
      </c>
      <c r="AC573" s="68" t="e">
        <v>#N/A</v>
      </c>
    </row>
    <row r="574" spans="1:29" ht="15" customHeight="1" collapsed="1" x14ac:dyDescent="0.3">
      <c r="A574" s="68" t="s">
        <v>1131</v>
      </c>
      <c r="B574" s="68" t="s">
        <v>1132</v>
      </c>
      <c r="C574" s="68" t="s">
        <v>973</v>
      </c>
      <c r="D574" s="68" t="s">
        <v>440</v>
      </c>
      <c r="E574" s="68" t="s">
        <v>440</v>
      </c>
      <c r="F574" s="68" t="s">
        <v>900</v>
      </c>
      <c r="G574" s="68" t="s">
        <v>1881</v>
      </c>
      <c r="H574" s="68" t="s">
        <v>929</v>
      </c>
      <c r="I574" s="68" t="s">
        <v>929</v>
      </c>
      <c r="J574" s="69">
        <v>0.63300000000000001</v>
      </c>
      <c r="K574" s="69"/>
      <c r="L574" s="68"/>
      <c r="M574" s="68" t="s">
        <v>895</v>
      </c>
      <c r="N574" s="68" t="s">
        <v>1882</v>
      </c>
      <c r="O574" s="68" t="str">
        <f t="shared" si="8"/>
        <v>NF22_HES Manager</v>
      </c>
      <c r="P574" s="68" t="s">
        <v>2177</v>
      </c>
      <c r="Q574" s="68" t="s">
        <v>896</v>
      </c>
      <c r="R574" s="68">
        <v>14</v>
      </c>
      <c r="S574" s="78"/>
      <c r="T574" s="68" t="s">
        <v>1881</v>
      </c>
      <c r="U574" s="68">
        <v>13</v>
      </c>
      <c r="V574" s="72" t="s">
        <v>1958</v>
      </c>
      <c r="W574" s="72">
        <v>41</v>
      </c>
      <c r="X574" s="68"/>
      <c r="Y574" s="68" t="e">
        <v>#N/A</v>
      </c>
      <c r="Z574" s="68" t="e">
        <v>#N/A</v>
      </c>
      <c r="AA574" s="68" t="str">
        <f>IFERROR("Queue Got Merged in "&amp;VLOOKUP(A574,'CQNs Merged_Split'!$B$7:$D$103,3,FALSE),"")</f>
        <v/>
      </c>
      <c r="AB574" s="68" t="s">
        <v>2210</v>
      </c>
      <c r="AC574" s="68" t="e">
        <v>#N/A</v>
      </c>
    </row>
    <row r="575" spans="1:29" s="15" customFormat="1" ht="15" customHeight="1" collapsed="1" x14ac:dyDescent="0.3">
      <c r="A575" s="66" t="s">
        <v>1133</v>
      </c>
      <c r="B575" s="66" t="s">
        <v>1134</v>
      </c>
      <c r="C575" s="66" t="s">
        <v>973</v>
      </c>
      <c r="D575" s="66" t="s">
        <v>440</v>
      </c>
      <c r="E575" s="66" t="s">
        <v>440</v>
      </c>
      <c r="F575" s="66" t="s">
        <v>900</v>
      </c>
      <c r="G575" s="66" t="e">
        <v>#N/A</v>
      </c>
      <c r="H575" s="66" t="s">
        <v>912</v>
      </c>
      <c r="I575" s="66" t="s">
        <v>966</v>
      </c>
      <c r="J575" s="79">
        <v>0.61699999999999999</v>
      </c>
      <c r="K575" s="79"/>
      <c r="L575" s="66"/>
      <c r="M575" s="66" t="s">
        <v>895</v>
      </c>
      <c r="N575" s="66" t="s">
        <v>1882</v>
      </c>
      <c r="O575" s="66" t="str">
        <f t="shared" si="8"/>
        <v>NF23_HES Non-Frontline</v>
      </c>
      <c r="P575" s="66" t="s">
        <v>2177</v>
      </c>
      <c r="Q575" s="66" t="s">
        <v>972</v>
      </c>
      <c r="R575" s="66">
        <v>14</v>
      </c>
      <c r="S575" s="70"/>
      <c r="T575" s="66" t="s">
        <v>1881</v>
      </c>
      <c r="U575" s="66">
        <v>13</v>
      </c>
      <c r="V575" s="71" t="s">
        <v>1886</v>
      </c>
      <c r="W575" s="71">
        <v>0</v>
      </c>
      <c r="X575" s="66"/>
      <c r="Y575" s="66" t="e">
        <v>#N/A</v>
      </c>
      <c r="Z575" s="66" t="e">
        <v>#N/A</v>
      </c>
      <c r="AA575" s="66" t="str">
        <f>IFERROR("Queue Got Merged in "&amp;VLOOKUP(A575,'CQNs Merged_Split'!$B$7:$D$103,3,FALSE),"")</f>
        <v/>
      </c>
      <c r="AB575" s="66" t="s">
        <v>2210</v>
      </c>
      <c r="AC575" s="66" t="e">
        <v>#N/A</v>
      </c>
    </row>
    <row r="576" spans="1:29" ht="15" customHeight="1" collapsed="1" x14ac:dyDescent="0.3">
      <c r="A576" s="68" t="s">
        <v>1137</v>
      </c>
      <c r="B576" s="68" t="s">
        <v>1138</v>
      </c>
      <c r="C576" s="68" t="s">
        <v>973</v>
      </c>
      <c r="D576" s="68" t="s">
        <v>440</v>
      </c>
      <c r="E576" s="68" t="s">
        <v>440</v>
      </c>
      <c r="F576" s="68" t="s">
        <v>900</v>
      </c>
      <c r="G576" s="68" t="s">
        <v>1881</v>
      </c>
      <c r="H576" s="68" t="s">
        <v>929</v>
      </c>
      <c r="I576" s="68" t="s">
        <v>929</v>
      </c>
      <c r="J576" s="69">
        <v>0.63300000000000001</v>
      </c>
      <c r="K576" s="69"/>
      <c r="L576" s="68"/>
      <c r="M576" s="68" t="s">
        <v>895</v>
      </c>
      <c r="N576" s="68" t="s">
        <v>902</v>
      </c>
      <c r="O576" s="68" t="str">
        <f t="shared" si="8"/>
        <v>NF25_HES Quality Coach</v>
      </c>
      <c r="P576" s="68" t="s">
        <v>2177</v>
      </c>
      <c r="Q576" s="68" t="s">
        <v>972</v>
      </c>
      <c r="R576" s="68">
        <v>14</v>
      </c>
      <c r="S576" s="78"/>
      <c r="T576" s="72" t="s">
        <v>1881</v>
      </c>
      <c r="U576" s="68">
        <v>13</v>
      </c>
      <c r="V576" s="72" t="s">
        <v>1958</v>
      </c>
      <c r="W576" s="72">
        <v>16</v>
      </c>
      <c r="X576" s="68"/>
      <c r="Y576" s="68" t="s">
        <v>1790</v>
      </c>
      <c r="Z576" s="68" t="s">
        <v>1790</v>
      </c>
      <c r="AA576" s="68" t="str">
        <f>IFERROR("Queue Got Merged in "&amp;VLOOKUP(A576,'CQNs Merged_Split'!$B$7:$D$103,3,FALSE),"")</f>
        <v/>
      </c>
      <c r="AB576" s="68" t="s">
        <v>2210</v>
      </c>
      <c r="AC576" s="68" t="e">
        <v>#N/A</v>
      </c>
    </row>
    <row r="577" spans="1:29" ht="15" customHeight="1" collapsed="1" x14ac:dyDescent="0.3">
      <c r="A577" s="68" t="s">
        <v>1139</v>
      </c>
      <c r="B577" s="68" t="s">
        <v>1140</v>
      </c>
      <c r="C577" s="68" t="s">
        <v>973</v>
      </c>
      <c r="D577" s="68" t="s">
        <v>440</v>
      </c>
      <c r="E577" s="68" t="s">
        <v>440</v>
      </c>
      <c r="F577" s="68" t="s">
        <v>900</v>
      </c>
      <c r="G577" s="68" t="s">
        <v>1881</v>
      </c>
      <c r="H577" s="68" t="s">
        <v>893</v>
      </c>
      <c r="I577" s="68" t="s">
        <v>894</v>
      </c>
      <c r="J577" s="69">
        <v>0.64800000000000002</v>
      </c>
      <c r="K577" s="69"/>
      <c r="L577" s="68"/>
      <c r="M577" s="68" t="s">
        <v>895</v>
      </c>
      <c r="N577" s="68" t="s">
        <v>1114</v>
      </c>
      <c r="O577" s="68" t="str">
        <f t="shared" ref="O577:O612" si="9">A577&amp;"_"&amp;B577</f>
        <v>NF26_HES Technical Lead</v>
      </c>
      <c r="P577" s="68" t="s">
        <v>2177</v>
      </c>
      <c r="Q577" s="68" t="s">
        <v>972</v>
      </c>
      <c r="R577" s="68">
        <v>14</v>
      </c>
      <c r="S577" s="78"/>
      <c r="T577" s="72" t="s">
        <v>1881</v>
      </c>
      <c r="U577" s="68">
        <v>13</v>
      </c>
      <c r="V577" s="72" t="s">
        <v>1958</v>
      </c>
      <c r="W577" s="72">
        <v>6</v>
      </c>
      <c r="X577" s="68"/>
      <c r="Y577" s="68" t="s">
        <v>1790</v>
      </c>
      <c r="Z577" s="68" t="s">
        <v>1790</v>
      </c>
      <c r="AA577" s="68" t="str">
        <f>IFERROR("Queue Got Merged in "&amp;VLOOKUP(A577,'CQNs Merged_Split'!$B$7:$D$103,3,FALSE),"")</f>
        <v/>
      </c>
      <c r="AB577" s="68" t="s">
        <v>2210</v>
      </c>
      <c r="AC577" s="68" t="e">
        <v>#N/A</v>
      </c>
    </row>
    <row r="578" spans="1:29" ht="15" customHeight="1" x14ac:dyDescent="0.3">
      <c r="A578" s="68" t="s">
        <v>1141</v>
      </c>
      <c r="B578" s="68" t="s">
        <v>1142</v>
      </c>
      <c r="C578" s="68" t="s">
        <v>1044</v>
      </c>
      <c r="D578" s="68" t="s">
        <v>440</v>
      </c>
      <c r="E578" s="68" t="s">
        <v>440</v>
      </c>
      <c r="F578" s="68" t="s">
        <v>900</v>
      </c>
      <c r="G578" s="68" t="e">
        <v>#N/A</v>
      </c>
      <c r="H578" s="68" t="s">
        <v>935</v>
      </c>
      <c r="I578" s="68" t="s">
        <v>936</v>
      </c>
      <c r="J578" s="69">
        <v>0.57099999999999995</v>
      </c>
      <c r="K578" s="69"/>
      <c r="L578" s="68"/>
      <c r="M578" s="68" t="s">
        <v>895</v>
      </c>
      <c r="N578" s="68" t="s">
        <v>957</v>
      </c>
      <c r="O578" s="68" t="str">
        <f t="shared" si="9"/>
        <v>NF27_LATAM Manager</v>
      </c>
      <c r="P578" s="68" t="s">
        <v>2177</v>
      </c>
      <c r="Q578" s="68" t="s">
        <v>896</v>
      </c>
      <c r="R578" s="68">
        <v>14</v>
      </c>
      <c r="S578" s="78"/>
      <c r="T578" s="68" t="s">
        <v>1881</v>
      </c>
      <c r="U578" s="68"/>
      <c r="V578" s="72" t="s">
        <v>1958</v>
      </c>
      <c r="W578" s="72">
        <v>14</v>
      </c>
      <c r="X578" s="68"/>
      <c r="Y578" s="68" t="e">
        <v>#N/A</v>
      </c>
      <c r="Z578" s="68" t="e">
        <v>#N/A</v>
      </c>
      <c r="AA578" s="68"/>
      <c r="AB578" s="68" t="s">
        <v>2210</v>
      </c>
      <c r="AC578" s="68" t="e">
        <v>#N/A</v>
      </c>
    </row>
    <row r="579" spans="1:29" ht="15" customHeight="1" x14ac:dyDescent="0.3">
      <c r="A579" s="68" t="s">
        <v>1143</v>
      </c>
      <c r="B579" s="68" t="s">
        <v>1144</v>
      </c>
      <c r="C579" s="68" t="s">
        <v>973</v>
      </c>
      <c r="D579" s="68" t="s">
        <v>440</v>
      </c>
      <c r="E579" s="68" t="s">
        <v>440</v>
      </c>
      <c r="F579" s="68" t="s">
        <v>900</v>
      </c>
      <c r="G579" s="68" t="e">
        <v>#N/A</v>
      </c>
      <c r="H579" s="68" t="s">
        <v>935</v>
      </c>
      <c r="I579" s="68" t="s">
        <v>936</v>
      </c>
      <c r="J579" s="69">
        <v>0.57099999999999995</v>
      </c>
      <c r="K579" s="69"/>
      <c r="L579" s="68"/>
      <c r="M579" s="68" t="s">
        <v>895</v>
      </c>
      <c r="N579" s="68" t="s">
        <v>1882</v>
      </c>
      <c r="O579" s="68" t="str">
        <f t="shared" si="9"/>
        <v>NF28_LATAM Non-Frontline</v>
      </c>
      <c r="P579" s="68" t="s">
        <v>2177</v>
      </c>
      <c r="Q579" s="68" t="s">
        <v>896</v>
      </c>
      <c r="R579" s="68">
        <v>14</v>
      </c>
      <c r="S579" s="78"/>
      <c r="T579" s="68" t="s">
        <v>1881</v>
      </c>
      <c r="U579" s="68">
        <v>13</v>
      </c>
      <c r="V579" s="72" t="s">
        <v>1958</v>
      </c>
      <c r="W579" s="72">
        <v>2</v>
      </c>
      <c r="X579" s="68"/>
      <c r="Y579" s="68" t="e">
        <v>#N/A</v>
      </c>
      <c r="Z579" s="68" t="e">
        <v>#N/A</v>
      </c>
      <c r="AA579" s="68" t="str">
        <f>IFERROR("Queue Got Merged in "&amp;VLOOKUP(A579,'CQNs Merged_Split'!$B$7:$D$103,3,FALSE),"")</f>
        <v/>
      </c>
      <c r="AB579" s="68" t="s">
        <v>2210</v>
      </c>
      <c r="AC579" s="68" t="e">
        <v>#N/A</v>
      </c>
    </row>
    <row r="580" spans="1:29" ht="15" customHeight="1" x14ac:dyDescent="0.3">
      <c r="A580" s="68" t="s">
        <v>1147</v>
      </c>
      <c r="B580" s="68" t="s">
        <v>1148</v>
      </c>
      <c r="C580" s="68" t="s">
        <v>928</v>
      </c>
      <c r="D580" s="68" t="s">
        <v>440</v>
      </c>
      <c r="E580" s="68" t="s">
        <v>440</v>
      </c>
      <c r="F580" s="68" t="s">
        <v>900</v>
      </c>
      <c r="G580" s="68" t="s">
        <v>1881</v>
      </c>
      <c r="H580" s="68" t="s">
        <v>935</v>
      </c>
      <c r="I580" s="68" t="s">
        <v>936</v>
      </c>
      <c r="J580" s="69">
        <v>0.57099999999999995</v>
      </c>
      <c r="K580" s="69"/>
      <c r="L580" s="68"/>
      <c r="M580" s="68" t="s">
        <v>895</v>
      </c>
      <c r="N580" s="68" t="s">
        <v>902</v>
      </c>
      <c r="O580" s="68" t="str">
        <f t="shared" si="9"/>
        <v>NF30_LATAM Quality Coach</v>
      </c>
      <c r="P580" s="68" t="s">
        <v>2177</v>
      </c>
      <c r="Q580" s="68" t="s">
        <v>1885</v>
      </c>
      <c r="R580" s="68">
        <v>14</v>
      </c>
      <c r="S580" s="78"/>
      <c r="T580" s="72" t="s">
        <v>1881</v>
      </c>
      <c r="U580" s="68">
        <v>13</v>
      </c>
      <c r="V580" s="72" t="s">
        <v>1958</v>
      </c>
      <c r="W580" s="72">
        <v>12</v>
      </c>
      <c r="X580" s="68"/>
      <c r="Y580" s="68" t="s">
        <v>1790</v>
      </c>
      <c r="Z580" s="68" t="s">
        <v>1790</v>
      </c>
      <c r="AA580" s="68" t="str">
        <f>IFERROR("Queue Got Merged in "&amp;VLOOKUP(A580,'CQNs Merged_Split'!$B$7:$D$103,3,FALSE),"")</f>
        <v/>
      </c>
      <c r="AB580" s="68" t="s">
        <v>2210</v>
      </c>
      <c r="AC580" s="68" t="e">
        <v>#N/A</v>
      </c>
    </row>
    <row r="581" spans="1:29" s="15" customFormat="1" ht="15" customHeight="1" x14ac:dyDescent="0.3">
      <c r="A581" s="66" t="s">
        <v>1149</v>
      </c>
      <c r="B581" s="66" t="s">
        <v>1150</v>
      </c>
      <c r="C581" s="66" t="s">
        <v>914</v>
      </c>
      <c r="D581" s="66" t="s">
        <v>440</v>
      </c>
      <c r="E581" s="66" t="s">
        <v>440</v>
      </c>
      <c r="F581" s="66" t="s">
        <v>900</v>
      </c>
      <c r="G581" s="66" t="e">
        <v>#N/A</v>
      </c>
      <c r="H581" s="66" t="s">
        <v>929</v>
      </c>
      <c r="I581" s="66" t="s">
        <v>929</v>
      </c>
      <c r="J581" s="79">
        <v>0.63300000000000001</v>
      </c>
      <c r="K581" s="79"/>
      <c r="L581" s="66"/>
      <c r="M581" s="66" t="s">
        <v>895</v>
      </c>
      <c r="N581" s="66" t="s">
        <v>957</v>
      </c>
      <c r="O581" s="66" t="str">
        <f t="shared" si="9"/>
        <v>NF31_NAMER Manager</v>
      </c>
      <c r="P581" s="66" t="s">
        <v>2177</v>
      </c>
      <c r="Q581" s="66" t="s">
        <v>896</v>
      </c>
      <c r="R581" s="66">
        <v>14</v>
      </c>
      <c r="S581" s="70"/>
      <c r="T581" s="66" t="s">
        <v>1881</v>
      </c>
      <c r="U581" s="66"/>
      <c r="V581" s="71" t="s">
        <v>1886</v>
      </c>
      <c r="W581" s="71">
        <v>0</v>
      </c>
      <c r="X581" s="66"/>
      <c r="Y581" s="66" t="e">
        <v>#N/A</v>
      </c>
      <c r="Z581" s="66" t="e">
        <v>#N/A</v>
      </c>
      <c r="AA581" s="66"/>
      <c r="AB581" s="66" t="s">
        <v>2210</v>
      </c>
      <c r="AC581" s="66" t="e">
        <v>#N/A</v>
      </c>
    </row>
    <row r="582" spans="1:29" ht="15" customHeight="1" x14ac:dyDescent="0.3">
      <c r="A582" s="68" t="s">
        <v>1155</v>
      </c>
      <c r="B582" s="68" t="s">
        <v>1156</v>
      </c>
      <c r="C582" s="68" t="s">
        <v>928</v>
      </c>
      <c r="D582" s="68" t="s">
        <v>440</v>
      </c>
      <c r="E582" s="68" t="s">
        <v>440</v>
      </c>
      <c r="F582" s="68" t="s">
        <v>900</v>
      </c>
      <c r="G582" s="68" t="s">
        <v>1881</v>
      </c>
      <c r="H582" s="68" t="s">
        <v>929</v>
      </c>
      <c r="I582" s="68" t="s">
        <v>929</v>
      </c>
      <c r="J582" s="69">
        <v>0.63300000000000001</v>
      </c>
      <c r="K582" s="69"/>
      <c r="L582" s="68"/>
      <c r="M582" s="68" t="s">
        <v>895</v>
      </c>
      <c r="N582" s="68" t="s">
        <v>902</v>
      </c>
      <c r="O582" s="68" t="str">
        <f t="shared" si="9"/>
        <v>NF34_NAMER Quality Coach</v>
      </c>
      <c r="P582" s="68" t="s">
        <v>2177</v>
      </c>
      <c r="Q582" s="68" t="s">
        <v>1810</v>
      </c>
      <c r="R582" s="68">
        <v>14</v>
      </c>
      <c r="S582" s="78"/>
      <c r="T582" s="72" t="s">
        <v>1881</v>
      </c>
      <c r="U582" s="68">
        <v>13</v>
      </c>
      <c r="V582" s="72" t="s">
        <v>1958</v>
      </c>
      <c r="W582" s="72">
        <v>22</v>
      </c>
      <c r="X582" s="68"/>
      <c r="Y582" s="68" t="s">
        <v>1790</v>
      </c>
      <c r="Z582" s="68" t="s">
        <v>1790</v>
      </c>
      <c r="AA582" s="68" t="str">
        <f>IFERROR("Queue Got Merged in "&amp;VLOOKUP(A582,'CQNs Merged_Split'!$B$7:$D$103,3,FALSE),"")</f>
        <v/>
      </c>
      <c r="AB582" s="68" t="s">
        <v>2210</v>
      </c>
      <c r="AC582" s="68" t="e">
        <v>#N/A</v>
      </c>
    </row>
    <row r="583" spans="1:29" ht="15" customHeight="1" collapsed="1" x14ac:dyDescent="0.3">
      <c r="A583" s="68" t="s">
        <v>1162</v>
      </c>
      <c r="B583" s="68" t="s">
        <v>1163</v>
      </c>
      <c r="C583" s="68" t="s">
        <v>1854</v>
      </c>
      <c r="D583" s="68" t="s">
        <v>440</v>
      </c>
      <c r="E583" s="68" t="s">
        <v>440</v>
      </c>
      <c r="F583" s="68" t="s">
        <v>900</v>
      </c>
      <c r="G583" s="68" t="e">
        <v>#N/A</v>
      </c>
      <c r="H583" s="68" t="s">
        <v>929</v>
      </c>
      <c r="I583" s="68" t="s">
        <v>929</v>
      </c>
      <c r="J583" s="69">
        <v>0.63300000000000001</v>
      </c>
      <c r="K583" s="69"/>
      <c r="L583" s="68"/>
      <c r="M583" s="68" t="s">
        <v>895</v>
      </c>
      <c r="N583" s="68" t="s">
        <v>1882</v>
      </c>
      <c r="O583" s="68" t="str">
        <f t="shared" si="9"/>
        <v>NF37_Service Engineering Non-Frontline</v>
      </c>
      <c r="P583" s="68" t="s">
        <v>2177</v>
      </c>
      <c r="Q583" s="68" t="s">
        <v>896</v>
      </c>
      <c r="R583" s="68">
        <v>14</v>
      </c>
      <c r="S583" s="78"/>
      <c r="T583" s="68" t="s">
        <v>1881</v>
      </c>
      <c r="U583" s="68">
        <v>13</v>
      </c>
      <c r="V583" s="72" t="s">
        <v>1958</v>
      </c>
      <c r="W583" s="72">
        <v>112</v>
      </c>
      <c r="X583" s="68"/>
      <c r="Y583" s="68" t="e">
        <v>#N/A</v>
      </c>
      <c r="Z583" s="68" t="e">
        <v>#N/A</v>
      </c>
      <c r="AA583" s="68" t="str">
        <f>IFERROR("Queue Got Merged in "&amp;VLOOKUP(A583,'CQNs Merged_Split'!$B$7:$D$103,3,FALSE),"")</f>
        <v/>
      </c>
      <c r="AB583" s="68" t="s">
        <v>2210</v>
      </c>
      <c r="AC583" s="68" t="e">
        <v>#N/A</v>
      </c>
    </row>
    <row r="584" spans="1:29" ht="15" customHeight="1" collapsed="1" x14ac:dyDescent="0.3">
      <c r="A584" s="68" t="s">
        <v>1166</v>
      </c>
      <c r="B584" s="68" t="s">
        <v>1167</v>
      </c>
      <c r="C584" s="68" t="s">
        <v>892</v>
      </c>
      <c r="D584" s="68" t="s">
        <v>440</v>
      </c>
      <c r="E584" s="68" t="s">
        <v>440</v>
      </c>
      <c r="F584" s="68" t="s">
        <v>900</v>
      </c>
      <c r="G584" s="68" t="e">
        <v>#N/A</v>
      </c>
      <c r="H584" s="68" t="s">
        <v>929</v>
      </c>
      <c r="I584" s="68" t="s">
        <v>929</v>
      </c>
      <c r="J584" s="69">
        <v>0.63300000000000001</v>
      </c>
      <c r="K584" s="69"/>
      <c r="L584" s="68"/>
      <c r="M584" s="68" t="s">
        <v>895</v>
      </c>
      <c r="N584" s="68" t="s">
        <v>957</v>
      </c>
      <c r="O584" s="68" t="str">
        <f t="shared" si="9"/>
        <v>NF41_SSO Manager</v>
      </c>
      <c r="P584" s="68" t="s">
        <v>2177</v>
      </c>
      <c r="Q584" s="68" t="s">
        <v>896</v>
      </c>
      <c r="R584" s="68">
        <v>14</v>
      </c>
      <c r="S584" s="78"/>
      <c r="T584" s="68" t="s">
        <v>1881</v>
      </c>
      <c r="U584" s="68"/>
      <c r="V584" s="72" t="s">
        <v>1958</v>
      </c>
      <c r="W584" s="72">
        <v>9</v>
      </c>
      <c r="X584" s="68"/>
      <c r="Y584" s="68" t="e">
        <v>#N/A</v>
      </c>
      <c r="Z584" s="68" t="e">
        <v>#N/A</v>
      </c>
      <c r="AA584" s="68"/>
      <c r="AB584" s="68" t="s">
        <v>2210</v>
      </c>
      <c r="AC584" s="68" t="e">
        <v>#N/A</v>
      </c>
    </row>
    <row r="585" spans="1:29" ht="15" customHeight="1" collapsed="1" x14ac:dyDescent="0.3">
      <c r="A585" s="68" t="s">
        <v>1168</v>
      </c>
      <c r="B585" s="68" t="s">
        <v>1169</v>
      </c>
      <c r="C585" s="68" t="s">
        <v>1935</v>
      </c>
      <c r="D585" s="68" t="s">
        <v>440</v>
      </c>
      <c r="E585" s="68" t="s">
        <v>440</v>
      </c>
      <c r="F585" s="68" t="s">
        <v>900</v>
      </c>
      <c r="G585" s="68" t="e">
        <v>#N/A</v>
      </c>
      <c r="H585" s="68" t="s">
        <v>929</v>
      </c>
      <c r="I585" s="68" t="s">
        <v>929</v>
      </c>
      <c r="J585" s="69">
        <v>0.63300000000000001</v>
      </c>
      <c r="K585" s="69"/>
      <c r="L585" s="68"/>
      <c r="M585" s="68" t="s">
        <v>895</v>
      </c>
      <c r="N585" s="68" t="s">
        <v>1882</v>
      </c>
      <c r="O585" s="68" t="str">
        <f t="shared" si="9"/>
        <v>NF42_SSO Non-Frontline</v>
      </c>
      <c r="P585" s="68" t="s">
        <v>2177</v>
      </c>
      <c r="Q585" s="68" t="s">
        <v>972</v>
      </c>
      <c r="R585" s="68">
        <v>14</v>
      </c>
      <c r="S585" s="78"/>
      <c r="T585" s="68" t="s">
        <v>1881</v>
      </c>
      <c r="U585" s="68">
        <v>13</v>
      </c>
      <c r="V585" s="72" t="s">
        <v>1958</v>
      </c>
      <c r="W585" s="72">
        <v>252</v>
      </c>
      <c r="X585" s="68"/>
      <c r="Y585" s="68" t="e">
        <v>#N/A</v>
      </c>
      <c r="Z585" s="68" t="e">
        <v>#N/A</v>
      </c>
      <c r="AA585" s="68" t="str">
        <f>IFERROR("Queue Got Merged in "&amp;VLOOKUP(A585,'CQNs Merged_Split'!$B$7:$D$103,3,FALSE),"")</f>
        <v/>
      </c>
      <c r="AB585" s="68" t="s">
        <v>2210</v>
      </c>
      <c r="AC585" s="68" t="e">
        <v>#N/A</v>
      </c>
    </row>
    <row r="586" spans="1:29" ht="15" customHeight="1" x14ac:dyDescent="0.3">
      <c r="A586" s="68" t="s">
        <v>1170</v>
      </c>
      <c r="B586" s="68" t="s">
        <v>1171</v>
      </c>
      <c r="C586" s="68" t="s">
        <v>1845</v>
      </c>
      <c r="D586" s="68" t="s">
        <v>440</v>
      </c>
      <c r="E586" s="68" t="s">
        <v>440</v>
      </c>
      <c r="F586" s="73" t="s">
        <v>900</v>
      </c>
      <c r="G586" s="68" t="s">
        <v>1881</v>
      </c>
      <c r="H586" s="68" t="s">
        <v>929</v>
      </c>
      <c r="I586" s="68" t="s">
        <v>929</v>
      </c>
      <c r="J586" s="69">
        <v>0.63300000000000001</v>
      </c>
      <c r="K586" s="69"/>
      <c r="L586" s="68"/>
      <c r="M586" s="68" t="s">
        <v>895</v>
      </c>
      <c r="N586" s="68" t="s">
        <v>1882</v>
      </c>
      <c r="O586" s="68" t="str">
        <f t="shared" si="9"/>
        <v>NF43_SSO NR-FLS</v>
      </c>
      <c r="P586" s="68" t="s">
        <v>2177</v>
      </c>
      <c r="Q586" s="68" t="s">
        <v>972</v>
      </c>
      <c r="R586" s="68">
        <v>14</v>
      </c>
      <c r="S586" s="78"/>
      <c r="T586" s="72" t="s">
        <v>1881</v>
      </c>
      <c r="U586" s="68">
        <v>13</v>
      </c>
      <c r="V586" s="72" t="s">
        <v>1958</v>
      </c>
      <c r="W586" s="72">
        <v>49</v>
      </c>
      <c r="X586" s="68"/>
      <c r="Y586" s="68" t="s">
        <v>1790</v>
      </c>
      <c r="Z586" s="68" t="s">
        <v>1790</v>
      </c>
      <c r="AA586" s="68"/>
      <c r="AB586" s="68" t="s">
        <v>2210</v>
      </c>
      <c r="AC586" s="68" t="e">
        <v>#N/A</v>
      </c>
    </row>
    <row r="587" spans="1:29" ht="15" customHeight="1" collapsed="1" x14ac:dyDescent="0.3">
      <c r="A587" s="68" t="s">
        <v>1176</v>
      </c>
      <c r="B587" s="68" t="s">
        <v>2198</v>
      </c>
      <c r="C587" s="68" t="s">
        <v>892</v>
      </c>
      <c r="D587" s="68" t="s">
        <v>440</v>
      </c>
      <c r="E587" s="68" t="s">
        <v>440</v>
      </c>
      <c r="F587" s="68" t="s">
        <v>900</v>
      </c>
      <c r="G587" s="68" t="e">
        <v>#N/A</v>
      </c>
      <c r="H587" s="68" t="s">
        <v>929</v>
      </c>
      <c r="I587" s="68" t="s">
        <v>929</v>
      </c>
      <c r="J587" s="69">
        <v>0.63300000000000001</v>
      </c>
      <c r="K587" s="69"/>
      <c r="L587" s="68"/>
      <c r="M587" s="68" t="s">
        <v>895</v>
      </c>
      <c r="N587" s="68"/>
      <c r="O587" s="68" t="str">
        <f t="shared" si="9"/>
        <v>NF46_MOONEY ELT</v>
      </c>
      <c r="P587" s="68" t="s">
        <v>2177</v>
      </c>
      <c r="Q587" s="68" t="s">
        <v>896</v>
      </c>
      <c r="R587" s="68">
        <v>14</v>
      </c>
      <c r="S587" s="78"/>
      <c r="T587" s="68" t="s">
        <v>1881</v>
      </c>
      <c r="U587" s="68"/>
      <c r="V587" s="72" t="s">
        <v>1958</v>
      </c>
      <c r="W587" s="72">
        <v>8</v>
      </c>
      <c r="X587" s="68"/>
      <c r="Y587" s="68" t="e">
        <v>#N/A</v>
      </c>
      <c r="Z587" s="68" t="e">
        <v>#N/A</v>
      </c>
      <c r="AA587" s="68"/>
      <c r="AB587" s="68" t="s">
        <v>2210</v>
      </c>
      <c r="AC587" s="68" t="e">
        <v>#N/A</v>
      </c>
    </row>
    <row r="588" spans="1:29" ht="15" customHeight="1" collapsed="1" x14ac:dyDescent="0.3">
      <c r="A588" s="68" t="s">
        <v>1191</v>
      </c>
      <c r="B588" s="68" t="s">
        <v>1192</v>
      </c>
      <c r="C588" s="68" t="s">
        <v>928</v>
      </c>
      <c r="D588" s="68" t="s">
        <v>440</v>
      </c>
      <c r="E588" s="68" t="s">
        <v>440</v>
      </c>
      <c r="F588" s="68" t="s">
        <v>900</v>
      </c>
      <c r="G588" s="68" t="s">
        <v>1881</v>
      </c>
      <c r="H588" s="68" t="s">
        <v>912</v>
      </c>
      <c r="I588" s="68" t="s">
        <v>966</v>
      </c>
      <c r="J588" s="69">
        <v>0.61699999999999999</v>
      </c>
      <c r="K588" s="69"/>
      <c r="L588" s="68"/>
      <c r="M588" s="68" t="s">
        <v>895</v>
      </c>
      <c r="N588" s="68" t="s">
        <v>902</v>
      </c>
      <c r="O588" s="68" t="str">
        <f t="shared" si="9"/>
        <v>NF56_HCS Quality Coach</v>
      </c>
      <c r="P588" s="68" t="s">
        <v>2177</v>
      </c>
      <c r="Q588" s="68" t="s">
        <v>1810</v>
      </c>
      <c r="R588" s="68">
        <v>14</v>
      </c>
      <c r="S588" s="78"/>
      <c r="T588" s="72" t="s">
        <v>1881</v>
      </c>
      <c r="U588" s="68">
        <v>13</v>
      </c>
      <c r="V588" s="72" t="s">
        <v>1958</v>
      </c>
      <c r="W588" s="72">
        <v>11</v>
      </c>
      <c r="X588" s="68"/>
      <c r="Y588" s="68" t="s">
        <v>1790</v>
      </c>
      <c r="Z588" s="68" t="s">
        <v>1790</v>
      </c>
      <c r="AA588" s="68" t="str">
        <f>IFERROR("Queue Got Merged in "&amp;VLOOKUP(A588,'CQNs Merged_Split'!$B$7:$D$103,3,FALSE),"")</f>
        <v/>
      </c>
      <c r="AB588" s="68" t="s">
        <v>2210</v>
      </c>
      <c r="AC588" s="68" t="e">
        <v>#N/A</v>
      </c>
    </row>
    <row r="589" spans="1:29" ht="15" customHeight="1" collapsed="1" x14ac:dyDescent="0.3">
      <c r="A589" s="68" t="s">
        <v>1955</v>
      </c>
      <c r="B589" s="68" t="s">
        <v>1956</v>
      </c>
      <c r="C589" s="68" t="s">
        <v>1957</v>
      </c>
      <c r="D589" s="68" t="s">
        <v>439</v>
      </c>
      <c r="E589" s="68" t="s">
        <v>439</v>
      </c>
      <c r="F589" s="68" t="s">
        <v>900</v>
      </c>
      <c r="G589" s="68" t="e">
        <v>#N/A</v>
      </c>
      <c r="H589" s="68" t="s">
        <v>929</v>
      </c>
      <c r="I589" s="68" t="s">
        <v>929</v>
      </c>
      <c r="J589" s="69"/>
      <c r="K589" s="69"/>
      <c r="L589" s="68"/>
      <c r="M589" s="68"/>
      <c r="N589" s="68" t="s">
        <v>1882</v>
      </c>
      <c r="O589" s="68" t="str">
        <f t="shared" si="9"/>
        <v>NF58_Global HCS Content Creators</v>
      </c>
      <c r="P589" s="68" t="s">
        <v>2177</v>
      </c>
      <c r="Q589" s="68" t="s">
        <v>1810</v>
      </c>
      <c r="R589" s="68"/>
      <c r="S589" s="78"/>
      <c r="T589" s="68" t="s">
        <v>1881</v>
      </c>
      <c r="U589" s="68"/>
      <c r="V589" s="72" t="s">
        <v>1958</v>
      </c>
      <c r="W589" s="72">
        <v>5</v>
      </c>
      <c r="X589" s="68"/>
      <c r="Y589" s="68" t="e">
        <v>#N/A</v>
      </c>
      <c r="Z589" s="68" t="e">
        <v>#N/A</v>
      </c>
      <c r="AA589" s="68" t="str">
        <f>IFERROR("Queue Got Merged in "&amp;VLOOKUP(A589,'CQNs Merged_Split'!$B$7:$D$103,3,FALSE),"")</f>
        <v/>
      </c>
      <c r="AB589" s="68" t="s">
        <v>2208</v>
      </c>
      <c r="AC589" s="68" t="e">
        <v>#N/A</v>
      </c>
    </row>
    <row r="590" spans="1:29" ht="15" customHeight="1" collapsed="1" x14ac:dyDescent="0.3">
      <c r="A590" s="68" t="s">
        <v>1893</v>
      </c>
      <c r="B590" s="68" t="s">
        <v>1926</v>
      </c>
      <c r="C590" s="68" t="s">
        <v>928</v>
      </c>
      <c r="D590" s="68" t="s">
        <v>976</v>
      </c>
      <c r="E590" s="68" t="s">
        <v>960</v>
      </c>
      <c r="F590" s="68" t="s">
        <v>8</v>
      </c>
      <c r="G590" s="68" t="s">
        <v>2250</v>
      </c>
      <c r="H590" s="68" t="s">
        <v>929</v>
      </c>
      <c r="I590" s="68" t="s">
        <v>929</v>
      </c>
      <c r="J590" s="69">
        <v>0.63300000000000001</v>
      </c>
      <c r="K590" s="69"/>
      <c r="L590" s="68"/>
      <c r="M590" s="68" t="s">
        <v>895</v>
      </c>
      <c r="N590" s="68" t="s">
        <v>1882</v>
      </c>
      <c r="O590" s="68" t="str">
        <f t="shared" si="9"/>
        <v xml:space="preserve">PE01_Global PowerEdge DSE </v>
      </c>
      <c r="P590" s="68" t="s">
        <v>2193</v>
      </c>
      <c r="Q590" s="68" t="s">
        <v>1810</v>
      </c>
      <c r="R590" s="68">
        <v>14</v>
      </c>
      <c r="S590" s="78"/>
      <c r="T590" s="68" t="s">
        <v>905</v>
      </c>
      <c r="U590" s="68">
        <v>13</v>
      </c>
      <c r="V590" s="72" t="s">
        <v>1958</v>
      </c>
      <c r="W590" s="72">
        <v>22</v>
      </c>
      <c r="X590" s="68"/>
      <c r="Y590" s="68" t="e">
        <v>#N/A</v>
      </c>
      <c r="Z590" s="68" t="e">
        <v>#N/A</v>
      </c>
      <c r="AA590" s="68"/>
      <c r="AB590" s="68" t="s">
        <v>2208</v>
      </c>
      <c r="AC590" s="68" t="s">
        <v>2234</v>
      </c>
    </row>
    <row r="591" spans="1:29" ht="15" customHeight="1" collapsed="1" x14ac:dyDescent="0.3">
      <c r="A591" s="68" t="s">
        <v>581</v>
      </c>
      <c r="B591" s="68" t="s">
        <v>582</v>
      </c>
      <c r="C591" s="68" t="s">
        <v>928</v>
      </c>
      <c r="D591" s="68" t="s">
        <v>439</v>
      </c>
      <c r="E591" s="68" t="s">
        <v>439</v>
      </c>
      <c r="F591" s="68" t="s">
        <v>900</v>
      </c>
      <c r="G591" s="68" t="s">
        <v>2250</v>
      </c>
      <c r="H591" s="68" t="s">
        <v>893</v>
      </c>
      <c r="I591" s="68" t="s">
        <v>894</v>
      </c>
      <c r="J591" s="69">
        <v>0.64800000000000002</v>
      </c>
      <c r="K591" s="69">
        <v>2.0441445869264104E-2</v>
      </c>
      <c r="L591" s="68"/>
      <c r="M591" s="68" t="s">
        <v>895</v>
      </c>
      <c r="N591" s="68" t="s">
        <v>1882</v>
      </c>
      <c r="O591" s="68" t="str">
        <f t="shared" si="9"/>
        <v>PF01_PS One Field Consultant</v>
      </c>
      <c r="P591" s="68" t="s">
        <v>2177</v>
      </c>
      <c r="Q591" s="68" t="s">
        <v>1810</v>
      </c>
      <c r="R591" s="68">
        <v>6</v>
      </c>
      <c r="S591" s="78"/>
      <c r="T591" s="68" t="s">
        <v>1881</v>
      </c>
      <c r="U591" s="68">
        <v>13</v>
      </c>
      <c r="V591" s="72" t="s">
        <v>1958</v>
      </c>
      <c r="W591" s="72">
        <v>5</v>
      </c>
      <c r="X591" s="68"/>
      <c r="Y591" s="68" t="s">
        <v>1790</v>
      </c>
      <c r="Z591" s="68" t="s">
        <v>1790</v>
      </c>
      <c r="AA591" s="68"/>
      <c r="AB591" s="68" t="s">
        <v>2208</v>
      </c>
      <c r="AC591" s="68" t="e">
        <v>#N/A</v>
      </c>
    </row>
    <row r="592" spans="1:29" s="15" customFormat="1" ht="15" customHeight="1" collapsed="1" x14ac:dyDescent="0.3">
      <c r="A592" s="66" t="s">
        <v>1201</v>
      </c>
      <c r="B592" s="66" t="s">
        <v>1202</v>
      </c>
      <c r="C592" s="66" t="s">
        <v>928</v>
      </c>
      <c r="D592" s="66" t="s">
        <v>439</v>
      </c>
      <c r="E592" s="66" t="s">
        <v>439</v>
      </c>
      <c r="F592" s="66" t="s">
        <v>900</v>
      </c>
      <c r="G592" s="66" t="e">
        <v>#N/A</v>
      </c>
      <c r="H592" s="66" t="s">
        <v>912</v>
      </c>
      <c r="I592" s="66" t="s">
        <v>912</v>
      </c>
      <c r="J592" s="79"/>
      <c r="K592" s="79"/>
      <c r="L592" s="66"/>
      <c r="M592" s="66"/>
      <c r="N592" s="66" t="s">
        <v>902</v>
      </c>
      <c r="O592" s="66" t="str">
        <f t="shared" si="9"/>
        <v>QCE1_EMEA Quality Coach Compute</v>
      </c>
      <c r="P592" s="66" t="s">
        <v>2177</v>
      </c>
      <c r="Q592" s="81" t="s">
        <v>1810</v>
      </c>
      <c r="R592" s="66">
        <v>0</v>
      </c>
      <c r="S592" s="70"/>
      <c r="T592" s="66" t="s">
        <v>1881</v>
      </c>
      <c r="U592" s="66">
        <v>13</v>
      </c>
      <c r="V592" s="71" t="s">
        <v>1886</v>
      </c>
      <c r="W592" s="71">
        <v>0</v>
      </c>
      <c r="X592" s="66"/>
      <c r="Y592" s="66" t="s">
        <v>1790</v>
      </c>
      <c r="Z592" s="66" t="s">
        <v>1790</v>
      </c>
      <c r="AA592" s="66" t="str">
        <f>IFERROR("Queue Got Merged in "&amp;VLOOKUP(A592,'CQNs Merged_Split'!$B$7:$D$103,3,FALSE),"")</f>
        <v/>
      </c>
      <c r="AB592" s="66" t="s">
        <v>2210</v>
      </c>
      <c r="AC592" s="66" t="e">
        <v>#N/A</v>
      </c>
    </row>
    <row r="593" spans="1:29" ht="15" customHeight="1" collapsed="1" x14ac:dyDescent="0.3">
      <c r="A593" s="68" t="s">
        <v>1206</v>
      </c>
      <c r="B593" s="68" t="s">
        <v>1207</v>
      </c>
      <c r="C593" s="68" t="s">
        <v>965</v>
      </c>
      <c r="D593" s="68" t="s">
        <v>436</v>
      </c>
      <c r="E593" s="68" t="s">
        <v>439</v>
      </c>
      <c r="F593" s="68" t="s">
        <v>900</v>
      </c>
      <c r="G593" s="68" t="e">
        <v>#N/A</v>
      </c>
      <c r="H593" s="68" t="s">
        <v>929</v>
      </c>
      <c r="I593" s="68" t="s">
        <v>929</v>
      </c>
      <c r="J593" s="69">
        <v>0.63300000000000001</v>
      </c>
      <c r="K593" s="69"/>
      <c r="L593" s="68"/>
      <c r="M593" s="68" t="s">
        <v>895</v>
      </c>
      <c r="N593" s="68" t="s">
        <v>957</v>
      </c>
      <c r="O593" s="68" t="str">
        <f t="shared" si="9"/>
        <v>RP01_RPS Manager</v>
      </c>
      <c r="P593" s="68" t="s">
        <v>2177</v>
      </c>
      <c r="Q593" s="68" t="s">
        <v>972</v>
      </c>
      <c r="R593" s="68">
        <v>14</v>
      </c>
      <c r="S593" s="78"/>
      <c r="T593" s="68" t="s">
        <v>1881</v>
      </c>
      <c r="U593" s="68"/>
      <c r="V593" s="72" t="s">
        <v>1958</v>
      </c>
      <c r="W593" s="72">
        <v>12</v>
      </c>
      <c r="X593" s="68"/>
      <c r="Y593" s="68" t="e">
        <v>#N/A</v>
      </c>
      <c r="Z593" s="68" t="e">
        <v>#N/A</v>
      </c>
      <c r="AA593" s="68"/>
      <c r="AB593" s="68" t="s">
        <v>2208</v>
      </c>
      <c r="AC593" s="68" t="e">
        <v>#N/A</v>
      </c>
    </row>
    <row r="594" spans="1:29" ht="15" customHeight="1" collapsed="1" x14ac:dyDescent="0.3">
      <c r="A594" s="68" t="s">
        <v>1793</v>
      </c>
      <c r="B594" s="68" t="s">
        <v>1794</v>
      </c>
      <c r="C594" s="68" t="s">
        <v>965</v>
      </c>
      <c r="D594" s="68" t="s">
        <v>1809</v>
      </c>
      <c r="E594" s="68" t="s">
        <v>1809</v>
      </c>
      <c r="F594" s="68" t="s">
        <v>900</v>
      </c>
      <c r="G594" s="68" t="s">
        <v>2250</v>
      </c>
      <c r="H594" s="68" t="s">
        <v>929</v>
      </c>
      <c r="I594" s="68"/>
      <c r="J594" s="69">
        <v>0.63300000000000001</v>
      </c>
      <c r="K594" s="69"/>
      <c r="L594" s="68"/>
      <c r="M594" s="68"/>
      <c r="N594" s="68" t="s">
        <v>916</v>
      </c>
      <c r="O594" s="68" t="str">
        <f t="shared" si="9"/>
        <v>VCF1_VCF Delivery Engineer</v>
      </c>
      <c r="P594" s="68" t="s">
        <v>930</v>
      </c>
      <c r="Q594" s="68" t="s">
        <v>1883</v>
      </c>
      <c r="R594" s="68">
        <v>0</v>
      </c>
      <c r="S594" s="78"/>
      <c r="T594" s="68" t="s">
        <v>1881</v>
      </c>
      <c r="U594" s="68">
        <v>13</v>
      </c>
      <c r="V594" s="72" t="s">
        <v>1958</v>
      </c>
      <c r="W594" s="72">
        <v>50</v>
      </c>
      <c r="X594" s="68"/>
      <c r="Y594" s="68" t="s">
        <v>1790</v>
      </c>
      <c r="Z594" s="68" t="s">
        <v>1790</v>
      </c>
      <c r="AA594" s="68" t="str">
        <f>IFERROR("Queue Got Merged in "&amp;VLOOKUP(A594,'CQNs Merged_Split'!$B$7:$D$103,3,FALSE),"")</f>
        <v/>
      </c>
      <c r="AB594" s="68" t="s">
        <v>2210</v>
      </c>
      <c r="AC594" s="68" t="e">
        <v>#N/A</v>
      </c>
    </row>
    <row r="595" spans="1:29" ht="15" customHeight="1" collapsed="1" x14ac:dyDescent="0.3">
      <c r="A595" s="68" t="s">
        <v>1894</v>
      </c>
      <c r="B595" s="68" t="s">
        <v>1895</v>
      </c>
      <c r="C595" s="68" t="s">
        <v>965</v>
      </c>
      <c r="D595" s="68" t="s">
        <v>1809</v>
      </c>
      <c r="E595" s="68" t="s">
        <v>1809</v>
      </c>
      <c r="F595" s="68" t="s">
        <v>900</v>
      </c>
      <c r="G595" s="68" t="e">
        <v>#N/A</v>
      </c>
      <c r="H595" s="68" t="s">
        <v>929</v>
      </c>
      <c r="I595" s="68"/>
      <c r="J595" s="69">
        <v>0.63300000000000001</v>
      </c>
      <c r="K595" s="69"/>
      <c r="L595" s="68"/>
      <c r="M595" s="68"/>
      <c r="N595" s="68" t="s">
        <v>1882</v>
      </c>
      <c r="O595" s="68" t="str">
        <f t="shared" si="9"/>
        <v>VCF2_VCF Upgrade Coordinator</v>
      </c>
      <c r="P595" s="68" t="s">
        <v>930</v>
      </c>
      <c r="Q595" s="68" t="s">
        <v>1883</v>
      </c>
      <c r="R595" s="68">
        <v>0</v>
      </c>
      <c r="S595" s="78"/>
      <c r="T595" s="68" t="s">
        <v>1881</v>
      </c>
      <c r="U595" s="68">
        <v>13</v>
      </c>
      <c r="V595" s="72" t="s">
        <v>1958</v>
      </c>
      <c r="W595" s="72">
        <v>7</v>
      </c>
      <c r="X595" s="68"/>
      <c r="Y595" s="68" t="e">
        <v>#N/A</v>
      </c>
      <c r="Z595" s="68" t="e">
        <v>#N/A</v>
      </c>
      <c r="AA595" s="68" t="str">
        <f>IFERROR("Queue Got Merged in "&amp;VLOOKUP(A595,'CQNs Merged_Split'!$B$7:$D$103,3,FALSE),"")</f>
        <v/>
      </c>
      <c r="AB595" s="68" t="s">
        <v>2210</v>
      </c>
      <c r="AC595" s="68" t="e">
        <v>#N/A</v>
      </c>
    </row>
    <row r="596" spans="1:29" ht="15" customHeight="1" collapsed="1" x14ac:dyDescent="0.3">
      <c r="A596" s="68" t="s">
        <v>787</v>
      </c>
      <c r="B596" s="68" t="s">
        <v>788</v>
      </c>
      <c r="C596" s="68" t="s">
        <v>1845</v>
      </c>
      <c r="D596" s="68"/>
      <c r="E596" s="68" t="s">
        <v>147</v>
      </c>
      <c r="F596" s="68" t="s">
        <v>900</v>
      </c>
      <c r="G596" s="68" t="s">
        <v>1881</v>
      </c>
      <c r="H596" s="68" t="s">
        <v>903</v>
      </c>
      <c r="I596" s="68" t="s">
        <v>906</v>
      </c>
      <c r="J596" s="69">
        <v>0.629</v>
      </c>
      <c r="K596" s="69"/>
      <c r="L596" s="68"/>
      <c r="M596" s="68" t="e">
        <v>#N/A</v>
      </c>
      <c r="N596" s="68"/>
      <c r="O596" s="68" t="str">
        <f t="shared" si="9"/>
        <v>WP01_GLOBAL HES Wipro</v>
      </c>
      <c r="P596" s="68" t="s">
        <v>2254</v>
      </c>
      <c r="Q596" s="68" t="s">
        <v>896</v>
      </c>
      <c r="R596" s="68"/>
      <c r="S596" s="78"/>
      <c r="T596" s="68" t="s">
        <v>1881</v>
      </c>
      <c r="U596" s="68">
        <v>13</v>
      </c>
      <c r="V596" s="72" t="s">
        <v>1958</v>
      </c>
      <c r="W596" s="72">
        <v>666.66666666666663</v>
      </c>
      <c r="X596" s="68"/>
      <c r="Y596" s="68" t="e">
        <v>#N/A</v>
      </c>
      <c r="Z596" s="68" t="e">
        <v>#N/A</v>
      </c>
      <c r="AA596" s="68"/>
      <c r="AB596" s="68" t="s">
        <v>2208</v>
      </c>
      <c r="AC596" s="68" t="e">
        <v>#N/A</v>
      </c>
    </row>
    <row r="597" spans="1:29" ht="15" customHeight="1" collapsed="1" x14ac:dyDescent="0.3">
      <c r="A597" s="68" t="s">
        <v>459</v>
      </c>
      <c r="B597" s="68" t="s">
        <v>1899</v>
      </c>
      <c r="C597" s="68" t="s">
        <v>1843</v>
      </c>
      <c r="D597" s="68" t="s">
        <v>439</v>
      </c>
      <c r="E597" s="68" t="s">
        <v>439</v>
      </c>
      <c r="F597" s="68" t="s">
        <v>8</v>
      </c>
      <c r="G597" s="68" t="s">
        <v>1881</v>
      </c>
      <c r="H597" s="68" t="s">
        <v>903</v>
      </c>
      <c r="I597" s="68" t="s">
        <v>909</v>
      </c>
      <c r="J597" s="69">
        <v>0.629</v>
      </c>
      <c r="K597" s="69">
        <v>2.278539874447803E-2</v>
      </c>
      <c r="L597" s="68"/>
      <c r="M597" s="68" t="s">
        <v>895</v>
      </c>
      <c r="N597" s="68"/>
      <c r="O597" s="68" t="str">
        <f t="shared" si="9"/>
        <v>CC04_CCC Enterprise CMG Mandarin Voice BW</v>
      </c>
      <c r="P597" s="68" t="s">
        <v>2254</v>
      </c>
      <c r="Q597" s="68" t="s">
        <v>1810</v>
      </c>
      <c r="R597" s="68">
        <v>14</v>
      </c>
      <c r="S597" s="78"/>
      <c r="T597" s="68" t="s">
        <v>2255</v>
      </c>
      <c r="U597" s="68"/>
      <c r="V597" s="72" t="s">
        <v>1958</v>
      </c>
      <c r="W597" s="72">
        <v>1</v>
      </c>
      <c r="X597" s="68"/>
      <c r="Y597" s="68"/>
      <c r="Z597" s="68"/>
      <c r="AA597" s="68"/>
      <c r="AB597" s="68"/>
      <c r="AC597" s="68"/>
    </row>
    <row r="598" spans="1:29" ht="15" customHeight="1" collapsed="1" x14ac:dyDescent="0.3">
      <c r="A598" s="68" t="s">
        <v>491</v>
      </c>
      <c r="B598" s="68" t="s">
        <v>492</v>
      </c>
      <c r="C598" s="68" t="s">
        <v>892</v>
      </c>
      <c r="D598" s="68" t="s">
        <v>439</v>
      </c>
      <c r="E598" s="68" t="s">
        <v>439</v>
      </c>
      <c r="F598" s="68" t="s">
        <v>8</v>
      </c>
      <c r="G598" s="68" t="s">
        <v>1881</v>
      </c>
      <c r="H598" s="68" t="s">
        <v>912</v>
      </c>
      <c r="I598" s="68" t="s">
        <v>1013</v>
      </c>
      <c r="J598" s="69">
        <v>0.61699999999999999</v>
      </c>
      <c r="K598" s="69"/>
      <c r="L598" s="68"/>
      <c r="M598" s="68" t="s">
        <v>895</v>
      </c>
      <c r="N598" s="68"/>
      <c r="O598" s="68" t="str">
        <f t="shared" si="9"/>
        <v>EC06_EC Server Basic Hebrew (CGS) NET</v>
      </c>
      <c r="P598" s="68" t="s">
        <v>2254</v>
      </c>
      <c r="Q598" s="68" t="s">
        <v>1810</v>
      </c>
      <c r="R598" s="68">
        <v>14</v>
      </c>
      <c r="S598" s="78"/>
      <c r="T598" s="68" t="s">
        <v>2255</v>
      </c>
      <c r="U598" s="68"/>
      <c r="V598" s="72" t="s">
        <v>1958</v>
      </c>
      <c r="W598" s="72">
        <v>0</v>
      </c>
      <c r="X598" s="68"/>
      <c r="Y598" s="68"/>
      <c r="Z598" s="68"/>
      <c r="AA598" s="68"/>
      <c r="AB598" s="68"/>
      <c r="AC598" s="68"/>
    </row>
    <row r="599" spans="1:29" ht="15" customHeight="1" collapsed="1" x14ac:dyDescent="0.3">
      <c r="A599" s="68" t="s">
        <v>493</v>
      </c>
      <c r="B599" s="68" t="s">
        <v>494</v>
      </c>
      <c r="C599" s="68" t="s">
        <v>1843</v>
      </c>
      <c r="D599" s="68" t="s">
        <v>439</v>
      </c>
      <c r="E599" s="68" t="s">
        <v>439</v>
      </c>
      <c r="F599" s="68" t="s">
        <v>8</v>
      </c>
      <c r="G599" s="68" t="s">
        <v>1881</v>
      </c>
      <c r="H599" s="68" t="s">
        <v>912</v>
      </c>
      <c r="I599" s="68" t="s">
        <v>1013</v>
      </c>
      <c r="J599" s="69">
        <v>0.61699999999999999</v>
      </c>
      <c r="K599" s="69">
        <v>3.8967379973253502E-2</v>
      </c>
      <c r="L599" s="68"/>
      <c r="M599" s="68" t="s">
        <v>895</v>
      </c>
      <c r="N599" s="68"/>
      <c r="O599" s="68" t="str">
        <f t="shared" si="9"/>
        <v>EC07_EC ProSupp Server Hebrew (CGS)</v>
      </c>
      <c r="P599" s="68" t="s">
        <v>2254</v>
      </c>
      <c r="Q599" s="68" t="s">
        <v>1810</v>
      </c>
      <c r="R599" s="68">
        <v>14</v>
      </c>
      <c r="S599" s="78"/>
      <c r="T599" s="68" t="s">
        <v>2255</v>
      </c>
      <c r="U599" s="68"/>
      <c r="V599" s="72" t="s">
        <v>1958</v>
      </c>
      <c r="W599" s="72">
        <v>9</v>
      </c>
      <c r="X599" s="68"/>
      <c r="Y599" s="68"/>
      <c r="Z599" s="68"/>
      <c r="AA599" s="68"/>
      <c r="AB599" s="68"/>
      <c r="AC599" s="68"/>
    </row>
    <row r="600" spans="1:29" ht="15" customHeight="1" collapsed="1" x14ac:dyDescent="0.3">
      <c r="A600" s="68" t="s">
        <v>555</v>
      </c>
      <c r="B600" s="68" t="s">
        <v>1924</v>
      </c>
      <c r="C600" s="68" t="s">
        <v>1843</v>
      </c>
      <c r="D600" s="68" t="s">
        <v>439</v>
      </c>
      <c r="E600" s="68" t="s">
        <v>439</v>
      </c>
      <c r="F600" s="68" t="s">
        <v>8</v>
      </c>
      <c r="G600" s="68" t="s">
        <v>1881</v>
      </c>
      <c r="H600" s="68" t="s">
        <v>912</v>
      </c>
      <c r="I600" s="68" t="s">
        <v>1086</v>
      </c>
      <c r="J600" s="69">
        <v>0.61699999999999999</v>
      </c>
      <c r="K600" s="69">
        <v>3.8967379973253502E-2</v>
      </c>
      <c r="L600" s="68"/>
      <c r="M600" s="68" t="s">
        <v>895</v>
      </c>
      <c r="N600" s="68"/>
      <c r="O600" s="68" t="str">
        <f t="shared" si="9"/>
        <v>ND03_Nordics Server Core (TUR)</v>
      </c>
      <c r="P600" s="68" t="s">
        <v>2254</v>
      </c>
      <c r="Q600" s="68" t="s">
        <v>1810</v>
      </c>
      <c r="R600" s="68">
        <v>14</v>
      </c>
      <c r="S600" s="78"/>
      <c r="T600" s="68" t="s">
        <v>2255</v>
      </c>
      <c r="U600" s="68"/>
      <c r="V600" s="72" t="s">
        <v>1958</v>
      </c>
      <c r="W600" s="72">
        <v>7</v>
      </c>
      <c r="X600" s="68"/>
      <c r="Y600" s="68"/>
      <c r="Z600" s="68"/>
      <c r="AA600" s="68"/>
      <c r="AB600" s="68"/>
      <c r="AC600" s="68"/>
    </row>
    <row r="601" spans="1:29" ht="15" customHeight="1" collapsed="1" x14ac:dyDescent="0.3">
      <c r="A601" s="68" t="s">
        <v>451</v>
      </c>
      <c r="B601" s="68" t="s">
        <v>1859</v>
      </c>
      <c r="C601" s="68" t="s">
        <v>914</v>
      </c>
      <c r="D601" s="68" t="s">
        <v>439</v>
      </c>
      <c r="E601" s="68" t="s">
        <v>439</v>
      </c>
      <c r="F601" s="68" t="s">
        <v>8</v>
      </c>
      <c r="G601" s="68" t="s">
        <v>1881</v>
      </c>
      <c r="H601" s="68" t="s">
        <v>903</v>
      </c>
      <c r="I601" s="68" t="s">
        <v>909</v>
      </c>
      <c r="J601" s="69">
        <v>0.629</v>
      </c>
      <c r="K601" s="69">
        <v>2.278539874447803E-2</v>
      </c>
      <c r="L601" s="68"/>
      <c r="M601" s="68" t="s">
        <v>895</v>
      </c>
      <c r="N601" s="68"/>
      <c r="O601" s="68" t="str">
        <f t="shared" si="9"/>
        <v>BW01_CCC Compute ProSupport Mandarin Voice BW</v>
      </c>
      <c r="P601" s="68" t="s">
        <v>2254</v>
      </c>
      <c r="Q601" s="68" t="s">
        <v>1810</v>
      </c>
      <c r="R601" s="68">
        <v>14</v>
      </c>
      <c r="S601" s="78"/>
      <c r="T601" s="68" t="s">
        <v>2255</v>
      </c>
      <c r="U601" s="68"/>
      <c r="V601" s="72" t="s">
        <v>1958</v>
      </c>
      <c r="W601" s="72">
        <v>3</v>
      </c>
      <c r="X601" s="68"/>
      <c r="Y601" s="68"/>
      <c r="Z601" s="68"/>
      <c r="AA601" s="68"/>
      <c r="AB601" s="68"/>
      <c r="AC601" s="68"/>
    </row>
    <row r="602" spans="1:29" s="11" customFormat="1" ht="15" customHeight="1" collapsed="1" x14ac:dyDescent="0.3">
      <c r="A602" s="75" t="s">
        <v>2258</v>
      </c>
      <c r="B602" s="75" t="s">
        <v>2259</v>
      </c>
      <c r="C602" s="68" t="s">
        <v>914</v>
      </c>
      <c r="D602" s="68" t="s">
        <v>439</v>
      </c>
      <c r="E602" s="68" t="s">
        <v>439</v>
      </c>
      <c r="F602" s="68" t="s">
        <v>8</v>
      </c>
      <c r="G602" s="68" t="s">
        <v>1881</v>
      </c>
      <c r="H602" s="68" t="s">
        <v>903</v>
      </c>
      <c r="I602" s="68" t="s">
        <v>909</v>
      </c>
      <c r="J602" s="69"/>
      <c r="K602" s="69"/>
      <c r="L602" s="68"/>
      <c r="M602" s="68"/>
      <c r="N602" s="68"/>
      <c r="O602" s="68" t="str">
        <f t="shared" si="9"/>
        <v>BW02_CCC CNS Cantonese BW</v>
      </c>
      <c r="P602" s="68" t="s">
        <v>2254</v>
      </c>
      <c r="Q602" s="68" t="s">
        <v>1810</v>
      </c>
      <c r="R602" s="68"/>
      <c r="S602" s="78"/>
      <c r="T602" s="68" t="s">
        <v>2255</v>
      </c>
      <c r="U602" s="68"/>
      <c r="V602" s="72" t="s">
        <v>1958</v>
      </c>
      <c r="W602" s="72">
        <v>0</v>
      </c>
      <c r="X602" s="68"/>
      <c r="Y602" s="68"/>
      <c r="Z602" s="68"/>
      <c r="AA602" s="68"/>
      <c r="AB602" s="68"/>
      <c r="AC602" s="68"/>
    </row>
    <row r="603" spans="1:29" ht="15" customHeight="1" collapsed="1" x14ac:dyDescent="0.3">
      <c r="A603" s="75" t="s">
        <v>2256</v>
      </c>
      <c r="B603" s="75" t="s">
        <v>2257</v>
      </c>
      <c r="C603" s="68" t="s">
        <v>914</v>
      </c>
      <c r="D603" s="68" t="s">
        <v>439</v>
      </c>
      <c r="E603" s="68" t="s">
        <v>439</v>
      </c>
      <c r="F603" s="68" t="s">
        <v>8</v>
      </c>
      <c r="G603" s="68" t="s">
        <v>1881</v>
      </c>
      <c r="H603" s="68" t="s">
        <v>903</v>
      </c>
      <c r="I603" s="68" t="s">
        <v>909</v>
      </c>
      <c r="J603" s="69"/>
      <c r="K603" s="69"/>
      <c r="L603" s="68"/>
      <c r="M603" s="68"/>
      <c r="N603" s="68"/>
      <c r="O603" s="68" t="str">
        <f t="shared" si="9"/>
        <v>BW03_CCC CNS Mandarin BW</v>
      </c>
      <c r="P603" s="68" t="s">
        <v>2254</v>
      </c>
      <c r="Q603" s="68" t="s">
        <v>1810</v>
      </c>
      <c r="R603" s="68"/>
      <c r="S603" s="78"/>
      <c r="T603" s="68" t="s">
        <v>2255</v>
      </c>
      <c r="U603" s="68"/>
      <c r="V603" s="72" t="s">
        <v>1958</v>
      </c>
      <c r="W603" s="72">
        <v>0</v>
      </c>
      <c r="X603" s="68"/>
      <c r="Y603" s="68"/>
      <c r="Z603" s="68"/>
      <c r="AA603" s="68"/>
      <c r="AB603" s="68"/>
      <c r="AC603" s="68"/>
    </row>
    <row r="604" spans="1:29" ht="15" customHeight="1" collapsed="1" x14ac:dyDescent="0.3">
      <c r="A604" s="68" t="s">
        <v>467</v>
      </c>
      <c r="B604" s="68" t="s">
        <v>1862</v>
      </c>
      <c r="C604" s="68" t="s">
        <v>914</v>
      </c>
      <c r="D604" s="68" t="s">
        <v>439</v>
      </c>
      <c r="E604" s="68" t="s">
        <v>439</v>
      </c>
      <c r="F604" s="68" t="s">
        <v>8</v>
      </c>
      <c r="G604" s="68" t="s">
        <v>1881</v>
      </c>
      <c r="H604" s="68" t="s">
        <v>903</v>
      </c>
      <c r="I604" s="68" t="s">
        <v>909</v>
      </c>
      <c r="J604" s="69">
        <v>0.629</v>
      </c>
      <c r="K604" s="69">
        <v>2.278539874447803E-2</v>
      </c>
      <c r="L604" s="68"/>
      <c r="M604" s="68" t="s">
        <v>895</v>
      </c>
      <c r="N604" s="68"/>
      <c r="O604" s="68" t="str">
        <f t="shared" si="9"/>
        <v>CCB1_CCC Compute Basic Mandarin Voice BW</v>
      </c>
      <c r="P604" s="68" t="s">
        <v>2254</v>
      </c>
      <c r="Q604" s="68" t="s">
        <v>1810</v>
      </c>
      <c r="R604" s="68">
        <v>14</v>
      </c>
      <c r="S604" s="78"/>
      <c r="T604" s="68" t="s">
        <v>2255</v>
      </c>
      <c r="U604" s="68"/>
      <c r="V604" s="72" t="s">
        <v>1958</v>
      </c>
      <c r="W604" s="72">
        <v>6</v>
      </c>
      <c r="X604" s="68"/>
      <c r="Y604" s="68"/>
      <c r="Z604" s="68"/>
      <c r="AA604" s="68"/>
      <c r="AB604" s="68"/>
      <c r="AC604" s="68"/>
    </row>
    <row r="605" spans="1:29" ht="15" customHeight="1" collapsed="1" x14ac:dyDescent="0.3">
      <c r="A605" s="75" t="s">
        <v>2264</v>
      </c>
      <c r="B605" s="75" t="s">
        <v>2265</v>
      </c>
      <c r="C605" s="68" t="s">
        <v>914</v>
      </c>
      <c r="D605" s="68" t="s">
        <v>439</v>
      </c>
      <c r="E605" s="68" t="s">
        <v>439</v>
      </c>
      <c r="F605" s="68" t="s">
        <v>8</v>
      </c>
      <c r="G605" s="68" t="s">
        <v>1881</v>
      </c>
      <c r="H605" s="68" t="s">
        <v>903</v>
      </c>
      <c r="I605" s="68" t="s">
        <v>909</v>
      </c>
      <c r="J605" s="69"/>
      <c r="K605" s="69"/>
      <c r="L605" s="68"/>
      <c r="M605" s="68"/>
      <c r="N605" s="68"/>
      <c r="O605" s="68" t="str">
        <f t="shared" si="9"/>
        <v>CCB2_CCC Compute Mandarin Email BW</v>
      </c>
      <c r="P605" s="68" t="s">
        <v>2254</v>
      </c>
      <c r="Q605" s="68" t="s">
        <v>1810</v>
      </c>
      <c r="R605" s="68"/>
      <c r="S605" s="78"/>
      <c r="T605" s="68" t="s">
        <v>2255</v>
      </c>
      <c r="U605" s="68"/>
      <c r="V605" s="72" t="s">
        <v>1958</v>
      </c>
      <c r="W605" s="72">
        <v>0</v>
      </c>
      <c r="X605" s="68"/>
      <c r="Y605" s="68"/>
      <c r="Z605" s="68"/>
      <c r="AA605" s="68"/>
      <c r="AB605" s="68"/>
      <c r="AC605" s="68"/>
    </row>
    <row r="606" spans="1:29" ht="15" customHeight="1" collapsed="1" x14ac:dyDescent="0.3">
      <c r="A606" s="75" t="s">
        <v>2260</v>
      </c>
      <c r="B606" s="75" t="s">
        <v>2261</v>
      </c>
      <c r="C606" s="68" t="s">
        <v>914</v>
      </c>
      <c r="D606" s="68" t="s">
        <v>229</v>
      </c>
      <c r="E606" s="68" t="s">
        <v>229</v>
      </c>
      <c r="F606" s="68" t="s">
        <v>8</v>
      </c>
      <c r="G606" s="68" t="s">
        <v>1881</v>
      </c>
      <c r="H606" s="68" t="s">
        <v>903</v>
      </c>
      <c r="I606" s="68" t="s">
        <v>909</v>
      </c>
      <c r="J606" s="69"/>
      <c r="K606" s="69"/>
      <c r="L606" s="68"/>
      <c r="M606" s="68"/>
      <c r="N606" s="68"/>
      <c r="O606" s="68" t="str">
        <f t="shared" si="9"/>
        <v>CM05_CCC Midrange Mandarin BW</v>
      </c>
      <c r="P606" s="68" t="s">
        <v>2254</v>
      </c>
      <c r="Q606" s="68" t="s">
        <v>1810</v>
      </c>
      <c r="R606" s="68"/>
      <c r="S606" s="78"/>
      <c r="T606" s="68" t="s">
        <v>2255</v>
      </c>
      <c r="U606" s="68"/>
      <c r="V606" s="72" t="s">
        <v>1958</v>
      </c>
      <c r="W606" s="72">
        <v>20</v>
      </c>
      <c r="X606" s="68"/>
      <c r="Y606" s="68"/>
      <c r="Z606" s="68"/>
      <c r="AA606" s="68"/>
      <c r="AB606" s="68"/>
      <c r="AC606" s="68"/>
    </row>
    <row r="607" spans="1:29" s="11" customFormat="1" ht="15" customHeight="1" collapsed="1" x14ac:dyDescent="0.3">
      <c r="A607" s="68" t="s">
        <v>812</v>
      </c>
      <c r="B607" s="68" t="s">
        <v>813</v>
      </c>
      <c r="C607" s="68" t="s">
        <v>1845</v>
      </c>
      <c r="D607" s="68" t="s">
        <v>439</v>
      </c>
      <c r="E607" s="68" t="s">
        <v>439</v>
      </c>
      <c r="F607" s="68" t="s">
        <v>8</v>
      </c>
      <c r="G607" s="68" t="s">
        <v>1881</v>
      </c>
      <c r="H607" s="68" t="s">
        <v>893</v>
      </c>
      <c r="I607" s="68" t="s">
        <v>894</v>
      </c>
      <c r="J607" s="69"/>
      <c r="K607" s="69"/>
      <c r="L607" s="68"/>
      <c r="M607" s="68"/>
      <c r="N607" s="68"/>
      <c r="O607" s="68" t="str">
        <f t="shared" si="9"/>
        <v>CX01_NA Server Basic (Concentrix)</v>
      </c>
      <c r="P607" s="68" t="s">
        <v>2254</v>
      </c>
      <c r="Q607" s="68" t="s">
        <v>1810</v>
      </c>
      <c r="R607" s="68"/>
      <c r="S607" s="78"/>
      <c r="T607" s="68" t="s">
        <v>2255</v>
      </c>
      <c r="U607" s="68"/>
      <c r="V607" s="72" t="s">
        <v>1958</v>
      </c>
      <c r="W607" s="72">
        <v>28.666666666666668</v>
      </c>
      <c r="X607" s="68"/>
      <c r="Y607" s="68"/>
      <c r="Z607" s="68"/>
      <c r="AA607" s="68"/>
      <c r="AB607" s="68"/>
      <c r="AC607" s="68"/>
    </row>
    <row r="608" spans="1:29" ht="15" customHeight="1" x14ac:dyDescent="0.3">
      <c r="A608" s="68" t="s">
        <v>814</v>
      </c>
      <c r="B608" s="68" t="s">
        <v>815</v>
      </c>
      <c r="C608" s="68" t="s">
        <v>1845</v>
      </c>
      <c r="D608" s="68" t="s">
        <v>439</v>
      </c>
      <c r="E608" s="68" t="s">
        <v>439</v>
      </c>
      <c r="F608" s="68" t="s">
        <v>8</v>
      </c>
      <c r="G608" s="68" t="s">
        <v>1881</v>
      </c>
      <c r="H608" s="68" t="s">
        <v>903</v>
      </c>
      <c r="I608" s="68" t="s">
        <v>906</v>
      </c>
      <c r="J608" s="69"/>
      <c r="K608" s="69"/>
      <c r="L608" s="68"/>
      <c r="M608" s="68"/>
      <c r="N608" s="68"/>
      <c r="O608" s="68" t="str">
        <f t="shared" si="9"/>
        <v>CX02_Server Core IND CNX</v>
      </c>
      <c r="P608" s="68" t="s">
        <v>2254</v>
      </c>
      <c r="Q608" s="68" t="s">
        <v>1810</v>
      </c>
      <c r="R608" s="68"/>
      <c r="S608" s="78"/>
      <c r="T608" s="68" t="s">
        <v>2255</v>
      </c>
      <c r="U608" s="68"/>
      <c r="V608" s="72" t="s">
        <v>1958</v>
      </c>
      <c r="W608" s="72">
        <v>16.666666666666668</v>
      </c>
      <c r="X608" s="68"/>
      <c r="Y608" s="68"/>
      <c r="Z608" s="68"/>
      <c r="AA608" s="68"/>
      <c r="AB608" s="68"/>
      <c r="AC608" s="68"/>
    </row>
    <row r="609" spans="1:29" ht="15" customHeight="1" x14ac:dyDescent="0.3">
      <c r="A609" s="75" t="s">
        <v>2262</v>
      </c>
      <c r="B609" s="75" t="s">
        <v>2263</v>
      </c>
      <c r="C609" s="68" t="s">
        <v>1845</v>
      </c>
      <c r="D609" s="68" t="s">
        <v>439</v>
      </c>
      <c r="E609" s="68" t="s">
        <v>439</v>
      </c>
      <c r="F609" s="68" t="s">
        <v>8</v>
      </c>
      <c r="G609" s="68" t="s">
        <v>1881</v>
      </c>
      <c r="H609" s="68" t="s">
        <v>903</v>
      </c>
      <c r="I609" s="68" t="s">
        <v>1064</v>
      </c>
      <c r="J609" s="69"/>
      <c r="K609" s="69"/>
      <c r="L609" s="68"/>
      <c r="M609" s="68"/>
      <c r="N609" s="68"/>
      <c r="O609" s="68" t="str">
        <f t="shared" si="9"/>
        <v>CX03_Server Core ANZ CNX</v>
      </c>
      <c r="P609" s="68" t="s">
        <v>2254</v>
      </c>
      <c r="Q609" s="68" t="s">
        <v>1810</v>
      </c>
      <c r="R609" s="68"/>
      <c r="S609" s="78"/>
      <c r="T609" s="68" t="s">
        <v>2255</v>
      </c>
      <c r="U609" s="68"/>
      <c r="V609" s="72" t="s">
        <v>1958</v>
      </c>
      <c r="W609" s="72">
        <v>0</v>
      </c>
      <c r="X609" s="68"/>
      <c r="Y609" s="68"/>
      <c r="Z609" s="68"/>
      <c r="AA609" s="68"/>
      <c r="AB609" s="68"/>
      <c r="AC609" s="68"/>
    </row>
    <row r="610" spans="1:29" ht="15" customHeight="1" x14ac:dyDescent="0.3">
      <c r="A610" s="68" t="s">
        <v>816</v>
      </c>
      <c r="B610" s="68" t="s">
        <v>817</v>
      </c>
      <c r="C610" s="68" t="s">
        <v>1845</v>
      </c>
      <c r="D610" s="68" t="s">
        <v>439</v>
      </c>
      <c r="E610" s="68" t="s">
        <v>439</v>
      </c>
      <c r="F610" s="68" t="s">
        <v>8</v>
      </c>
      <c r="G610" s="68" t="s">
        <v>1881</v>
      </c>
      <c r="H610" s="68" t="s">
        <v>903</v>
      </c>
      <c r="I610" s="68" t="s">
        <v>1064</v>
      </c>
      <c r="J610" s="69"/>
      <c r="K610" s="69"/>
      <c r="L610" s="68"/>
      <c r="M610" s="68"/>
      <c r="N610" s="68"/>
      <c r="O610" s="68" t="str">
        <f t="shared" si="9"/>
        <v>CX04_Server Core SA CNX</v>
      </c>
      <c r="P610" s="68" t="s">
        <v>2254</v>
      </c>
      <c r="Q610" s="68" t="s">
        <v>1810</v>
      </c>
      <c r="R610" s="68"/>
      <c r="S610" s="78"/>
      <c r="T610" s="68" t="s">
        <v>2255</v>
      </c>
      <c r="U610" s="68"/>
      <c r="V610" s="72" t="s">
        <v>1958</v>
      </c>
      <c r="W610" s="72">
        <v>11</v>
      </c>
      <c r="X610" s="68"/>
      <c r="Y610" s="68"/>
      <c r="Z610" s="68"/>
      <c r="AA610" s="68"/>
      <c r="AB610" s="68"/>
      <c r="AC610" s="68"/>
    </row>
    <row r="611" spans="1:29" ht="15" customHeight="1" x14ac:dyDescent="0.3">
      <c r="A611" s="68" t="s">
        <v>818</v>
      </c>
      <c r="B611" s="68" t="s">
        <v>819</v>
      </c>
      <c r="C611" s="68" t="s">
        <v>1845</v>
      </c>
      <c r="D611" s="68" t="s">
        <v>439</v>
      </c>
      <c r="E611" s="68" t="s">
        <v>439</v>
      </c>
      <c r="F611" s="68" t="s">
        <v>8</v>
      </c>
      <c r="G611" s="68" t="s">
        <v>1881</v>
      </c>
      <c r="H611" s="68" t="s">
        <v>893</v>
      </c>
      <c r="I611" s="68" t="s">
        <v>894</v>
      </c>
      <c r="J611" s="69"/>
      <c r="K611" s="69"/>
      <c r="L611" s="68"/>
      <c r="M611" s="68"/>
      <c r="N611" s="68"/>
      <c r="O611" s="68" t="str">
        <f t="shared" si="9"/>
        <v>CX05_NA Server Basic Chat (CNX)</v>
      </c>
      <c r="P611" s="68" t="s">
        <v>2254</v>
      </c>
      <c r="Q611" s="68" t="s">
        <v>1810</v>
      </c>
      <c r="R611" s="68"/>
      <c r="S611" s="78"/>
      <c r="T611" s="68" t="s">
        <v>2255</v>
      </c>
      <c r="U611" s="68"/>
      <c r="V611" s="72" t="s">
        <v>1958</v>
      </c>
      <c r="W611" s="72">
        <v>15</v>
      </c>
      <c r="X611" s="68"/>
      <c r="Y611" s="68"/>
      <c r="Z611" s="68"/>
      <c r="AA611" s="68"/>
      <c r="AB611" s="68"/>
      <c r="AC611" s="68"/>
    </row>
    <row r="612" spans="1:29" ht="15" customHeight="1" x14ac:dyDescent="0.3">
      <c r="A612" s="68" t="s">
        <v>848</v>
      </c>
      <c r="B612" s="68" t="s">
        <v>849</v>
      </c>
      <c r="C612" s="68" t="s">
        <v>1845</v>
      </c>
      <c r="D612" s="68" t="s">
        <v>439</v>
      </c>
      <c r="E612" s="68" t="s">
        <v>439</v>
      </c>
      <c r="F612" s="68" t="s">
        <v>8</v>
      </c>
      <c r="G612" s="68" t="s">
        <v>1881</v>
      </c>
      <c r="H612" s="68" t="s">
        <v>912</v>
      </c>
      <c r="I612" s="68" t="s">
        <v>913</v>
      </c>
      <c r="J612" s="69"/>
      <c r="K612" s="69"/>
      <c r="L612" s="68"/>
      <c r="M612" s="68"/>
      <c r="N612" s="68"/>
      <c r="O612" s="68" t="str">
        <f t="shared" si="9"/>
        <v>UK05_UKISA Basic Enterprise (Concentrix)</v>
      </c>
      <c r="P612" s="68" t="s">
        <v>2254</v>
      </c>
      <c r="Q612" s="68" t="s">
        <v>1810</v>
      </c>
      <c r="R612" s="68"/>
      <c r="S612" s="78"/>
      <c r="T612" s="68" t="s">
        <v>2255</v>
      </c>
      <c r="U612" s="68"/>
      <c r="V612" s="72" t="s">
        <v>1958</v>
      </c>
      <c r="W612" s="72">
        <v>9.3333333333333339</v>
      </c>
      <c r="X612" s="68"/>
      <c r="Y612" s="68"/>
      <c r="Z612" s="68"/>
      <c r="AA612" s="68"/>
      <c r="AB612" s="68"/>
      <c r="AC612" s="68"/>
    </row>
  </sheetData>
  <sortState xmlns:xlrd2="http://schemas.microsoft.com/office/spreadsheetml/2017/richdata2" ref="A2:X607">
    <sortCondition ref="T2:T607"/>
  </sortState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E08D-F58A-440D-9241-B13CC66B4E25}">
  <sheetPr filterMode="1"/>
  <dimension ref="A1:I173"/>
  <sheetViews>
    <sheetView topLeftCell="A124" workbookViewId="0">
      <selection activeCell="B174" sqref="B174"/>
    </sheetView>
  </sheetViews>
  <sheetFormatPr defaultRowHeight="14.5" x14ac:dyDescent="0.35"/>
  <cols>
    <col min="1" max="1" width="15.7265625" bestFit="1" customWidth="1"/>
    <col min="2" max="2" width="29.26953125" bestFit="1" customWidth="1"/>
  </cols>
  <sheetData>
    <row r="1" spans="1:9" x14ac:dyDescent="0.35">
      <c r="A1" s="58" t="s">
        <v>1259</v>
      </c>
      <c r="B1" s="58" t="s">
        <v>1260</v>
      </c>
      <c r="C1" s="36">
        <v>202641</v>
      </c>
      <c r="D1" s="36">
        <v>202642</v>
      </c>
      <c r="E1" s="36">
        <v>202643</v>
      </c>
      <c r="F1" s="36">
        <v>202644</v>
      </c>
      <c r="G1" s="36">
        <v>202645</v>
      </c>
    </row>
    <row r="2" spans="1:9" x14ac:dyDescent="0.35">
      <c r="A2" s="36" t="s">
        <v>674</v>
      </c>
      <c r="B2" s="36" t="s">
        <v>1896</v>
      </c>
      <c r="C2" s="59">
        <v>18</v>
      </c>
      <c r="D2" s="59">
        <v>18</v>
      </c>
      <c r="E2" s="59">
        <v>18</v>
      </c>
      <c r="F2" s="59">
        <v>18</v>
      </c>
      <c r="G2" s="59">
        <v>18</v>
      </c>
      <c r="H2" t="str">
        <f>VLOOKUP(A2,UniqueCCOQueueCodes!$A$1:$T$607,6,0)</f>
        <v>Y</v>
      </c>
      <c r="I2" t="str">
        <f>VLOOKUP(A2,UniqueCCOQueueCodes!$A$1:$T$607,20,0)</f>
        <v>HES</v>
      </c>
    </row>
    <row r="3" spans="1:9" x14ac:dyDescent="0.35">
      <c r="A3" s="36" t="s">
        <v>676</v>
      </c>
      <c r="B3" s="36" t="s">
        <v>1897</v>
      </c>
      <c r="C3" s="59">
        <v>13</v>
      </c>
      <c r="D3" s="59">
        <v>13</v>
      </c>
      <c r="E3" s="59">
        <v>13</v>
      </c>
      <c r="F3" s="59">
        <v>13</v>
      </c>
      <c r="G3" s="59">
        <v>13</v>
      </c>
      <c r="H3" t="str">
        <f>VLOOKUP(A3,UniqueCCOQueueCodes!$A$1:$T$607,6,0)</f>
        <v>Y</v>
      </c>
      <c r="I3" t="str">
        <f>VLOOKUP(A3,UniqueCCOQueueCodes!$A$1:$T$607,20,0)</f>
        <v>HES</v>
      </c>
    </row>
    <row r="4" spans="1:9" x14ac:dyDescent="0.35">
      <c r="A4" s="36" t="s">
        <v>46</v>
      </c>
      <c r="B4" s="36" t="s">
        <v>47</v>
      </c>
      <c r="C4" s="59">
        <v>10</v>
      </c>
      <c r="D4" s="59">
        <v>9</v>
      </c>
      <c r="E4" s="59">
        <v>9</v>
      </c>
      <c r="F4" s="59">
        <v>9</v>
      </c>
      <c r="G4" s="59">
        <v>9</v>
      </c>
      <c r="H4" t="str">
        <f>VLOOKUP(A4,UniqueCCOQueueCodes!$A$1:$T$607,6,0)</f>
        <v>Y</v>
      </c>
      <c r="I4" t="str">
        <f>VLOOKUP(A4,UniqueCCOQueueCodes!$A$1:$T$607,20,0)</f>
        <v>HES</v>
      </c>
    </row>
    <row r="5" spans="1:9" x14ac:dyDescent="0.35">
      <c r="A5" s="36" t="s">
        <v>306</v>
      </c>
      <c r="B5" s="36" t="s">
        <v>307</v>
      </c>
      <c r="C5" s="59">
        <v>7</v>
      </c>
      <c r="D5" s="59">
        <v>7</v>
      </c>
      <c r="E5" s="59">
        <v>7</v>
      </c>
      <c r="F5" s="59">
        <v>7</v>
      </c>
      <c r="G5" s="59">
        <v>7</v>
      </c>
      <c r="H5" t="str">
        <f>VLOOKUP(A5,UniqueCCOQueueCodes!$A$1:$T$607,6,0)</f>
        <v>Y</v>
      </c>
      <c r="I5" t="str">
        <f>VLOOKUP(A5,UniqueCCOQueueCodes!$A$1:$T$607,20,0)</f>
        <v>HES</v>
      </c>
    </row>
    <row r="6" spans="1:9" x14ac:dyDescent="0.35">
      <c r="A6" s="36" t="s">
        <v>72</v>
      </c>
      <c r="B6" s="36" t="s">
        <v>73</v>
      </c>
      <c r="C6" s="59">
        <v>12</v>
      </c>
      <c r="D6" s="59">
        <v>12</v>
      </c>
      <c r="E6" s="59">
        <v>12</v>
      </c>
      <c r="F6" s="59">
        <v>12</v>
      </c>
      <c r="G6" s="59">
        <v>11</v>
      </c>
      <c r="H6" t="str">
        <f>VLOOKUP(A6,UniqueCCOQueueCodes!$A$1:$T$607,6,0)</f>
        <v>Y</v>
      </c>
      <c r="I6" t="str">
        <f>VLOOKUP(A6,UniqueCCOQueueCodes!$A$1:$T$607,20,0)</f>
        <v>HES</v>
      </c>
    </row>
    <row r="7" spans="1:9" x14ac:dyDescent="0.35">
      <c r="A7" s="36" t="s">
        <v>174</v>
      </c>
      <c r="B7" s="36" t="s">
        <v>175</v>
      </c>
      <c r="C7" s="59">
        <v>25</v>
      </c>
      <c r="D7" s="59">
        <v>25</v>
      </c>
      <c r="E7" s="59">
        <v>25</v>
      </c>
      <c r="F7" s="59">
        <v>24</v>
      </c>
      <c r="G7" s="59">
        <v>23</v>
      </c>
      <c r="H7" t="str">
        <f>VLOOKUP(A7,UniqueCCOQueueCodes!$A$1:$T$607,6,0)</f>
        <v>Y</v>
      </c>
      <c r="I7" t="str">
        <f>VLOOKUP(A7,UniqueCCOQueueCodes!$A$1:$T$607,20,0)</f>
        <v>HES</v>
      </c>
    </row>
    <row r="8" spans="1:9" x14ac:dyDescent="0.35">
      <c r="A8" s="36" t="s">
        <v>176</v>
      </c>
      <c r="B8" s="36" t="s">
        <v>177</v>
      </c>
      <c r="C8" s="59">
        <v>16</v>
      </c>
      <c r="D8" s="59">
        <v>16</v>
      </c>
      <c r="E8" s="59">
        <v>16</v>
      </c>
      <c r="F8" s="59">
        <v>16</v>
      </c>
      <c r="G8" s="59">
        <v>16</v>
      </c>
      <c r="H8" t="str">
        <f>VLOOKUP(A8,UniqueCCOQueueCodes!$A$1:$T$607,6,0)</f>
        <v>Y</v>
      </c>
      <c r="I8" t="str">
        <f>VLOOKUP(A8,UniqueCCOQueueCodes!$A$1:$T$607,20,0)</f>
        <v>HES</v>
      </c>
    </row>
    <row r="9" spans="1:9" x14ac:dyDescent="0.35">
      <c r="A9" s="36" t="s">
        <v>335</v>
      </c>
      <c r="B9" s="36" t="s">
        <v>336</v>
      </c>
      <c r="C9" s="59">
        <v>6</v>
      </c>
      <c r="D9" s="59">
        <v>6</v>
      </c>
      <c r="E9" s="59">
        <v>6</v>
      </c>
      <c r="F9" s="59">
        <v>6</v>
      </c>
      <c r="G9" s="59">
        <v>6</v>
      </c>
      <c r="H9" t="str">
        <f>VLOOKUP(A9,UniqueCCOQueueCodes!$A$1:$T$607,6,0)</f>
        <v>Y</v>
      </c>
      <c r="I9" t="str">
        <f>VLOOKUP(A9,UniqueCCOQueueCodes!$A$1:$T$607,20,0)</f>
        <v>HES</v>
      </c>
    </row>
    <row r="10" spans="1:9" x14ac:dyDescent="0.35">
      <c r="A10" s="36" t="s">
        <v>110</v>
      </c>
      <c r="B10" s="36" t="s">
        <v>111</v>
      </c>
      <c r="C10" s="59">
        <v>16</v>
      </c>
      <c r="D10" s="59">
        <v>16</v>
      </c>
      <c r="E10" s="59">
        <v>16</v>
      </c>
      <c r="F10" s="59">
        <v>16</v>
      </c>
      <c r="G10" s="59">
        <v>15</v>
      </c>
      <c r="H10" t="str">
        <f>VLOOKUP(A10,UniqueCCOQueueCodes!$A$1:$T$607,6,0)</f>
        <v>Y</v>
      </c>
      <c r="I10" t="str">
        <f>VLOOKUP(A10,UniqueCCOQueueCodes!$A$1:$T$607,20,0)</f>
        <v>HES</v>
      </c>
    </row>
    <row r="11" spans="1:9" x14ac:dyDescent="0.35">
      <c r="A11" s="36" t="s">
        <v>358</v>
      </c>
      <c r="B11" s="36" t="s">
        <v>359</v>
      </c>
      <c r="C11" s="59">
        <v>10</v>
      </c>
      <c r="D11" s="59">
        <v>10</v>
      </c>
      <c r="E11" s="59">
        <v>10</v>
      </c>
      <c r="F11" s="59">
        <v>10</v>
      </c>
      <c r="G11" s="59">
        <v>10</v>
      </c>
      <c r="H11" t="str">
        <f>VLOOKUP(A11,UniqueCCOQueueCodes!$A$1:$T$607,6,0)</f>
        <v>Y</v>
      </c>
      <c r="I11" t="str">
        <f>VLOOKUP(A11,UniqueCCOQueueCodes!$A$1:$T$607,20,0)</f>
        <v>HES</v>
      </c>
    </row>
    <row r="12" spans="1:9" x14ac:dyDescent="0.35">
      <c r="A12" s="36" t="s">
        <v>360</v>
      </c>
      <c r="B12" s="36" t="s">
        <v>361</v>
      </c>
      <c r="C12" s="59">
        <v>10</v>
      </c>
      <c r="D12" s="59">
        <v>10</v>
      </c>
      <c r="E12" s="59">
        <v>10</v>
      </c>
      <c r="F12" s="59">
        <v>10</v>
      </c>
      <c r="G12" s="59">
        <v>10</v>
      </c>
      <c r="H12" t="str">
        <f>VLOOKUP(A12,UniqueCCOQueueCodes!$A$1:$T$607,6,0)</f>
        <v>Y</v>
      </c>
      <c r="I12" t="str">
        <f>VLOOKUP(A12,UniqueCCOQueueCodes!$A$1:$T$607,20,0)</f>
        <v>HES</v>
      </c>
    </row>
    <row r="13" spans="1:9" x14ac:dyDescent="0.35">
      <c r="A13" s="36" t="s">
        <v>387</v>
      </c>
      <c r="B13" s="36" t="s">
        <v>388</v>
      </c>
      <c r="C13" s="59">
        <v>2</v>
      </c>
      <c r="D13" s="59">
        <v>2</v>
      </c>
      <c r="E13" s="59">
        <v>2</v>
      </c>
      <c r="F13" s="59">
        <v>2</v>
      </c>
      <c r="G13" s="59">
        <v>2</v>
      </c>
      <c r="H13" t="str">
        <f>VLOOKUP(A13,UniqueCCOQueueCodes!$A$1:$T$607,6,0)</f>
        <v>Y</v>
      </c>
      <c r="I13" t="str">
        <f>VLOOKUP(A13,UniqueCCOQueueCodes!$A$1:$T$607,20,0)</f>
        <v>HES</v>
      </c>
    </row>
    <row r="14" spans="1:9" x14ac:dyDescent="0.35">
      <c r="A14" s="36" t="s">
        <v>230</v>
      </c>
      <c r="B14" s="36" t="s">
        <v>231</v>
      </c>
      <c r="C14" s="59">
        <v>30</v>
      </c>
      <c r="D14" s="59">
        <v>30</v>
      </c>
      <c r="E14" s="59">
        <v>30</v>
      </c>
      <c r="F14" s="59">
        <v>30</v>
      </c>
      <c r="G14" s="59">
        <v>23</v>
      </c>
      <c r="H14" t="str">
        <f>VLOOKUP(A14,UniqueCCOQueueCodes!$A$1:$T$607,6,0)</f>
        <v>Y</v>
      </c>
      <c r="I14" t="str">
        <f>VLOOKUP(A14,UniqueCCOQueueCodes!$A$1:$T$607,20,0)</f>
        <v>HES</v>
      </c>
    </row>
    <row r="15" spans="1:9" x14ac:dyDescent="0.35">
      <c r="A15" s="36" t="s">
        <v>232</v>
      </c>
      <c r="B15" s="36" t="s">
        <v>233</v>
      </c>
      <c r="C15" s="59">
        <v>17</v>
      </c>
      <c r="D15" s="59">
        <v>17</v>
      </c>
      <c r="E15" s="59">
        <v>17</v>
      </c>
      <c r="F15" s="59">
        <v>17</v>
      </c>
      <c r="G15" s="59">
        <v>17</v>
      </c>
      <c r="H15" t="str">
        <f>VLOOKUP(A15,UniqueCCOQueueCodes!$A$1:$T$607,6,0)</f>
        <v>Y</v>
      </c>
      <c r="I15" t="str">
        <f>VLOOKUP(A15,UniqueCCOQueueCodes!$A$1:$T$607,20,0)</f>
        <v>HES</v>
      </c>
    </row>
    <row r="16" spans="1:9" x14ac:dyDescent="0.35">
      <c r="A16" s="36" t="s">
        <v>404</v>
      </c>
      <c r="B16" s="36" t="s">
        <v>405</v>
      </c>
      <c r="C16" s="59">
        <v>5</v>
      </c>
      <c r="D16" s="59">
        <v>5</v>
      </c>
      <c r="E16" s="59">
        <v>5</v>
      </c>
      <c r="F16" s="59">
        <v>5</v>
      </c>
      <c r="G16" s="59">
        <v>5</v>
      </c>
      <c r="H16" t="str">
        <f>VLOOKUP(A16,UniqueCCOQueueCodes!$A$1:$T$607,6,0)</f>
        <v>Y</v>
      </c>
      <c r="I16" t="str">
        <f>VLOOKUP(A16,UniqueCCOQueueCodes!$A$1:$T$607,20,0)</f>
        <v>HES</v>
      </c>
    </row>
    <row r="17" spans="1:9" x14ac:dyDescent="0.35">
      <c r="A17" s="36" t="s">
        <v>447</v>
      </c>
      <c r="B17" s="36" t="s">
        <v>1857</v>
      </c>
      <c r="C17" s="59">
        <v>6</v>
      </c>
      <c r="D17" s="59">
        <v>6</v>
      </c>
      <c r="E17" s="59">
        <v>6</v>
      </c>
      <c r="F17" s="59">
        <v>6</v>
      </c>
      <c r="G17" s="59">
        <v>6</v>
      </c>
      <c r="H17" t="str">
        <f>VLOOKUP(A17,UniqueCCOQueueCodes!$A$1:$T$607,6,0)</f>
        <v>Y</v>
      </c>
      <c r="I17" t="str">
        <f>VLOOKUP(A17,UniqueCCOQueueCodes!$A$1:$T$607,20,0)</f>
        <v>ESG</v>
      </c>
    </row>
    <row r="18" spans="1:9" x14ac:dyDescent="0.35">
      <c r="A18" s="36" t="s">
        <v>2083</v>
      </c>
      <c r="B18" s="36" t="s">
        <v>2245</v>
      </c>
      <c r="C18" s="59">
        <v>54</v>
      </c>
      <c r="D18" s="59">
        <v>54</v>
      </c>
      <c r="E18" s="59">
        <v>54</v>
      </c>
      <c r="F18" s="59">
        <v>54</v>
      </c>
      <c r="G18" s="59">
        <v>53</v>
      </c>
      <c r="H18" t="str">
        <f>VLOOKUP(A18,UniqueCCOQueueCodes!$A$1:$T$607,6,0)</f>
        <v>Y</v>
      </c>
      <c r="I18" t="str">
        <f>VLOOKUP(A18,UniqueCCOQueueCodes!$A$1:$T$607,20,0)</f>
        <v>HES</v>
      </c>
    </row>
    <row r="19" spans="1:9" x14ac:dyDescent="0.35">
      <c r="A19" s="36" t="s">
        <v>449</v>
      </c>
      <c r="B19" s="36" t="s">
        <v>1858</v>
      </c>
      <c r="C19" s="59">
        <v>7</v>
      </c>
      <c r="D19" s="59">
        <v>7</v>
      </c>
      <c r="E19" s="59">
        <v>7</v>
      </c>
      <c r="F19" s="59">
        <v>7</v>
      </c>
      <c r="G19" s="59">
        <v>7</v>
      </c>
      <c r="H19" t="str">
        <f>VLOOKUP(A19,UniqueCCOQueueCodes!$A$1:$T$607,6,0)</f>
        <v>Y</v>
      </c>
      <c r="I19" t="str">
        <f>VLOOKUP(A19,UniqueCCOQueueCodes!$A$1:$T$607,20,0)</f>
        <v>ESG</v>
      </c>
    </row>
    <row r="20" spans="1:9" x14ac:dyDescent="0.35">
      <c r="A20" s="36" t="s">
        <v>1872</v>
      </c>
      <c r="B20" s="36" t="s">
        <v>1879</v>
      </c>
      <c r="C20" s="59">
        <v>47</v>
      </c>
      <c r="D20" s="59">
        <v>47</v>
      </c>
      <c r="E20" s="59">
        <v>47</v>
      </c>
      <c r="F20" s="59">
        <v>47</v>
      </c>
      <c r="G20" s="59">
        <v>47</v>
      </c>
      <c r="H20" t="str">
        <f>VLOOKUP(A20,UniqueCCOQueueCodes!$A$1:$T$607,6,0)</f>
        <v>Y</v>
      </c>
      <c r="I20" t="str">
        <f>VLOOKUP(A20,UniqueCCOQueueCodes!$A$1:$T$607,20,0)</f>
        <v>ESG</v>
      </c>
    </row>
    <row r="21" spans="1:9" x14ac:dyDescent="0.35">
      <c r="A21" s="36" t="s">
        <v>1801</v>
      </c>
      <c r="B21" s="36" t="s">
        <v>1802</v>
      </c>
      <c r="C21" s="59">
        <v>9</v>
      </c>
      <c r="D21" s="59">
        <v>9</v>
      </c>
      <c r="E21" s="59">
        <v>9</v>
      </c>
      <c r="F21" s="59">
        <v>9</v>
      </c>
      <c r="G21" s="59">
        <v>9</v>
      </c>
      <c r="H21" t="str">
        <f>VLOOKUP(A21,UniqueCCOQueueCodes!$A$1:$T$607,6,0)</f>
        <v>Y</v>
      </c>
      <c r="I21" t="str">
        <f>VLOOKUP(A21,UniqueCCOQueueCodes!$A$1:$T$607,20,0)</f>
        <v>ESG</v>
      </c>
    </row>
    <row r="22" spans="1:9" x14ac:dyDescent="0.35">
      <c r="A22" s="36" t="s">
        <v>1803</v>
      </c>
      <c r="B22" s="36" t="s">
        <v>1804</v>
      </c>
      <c r="C22" s="59">
        <v>10.8</v>
      </c>
      <c r="D22" s="59">
        <v>10.8</v>
      </c>
      <c r="E22" s="59">
        <v>10.8</v>
      </c>
      <c r="F22" s="59">
        <v>10.8</v>
      </c>
      <c r="G22" s="59">
        <v>10.8</v>
      </c>
      <c r="H22" t="str">
        <f>VLOOKUP(A22,UniqueCCOQueueCodes!$A$1:$T$607,6,0)</f>
        <v>Y</v>
      </c>
      <c r="I22" t="str">
        <f>VLOOKUP(A22,UniqueCCOQueueCodes!$A$1:$T$607,20,0)</f>
        <v>ESG</v>
      </c>
    </row>
    <row r="23" spans="1:9" x14ac:dyDescent="0.35">
      <c r="A23" s="36" t="s">
        <v>1805</v>
      </c>
      <c r="B23" s="36" t="s">
        <v>1950</v>
      </c>
      <c r="C23" s="59">
        <v>41.499999999999993</v>
      </c>
      <c r="D23" s="59">
        <v>41.5</v>
      </c>
      <c r="E23" s="59">
        <v>40.5</v>
      </c>
      <c r="F23" s="59">
        <v>40.5</v>
      </c>
      <c r="G23" s="59">
        <v>40.5</v>
      </c>
      <c r="H23" t="str">
        <f>VLOOKUP(A23,UniqueCCOQueueCodes!$A$1:$T$607,6,0)</f>
        <v>Y</v>
      </c>
      <c r="I23" t="str">
        <f>VLOOKUP(A23,UniqueCCOQueueCodes!$A$1:$T$607,20,0)</f>
        <v>ESG</v>
      </c>
    </row>
    <row r="24" spans="1:9" x14ac:dyDescent="0.35">
      <c r="A24" s="60" t="s">
        <v>1873</v>
      </c>
      <c r="B24" s="36" t="s">
        <v>1874</v>
      </c>
      <c r="C24" s="59">
        <v>21</v>
      </c>
      <c r="D24" s="59">
        <v>21</v>
      </c>
      <c r="E24" s="59">
        <v>21</v>
      </c>
      <c r="F24" s="59">
        <v>21</v>
      </c>
      <c r="G24" s="59">
        <v>14</v>
      </c>
      <c r="H24" t="str">
        <f>VLOOKUP(A24,UniqueCCOQueueCodes!$A$1:$T$607,6,0)</f>
        <v>Y</v>
      </c>
      <c r="I24" t="str">
        <f>VLOOKUP(A24,UniqueCCOQueueCodes!$A$1:$T$607,20,0)</f>
        <v>ESG</v>
      </c>
    </row>
    <row r="25" spans="1:9" x14ac:dyDescent="0.35">
      <c r="A25" s="36" t="s">
        <v>1875</v>
      </c>
      <c r="B25" s="36" t="s">
        <v>1876</v>
      </c>
      <c r="C25" s="59">
        <v>14</v>
      </c>
      <c r="D25" s="59">
        <v>13</v>
      </c>
      <c r="E25" s="59">
        <v>12</v>
      </c>
      <c r="F25" s="59">
        <v>12</v>
      </c>
      <c r="G25" s="59">
        <v>3</v>
      </c>
      <c r="H25" t="str">
        <f>VLOOKUP(A25,UniqueCCOQueueCodes!$A$1:$T$607,6,0)</f>
        <v>Y</v>
      </c>
      <c r="I25" t="str">
        <f>VLOOKUP(A25,UniqueCCOQueueCodes!$A$1:$T$607,20,0)</f>
        <v>ESG</v>
      </c>
    </row>
    <row r="26" spans="1:9" x14ac:dyDescent="0.35">
      <c r="A26" s="36" t="s">
        <v>1938</v>
      </c>
      <c r="B26" s="36" t="s">
        <v>1939</v>
      </c>
      <c r="C26" s="59">
        <v>22</v>
      </c>
      <c r="D26" s="59">
        <v>22</v>
      </c>
      <c r="E26" s="59">
        <v>22</v>
      </c>
      <c r="F26" s="59">
        <v>22</v>
      </c>
      <c r="G26" s="59">
        <v>22</v>
      </c>
      <c r="H26" t="str">
        <f>VLOOKUP(A26,UniqueCCOQueueCodes!$A$1:$T$607,6,0)</f>
        <v>Y</v>
      </c>
      <c r="I26" t="str">
        <f>VLOOKUP(A26,UniqueCCOQueueCodes!$A$1:$T$607,20,0)</f>
        <v>ESG</v>
      </c>
    </row>
    <row r="27" spans="1:9" x14ac:dyDescent="0.35">
      <c r="A27" s="36" t="s">
        <v>1936</v>
      </c>
      <c r="B27" s="36" t="s">
        <v>1937</v>
      </c>
      <c r="C27" s="59">
        <v>22</v>
      </c>
      <c r="D27" s="59">
        <v>22</v>
      </c>
      <c r="E27" s="59">
        <v>22</v>
      </c>
      <c r="F27" s="59">
        <v>21</v>
      </c>
      <c r="G27" s="59">
        <v>21</v>
      </c>
      <c r="H27" t="str">
        <f>VLOOKUP(A27,UniqueCCOQueueCodes!$A$1:$T$607,6,0)</f>
        <v>Y</v>
      </c>
      <c r="I27" t="str">
        <f>VLOOKUP(A27,UniqueCCOQueueCodes!$A$1:$T$607,20,0)</f>
        <v>ESG</v>
      </c>
    </row>
    <row r="28" spans="1:9" x14ac:dyDescent="0.35">
      <c r="A28" s="36" t="s">
        <v>1942</v>
      </c>
      <c r="B28" s="36" t="s">
        <v>1943</v>
      </c>
      <c r="C28" s="59">
        <v>23</v>
      </c>
      <c r="D28" s="59">
        <v>23</v>
      </c>
      <c r="E28" s="59">
        <v>23</v>
      </c>
      <c r="F28" s="59">
        <v>23</v>
      </c>
      <c r="G28" s="59">
        <v>23</v>
      </c>
      <c r="H28" t="str">
        <f>VLOOKUP(A28,UniqueCCOQueueCodes!$A$1:$T$607,6,0)</f>
        <v>Y</v>
      </c>
      <c r="I28" t="str">
        <f>VLOOKUP(A28,UniqueCCOQueueCodes!$A$1:$T$607,20,0)</f>
        <v>ESG</v>
      </c>
    </row>
    <row r="29" spans="1:9" x14ac:dyDescent="0.35">
      <c r="A29" s="36" t="s">
        <v>1940</v>
      </c>
      <c r="B29" s="36" t="s">
        <v>1941</v>
      </c>
      <c r="C29" s="59">
        <v>16</v>
      </c>
      <c r="D29" s="59">
        <v>16</v>
      </c>
      <c r="E29" s="59">
        <v>15</v>
      </c>
      <c r="F29" s="59">
        <v>15</v>
      </c>
      <c r="G29" s="59">
        <v>15</v>
      </c>
      <c r="H29" t="str">
        <f>VLOOKUP(A29,UniqueCCOQueueCodes!$A$1:$T$607,6,0)</f>
        <v>Y</v>
      </c>
      <c r="I29" t="str">
        <f>VLOOKUP(A29,UniqueCCOQueueCodes!$A$1:$T$607,20,0)</f>
        <v>ESG</v>
      </c>
    </row>
    <row r="30" spans="1:9" x14ac:dyDescent="0.35">
      <c r="A30" s="36" t="s">
        <v>453</v>
      </c>
      <c r="B30" s="36" t="s">
        <v>454</v>
      </c>
      <c r="C30" s="59">
        <v>14</v>
      </c>
      <c r="D30" s="59">
        <v>14</v>
      </c>
      <c r="E30" s="59">
        <v>14</v>
      </c>
      <c r="F30" s="59">
        <v>14</v>
      </c>
      <c r="G30" s="59">
        <v>14</v>
      </c>
      <c r="H30" t="str">
        <f>VLOOKUP(A30,UniqueCCOQueueCodes!$A$1:$T$607,6,0)</f>
        <v>Y</v>
      </c>
      <c r="I30" t="str">
        <f>VLOOKUP(A30,UniqueCCOQueueCodes!$A$1:$T$607,20,0)</f>
        <v>ESG</v>
      </c>
    </row>
    <row r="31" spans="1:9" x14ac:dyDescent="0.35">
      <c r="A31" s="36" t="s">
        <v>273</v>
      </c>
      <c r="B31" s="36" t="s">
        <v>1860</v>
      </c>
      <c r="C31" s="59">
        <v>8</v>
      </c>
      <c r="D31" s="59">
        <v>8</v>
      </c>
      <c r="E31" s="59">
        <v>8</v>
      </c>
      <c r="F31" s="59">
        <v>8</v>
      </c>
      <c r="G31" s="59">
        <v>8</v>
      </c>
      <c r="H31" t="str">
        <f>VLOOKUP(A31,UniqueCCOQueueCodes!$A$1:$T$607,6,0)</f>
        <v>Y</v>
      </c>
      <c r="I31" t="str">
        <f>VLOOKUP(A31,UniqueCCOQueueCodes!$A$1:$T$607,20,0)</f>
        <v>ESG</v>
      </c>
    </row>
    <row r="32" spans="1:9" x14ac:dyDescent="0.35">
      <c r="A32" s="36" t="s">
        <v>178</v>
      </c>
      <c r="B32" s="36" t="s">
        <v>179</v>
      </c>
      <c r="C32" s="59">
        <v>14</v>
      </c>
      <c r="D32" s="59">
        <v>14</v>
      </c>
      <c r="E32" s="59">
        <v>14</v>
      </c>
      <c r="F32" s="59">
        <v>14</v>
      </c>
      <c r="G32" s="59">
        <v>14</v>
      </c>
      <c r="H32" t="str">
        <f>VLOOKUP(A32,UniqueCCOQueueCodes!$A$1:$T$607,6,0)</f>
        <v>Y</v>
      </c>
      <c r="I32" t="str">
        <f>VLOOKUP(A32,UniqueCCOQueueCodes!$A$1:$T$607,20,0)</f>
        <v>HES</v>
      </c>
    </row>
    <row r="33" spans="1:9" x14ac:dyDescent="0.35">
      <c r="A33" s="36" t="s">
        <v>1877</v>
      </c>
      <c r="B33" s="36" t="s">
        <v>1878</v>
      </c>
      <c r="C33" s="59">
        <v>26</v>
      </c>
      <c r="D33" s="59">
        <v>26</v>
      </c>
      <c r="E33" s="59">
        <v>26</v>
      </c>
      <c r="F33" s="59">
        <v>26</v>
      </c>
      <c r="G33" s="59">
        <v>27</v>
      </c>
      <c r="H33" t="str">
        <f>VLOOKUP(A33,UniqueCCOQueueCodes!$A$1:$T$607,6,0)</f>
        <v>Y</v>
      </c>
      <c r="I33" t="str">
        <f>VLOOKUP(A33,UniqueCCOQueueCodes!$A$1:$T$607,20,0)</f>
        <v>ESG</v>
      </c>
    </row>
    <row r="34" spans="1:9" x14ac:dyDescent="0.35">
      <c r="A34" s="36" t="s">
        <v>945</v>
      </c>
      <c r="B34" s="36" t="s">
        <v>946</v>
      </c>
      <c r="C34" s="59">
        <v>1</v>
      </c>
      <c r="D34" s="59">
        <v>1</v>
      </c>
      <c r="E34" s="59">
        <v>1</v>
      </c>
      <c r="F34" s="59">
        <v>1</v>
      </c>
      <c r="G34" s="59"/>
      <c r="H34" t="str">
        <f>VLOOKUP(A34,UniqueCCOQueueCodes!$A$1:$T$607,6,0)</f>
        <v>Y</v>
      </c>
      <c r="I34" t="str">
        <f>VLOOKUP(A34,UniqueCCOQueueCodes!$A$1:$T$607,20,0)</f>
        <v>Not Planned</v>
      </c>
    </row>
    <row r="35" spans="1:9" x14ac:dyDescent="0.35">
      <c r="A35" s="36" t="s">
        <v>463</v>
      </c>
      <c r="B35" s="36" t="s">
        <v>1861</v>
      </c>
      <c r="C35" s="59">
        <v>12</v>
      </c>
      <c r="D35" s="59">
        <v>12</v>
      </c>
      <c r="E35" s="59">
        <v>12</v>
      </c>
      <c r="F35" s="59">
        <v>12</v>
      </c>
      <c r="G35" s="59"/>
      <c r="H35" t="str">
        <f>VLOOKUP(A35,UniqueCCOQueueCodes!$A$1:$T$607,6,0)</f>
        <v>Y</v>
      </c>
      <c r="I35" t="str">
        <f>VLOOKUP(A35,UniqueCCOQueueCodes!$A$1:$T$607,20,0)</f>
        <v>ESG</v>
      </c>
    </row>
    <row r="36" spans="1:9" x14ac:dyDescent="0.35">
      <c r="A36" s="36" t="s">
        <v>469</v>
      </c>
      <c r="B36" s="36" t="s">
        <v>1863</v>
      </c>
      <c r="C36" s="59">
        <v>8</v>
      </c>
      <c r="D36" s="59">
        <v>8</v>
      </c>
      <c r="E36" s="59">
        <v>8</v>
      </c>
      <c r="F36" s="59">
        <v>8</v>
      </c>
      <c r="G36" s="59"/>
      <c r="H36" t="str">
        <f>VLOOKUP(A36,UniqueCCOQueueCodes!$A$1:$T$607,6,0)</f>
        <v>Y</v>
      </c>
      <c r="I36" t="str">
        <f>VLOOKUP(A36,UniqueCCOQueueCodes!$A$1:$T$607,20,0)</f>
        <v>ESG</v>
      </c>
    </row>
    <row r="37" spans="1:9" hidden="1" x14ac:dyDescent="0.35">
      <c r="A37" s="36" t="s">
        <v>2246</v>
      </c>
      <c r="B37" s="36" t="s">
        <v>2246</v>
      </c>
      <c r="C37" s="59">
        <v>9</v>
      </c>
      <c r="D37" s="59">
        <v>9</v>
      </c>
      <c r="E37" s="59">
        <v>9</v>
      </c>
      <c r="F37" s="59">
        <v>9</v>
      </c>
      <c r="G37" s="59">
        <v>9</v>
      </c>
      <c r="H37" t="e">
        <f>VLOOKUP(A37,UniqueCCOQueueCodes!$A$1:$T$607,6,0)</f>
        <v>#N/A</v>
      </c>
      <c r="I37" t="e">
        <f>VLOOKUP(A37,UniqueCCOQueueCodes!$A$1:$T$607,20,0)</f>
        <v>#N/A</v>
      </c>
    </row>
    <row r="38" spans="1:9" hidden="1" x14ac:dyDescent="0.35">
      <c r="A38" s="36" t="s">
        <v>963</v>
      </c>
      <c r="B38" s="36" t="s">
        <v>964</v>
      </c>
      <c r="C38" s="59">
        <v>0</v>
      </c>
      <c r="D38" s="59">
        <v>0</v>
      </c>
      <c r="E38" s="59">
        <v>0</v>
      </c>
      <c r="F38" s="59">
        <v>0</v>
      </c>
      <c r="G38" s="59">
        <v>0</v>
      </c>
      <c r="H38" t="str">
        <f>VLOOKUP(A38,UniqueCCOQueueCodes!$A$1:$T$607,6,0)</f>
        <v>N</v>
      </c>
      <c r="I38" t="str">
        <f>VLOOKUP(A38,UniqueCCOQueueCodes!$A$1:$T$607,20,0)</f>
        <v>Not Planned</v>
      </c>
    </row>
    <row r="39" spans="1:9" x14ac:dyDescent="0.35">
      <c r="A39" s="36" t="s">
        <v>154</v>
      </c>
      <c r="B39" s="36" t="s">
        <v>155</v>
      </c>
      <c r="C39" s="59">
        <v>32</v>
      </c>
      <c r="D39" s="59">
        <v>31</v>
      </c>
      <c r="E39" s="59">
        <v>31</v>
      </c>
      <c r="F39" s="59">
        <v>31</v>
      </c>
      <c r="G39" s="59">
        <v>31</v>
      </c>
      <c r="H39" t="str">
        <f>VLOOKUP(A39,UniqueCCOQueueCodes!$A$1:$T$607,6,0)</f>
        <v>Y</v>
      </c>
      <c r="I39" t="str">
        <f>VLOOKUP(A39,UniqueCCOQueueCodes!$A$1:$T$607,20,0)</f>
        <v>Custom Model</v>
      </c>
    </row>
    <row r="40" spans="1:9" x14ac:dyDescent="0.35">
      <c r="A40" s="36" t="s">
        <v>303</v>
      </c>
      <c r="B40" s="36" t="s">
        <v>304</v>
      </c>
      <c r="C40" s="59">
        <v>2</v>
      </c>
      <c r="D40" s="59">
        <v>2</v>
      </c>
      <c r="E40" s="59">
        <v>2</v>
      </c>
      <c r="F40" s="59">
        <v>2</v>
      </c>
      <c r="G40" s="59">
        <v>2</v>
      </c>
      <c r="H40" t="str">
        <f>VLOOKUP(A40,UniqueCCOQueueCodes!$A$1:$T$607,6,0)</f>
        <v>Y</v>
      </c>
      <c r="I40" t="str">
        <f>VLOOKUP(A40,UniqueCCOQueueCodes!$A$1:$T$607,20,0)</f>
        <v>Not Planned</v>
      </c>
    </row>
    <row r="41" spans="1:9" hidden="1" x14ac:dyDescent="0.35">
      <c r="A41" s="36" t="s">
        <v>974</v>
      </c>
      <c r="B41" s="36" t="s">
        <v>975</v>
      </c>
      <c r="C41" s="59">
        <v>134.8134</v>
      </c>
      <c r="D41" s="59">
        <v>134.8134</v>
      </c>
      <c r="E41" s="59">
        <v>134.8134</v>
      </c>
      <c r="F41" s="59">
        <v>134.8134</v>
      </c>
      <c r="G41" s="59">
        <v>134.8134</v>
      </c>
      <c r="H41" t="str">
        <f>VLOOKUP(A41,UniqueCCOQueueCodes!$A$1:$T$607,6,0)</f>
        <v>N</v>
      </c>
      <c r="I41" t="str">
        <f>VLOOKUP(A41,UniqueCCOQueueCodes!$A$1:$T$607,20,0)</f>
        <v>Not Planned</v>
      </c>
    </row>
    <row r="42" spans="1:9" x14ac:dyDescent="0.35">
      <c r="A42" s="36" t="s">
        <v>471</v>
      </c>
      <c r="B42" s="36" t="s">
        <v>472</v>
      </c>
      <c r="C42" s="59">
        <v>102</v>
      </c>
      <c r="D42" s="59">
        <v>101</v>
      </c>
      <c r="E42" s="59">
        <v>101</v>
      </c>
      <c r="F42" s="59">
        <v>100</v>
      </c>
      <c r="G42" s="59">
        <v>91</v>
      </c>
      <c r="H42" t="str">
        <f>VLOOKUP(A42,UniqueCCOQueueCodes!$A$1:$T$607,6,0)</f>
        <v>Y</v>
      </c>
      <c r="I42" t="str">
        <f>VLOOKUP(A42,UniqueCCOQueueCodes!$A$1:$T$607,20,0)</f>
        <v>HES</v>
      </c>
    </row>
    <row r="43" spans="1:9" x14ac:dyDescent="0.35">
      <c r="A43" s="36" t="s">
        <v>234</v>
      </c>
      <c r="B43" s="36" t="s">
        <v>2087</v>
      </c>
      <c r="C43" s="59">
        <v>108.8</v>
      </c>
      <c r="D43" s="59">
        <v>108.8</v>
      </c>
      <c r="E43" s="59">
        <v>108.8</v>
      </c>
      <c r="F43" s="59">
        <v>108.8</v>
      </c>
      <c r="G43" s="59">
        <v>107.8</v>
      </c>
      <c r="H43" t="str">
        <f>VLOOKUP(A43,UniqueCCOQueueCodes!$A$1:$T$607,6,0)</f>
        <v>Y</v>
      </c>
      <c r="I43" t="str">
        <f>VLOOKUP(A43,UniqueCCOQueueCodes!$A$1:$T$607,20,0)</f>
        <v>HES</v>
      </c>
    </row>
    <row r="44" spans="1:9" x14ac:dyDescent="0.35">
      <c r="A44" s="36" t="s">
        <v>277</v>
      </c>
      <c r="B44" s="36" t="s">
        <v>278</v>
      </c>
      <c r="C44" s="59">
        <v>68</v>
      </c>
      <c r="D44" s="59">
        <v>68</v>
      </c>
      <c r="E44" s="59">
        <v>68</v>
      </c>
      <c r="F44" s="59">
        <v>68</v>
      </c>
      <c r="G44" s="59">
        <v>65</v>
      </c>
      <c r="H44" t="str">
        <f>VLOOKUP(A44,UniqueCCOQueueCodes!$A$1:$T$607,6,0)</f>
        <v>Y</v>
      </c>
      <c r="I44" t="str">
        <f>VLOOKUP(A44,UniqueCCOQueueCodes!$A$1:$T$607,20,0)</f>
        <v>HES</v>
      </c>
    </row>
    <row r="45" spans="1:9" x14ac:dyDescent="0.35">
      <c r="A45" s="36" t="s">
        <v>866</v>
      </c>
      <c r="B45" s="36" t="s">
        <v>867</v>
      </c>
      <c r="C45" s="59">
        <v>10</v>
      </c>
      <c r="D45" s="59">
        <v>10</v>
      </c>
      <c r="E45" s="59">
        <v>10</v>
      </c>
      <c r="F45" s="59">
        <v>10</v>
      </c>
      <c r="G45" s="59">
        <v>10</v>
      </c>
      <c r="H45" t="str">
        <f>VLOOKUP(A45,UniqueCCOQueueCodes!$A$1:$T$607,6,0)</f>
        <v>Y</v>
      </c>
      <c r="I45" t="str">
        <f>VLOOKUP(A45,UniqueCCOQueueCodes!$A$1:$T$607,20,0)</f>
        <v>Custom Model</v>
      </c>
    </row>
    <row r="46" spans="1:9" x14ac:dyDescent="0.35">
      <c r="A46" s="36" t="s">
        <v>437</v>
      </c>
      <c r="B46" s="36" t="s">
        <v>438</v>
      </c>
      <c r="C46" s="59">
        <v>182</v>
      </c>
      <c r="D46" s="59">
        <v>182</v>
      </c>
      <c r="E46" s="59">
        <v>182</v>
      </c>
      <c r="F46" s="59">
        <v>181</v>
      </c>
      <c r="G46" s="59">
        <v>181</v>
      </c>
      <c r="H46" t="str">
        <f>VLOOKUP(A46,UniqueCCOQueueCodes!$A$1:$T$607,6,0)</f>
        <v>Y</v>
      </c>
      <c r="I46" t="str">
        <f>VLOOKUP(A46,UniqueCCOQueueCodes!$A$1:$T$607,20,0)</f>
        <v>HES</v>
      </c>
    </row>
    <row r="47" spans="1:9" hidden="1" x14ac:dyDescent="0.35">
      <c r="A47" s="36" t="s">
        <v>986</v>
      </c>
      <c r="B47" s="36" t="s">
        <v>987</v>
      </c>
      <c r="C47" s="59">
        <v>41</v>
      </c>
      <c r="D47" s="59">
        <v>41</v>
      </c>
      <c r="E47" s="59">
        <v>41</v>
      </c>
      <c r="F47" s="59">
        <v>41</v>
      </c>
      <c r="G47" s="59">
        <v>41</v>
      </c>
      <c r="H47" t="str">
        <f>VLOOKUP(A47,UniqueCCOQueueCodes!$A$1:$T$607,6,0)</f>
        <v>N</v>
      </c>
      <c r="I47" t="str">
        <f>VLOOKUP(A47,UniqueCCOQueueCodes!$A$1:$T$607,20,0)</f>
        <v>Not Planned</v>
      </c>
    </row>
    <row r="48" spans="1:9" x14ac:dyDescent="0.35">
      <c r="A48" s="36" t="s">
        <v>475</v>
      </c>
      <c r="B48" s="36" t="s">
        <v>1864</v>
      </c>
      <c r="C48" s="59">
        <v>10</v>
      </c>
      <c r="D48" s="59">
        <v>10</v>
      </c>
      <c r="E48" s="59">
        <v>10</v>
      </c>
      <c r="F48" s="59">
        <v>9</v>
      </c>
      <c r="G48" s="59">
        <v>9</v>
      </c>
      <c r="H48" t="str">
        <f>VLOOKUP(A48,UniqueCCOQueueCodes!$A$1:$T$607,6,0)</f>
        <v>Y</v>
      </c>
      <c r="I48" t="str">
        <f>VLOOKUP(A48,UniqueCCOQueueCodes!$A$1:$T$607,20,0)</f>
        <v>ESG</v>
      </c>
    </row>
    <row r="49" spans="1:9" x14ac:dyDescent="0.35">
      <c r="A49" s="36" t="s">
        <v>279</v>
      </c>
      <c r="B49" s="36" t="s">
        <v>280</v>
      </c>
      <c r="C49" s="59">
        <v>7</v>
      </c>
      <c r="D49" s="59">
        <v>7</v>
      </c>
      <c r="E49" s="59">
        <v>7</v>
      </c>
      <c r="F49" s="59">
        <v>7</v>
      </c>
      <c r="G49" s="59">
        <v>7</v>
      </c>
      <c r="H49" t="str">
        <f>VLOOKUP(A49,UniqueCCOQueueCodes!$A$1:$T$607,6,0)</f>
        <v>Y</v>
      </c>
      <c r="I49" t="str">
        <f>VLOOKUP(A49,UniqueCCOQueueCodes!$A$1:$T$607,20,0)</f>
        <v>ESG</v>
      </c>
    </row>
    <row r="50" spans="1:9" x14ac:dyDescent="0.35">
      <c r="A50" s="36" t="s">
        <v>622</v>
      </c>
      <c r="B50" s="36" t="s">
        <v>623</v>
      </c>
      <c r="C50" s="59">
        <v>16</v>
      </c>
      <c r="D50" s="59">
        <v>16</v>
      </c>
      <c r="E50" s="59">
        <v>16</v>
      </c>
      <c r="F50" s="59">
        <v>14</v>
      </c>
      <c r="G50" s="59">
        <v>14</v>
      </c>
      <c r="H50" t="str">
        <f>VLOOKUP(A50,UniqueCCOQueueCodes!$A$1:$T$607,6,0)</f>
        <v>Y</v>
      </c>
      <c r="I50" t="str">
        <f>VLOOKUP(A50,UniqueCCOQueueCodes!$A$1:$T$607,20,0)</f>
        <v>ESG</v>
      </c>
    </row>
    <row r="51" spans="1:9" x14ac:dyDescent="0.35">
      <c r="A51" s="36" t="s">
        <v>1887</v>
      </c>
      <c r="B51" s="36" t="s">
        <v>1888</v>
      </c>
      <c r="C51" s="59">
        <v>48.25</v>
      </c>
      <c r="D51" s="59">
        <v>48.25</v>
      </c>
      <c r="E51" s="59">
        <v>48.25</v>
      </c>
      <c r="F51" s="59">
        <v>48.25</v>
      </c>
      <c r="G51" s="59">
        <v>48.25</v>
      </c>
      <c r="H51" t="str">
        <f>VLOOKUP(A51,UniqueCCOQueueCodes!$A$1:$T$607,6,0)</f>
        <v>Y</v>
      </c>
      <c r="I51" t="str">
        <f>VLOOKUP(A51,UniqueCCOQueueCodes!$A$1:$T$607,20,0)</f>
        <v>ESG</v>
      </c>
    </row>
    <row r="52" spans="1:9" x14ac:dyDescent="0.35">
      <c r="A52" s="36" t="s">
        <v>489</v>
      </c>
      <c r="B52" s="36" t="s">
        <v>490</v>
      </c>
      <c r="C52" s="59">
        <v>4</v>
      </c>
      <c r="D52" s="59">
        <v>4</v>
      </c>
      <c r="E52" s="59">
        <v>4</v>
      </c>
      <c r="F52" s="59">
        <v>4</v>
      </c>
      <c r="G52" s="59">
        <v>4</v>
      </c>
      <c r="H52" t="str">
        <f>VLOOKUP(A52,UniqueCCOQueueCodes!$A$1:$T$607,6,0)</f>
        <v>Y</v>
      </c>
      <c r="I52" t="str">
        <f>VLOOKUP(A52,UniqueCCOQueueCodes!$A$1:$T$607,20,0)</f>
        <v>ESG</v>
      </c>
    </row>
    <row r="53" spans="1:9" x14ac:dyDescent="0.35">
      <c r="A53" s="36" t="s">
        <v>495</v>
      </c>
      <c r="B53" s="36" t="s">
        <v>496</v>
      </c>
      <c r="C53" s="59">
        <v>12</v>
      </c>
      <c r="D53" s="59">
        <v>12</v>
      </c>
      <c r="E53" s="59">
        <v>12</v>
      </c>
      <c r="F53" s="59">
        <v>12</v>
      </c>
      <c r="G53" s="59">
        <v>12</v>
      </c>
      <c r="H53" t="str">
        <f>VLOOKUP(A53,UniqueCCOQueueCodes!$A$1:$T$607,6,0)</f>
        <v>Y</v>
      </c>
      <c r="I53" t="str">
        <f>VLOOKUP(A53,UniqueCCOQueueCodes!$A$1:$T$607,20,0)</f>
        <v>ESG</v>
      </c>
    </row>
    <row r="54" spans="1:9" x14ac:dyDescent="0.35">
      <c r="A54" s="36" t="s">
        <v>503</v>
      </c>
      <c r="B54" s="36" t="s">
        <v>504</v>
      </c>
      <c r="C54" s="59">
        <v>7</v>
      </c>
      <c r="D54" s="59">
        <v>7</v>
      </c>
      <c r="E54" s="59">
        <v>7</v>
      </c>
      <c r="F54" s="59">
        <v>7</v>
      </c>
      <c r="G54" s="59">
        <v>7</v>
      </c>
      <c r="H54" t="str">
        <f>VLOOKUP(A54,UniqueCCOQueueCodes!$A$1:$T$607,6,0)</f>
        <v>Y</v>
      </c>
      <c r="I54" t="str">
        <f>VLOOKUP(A54,UniqueCCOQueueCodes!$A$1:$T$607,20,0)</f>
        <v>ESG</v>
      </c>
    </row>
    <row r="55" spans="1:9" x14ac:dyDescent="0.35">
      <c r="A55" s="36" t="s">
        <v>281</v>
      </c>
      <c r="B55" s="36" t="s">
        <v>282</v>
      </c>
      <c r="C55" s="59">
        <v>6</v>
      </c>
      <c r="D55" s="59">
        <v>6</v>
      </c>
      <c r="E55" s="59">
        <v>6</v>
      </c>
      <c r="F55" s="59">
        <v>6</v>
      </c>
      <c r="G55" s="59">
        <v>6</v>
      </c>
      <c r="H55" t="str">
        <f>VLOOKUP(A55,UniqueCCOQueueCodes!$A$1:$T$607,6,0)</f>
        <v>Y</v>
      </c>
      <c r="I55" t="str">
        <f>VLOOKUP(A55,UniqueCCOQueueCodes!$A$1:$T$607,20,0)</f>
        <v>ESG</v>
      </c>
    </row>
    <row r="56" spans="1:9" x14ac:dyDescent="0.35">
      <c r="A56" s="36" t="s">
        <v>632</v>
      </c>
      <c r="B56" s="36" t="s">
        <v>633</v>
      </c>
      <c r="C56" s="59">
        <v>15</v>
      </c>
      <c r="D56" s="59">
        <v>15</v>
      </c>
      <c r="E56" s="59">
        <v>15</v>
      </c>
      <c r="F56" s="59">
        <v>15</v>
      </c>
      <c r="G56" s="59">
        <v>15</v>
      </c>
      <c r="H56" t="str">
        <f>VLOOKUP(A56,UniqueCCOQueueCodes!$A$1:$T$607,6,0)</f>
        <v>Y</v>
      </c>
      <c r="I56" t="str">
        <f>VLOOKUP(A56,UniqueCCOQueueCodes!$A$1:$T$607,20,0)</f>
        <v>ESG</v>
      </c>
    </row>
    <row r="57" spans="1:9" hidden="1" x14ac:dyDescent="0.35">
      <c r="A57" s="36" t="s">
        <v>1038</v>
      </c>
      <c r="B57" s="36" t="s">
        <v>1039</v>
      </c>
      <c r="C57" s="59">
        <v>2</v>
      </c>
      <c r="D57" s="59">
        <v>2</v>
      </c>
      <c r="E57" s="59">
        <v>2</v>
      </c>
      <c r="F57" s="59">
        <v>2</v>
      </c>
      <c r="G57" s="59">
        <v>2</v>
      </c>
      <c r="H57" t="str">
        <f>VLOOKUP(A57,UniqueCCOQueueCodes!$A$1:$T$607,6,0)</f>
        <v>N</v>
      </c>
      <c r="I57" t="str">
        <f>VLOOKUP(A57,UniqueCCOQueueCodes!$A$1:$T$607,20,0)</f>
        <v>Not Planned</v>
      </c>
    </row>
    <row r="58" spans="1:9" hidden="1" x14ac:dyDescent="0.35">
      <c r="A58" s="36" t="s">
        <v>1040</v>
      </c>
      <c r="B58" s="36" t="s">
        <v>1041</v>
      </c>
      <c r="C58" s="59">
        <v>8</v>
      </c>
      <c r="D58" s="59">
        <v>8</v>
      </c>
      <c r="E58" s="59">
        <v>8</v>
      </c>
      <c r="F58" s="59">
        <v>8</v>
      </c>
      <c r="G58" s="59">
        <v>8</v>
      </c>
      <c r="H58" t="str">
        <f>VLOOKUP(A58,UniqueCCOQueueCodes!$A$1:$T$607,6,0)</f>
        <v>N</v>
      </c>
      <c r="I58" t="str">
        <f>VLOOKUP(A58,UniqueCCOQueueCodes!$A$1:$T$607,20,0)</f>
        <v>Not Planned</v>
      </c>
    </row>
    <row r="59" spans="1:9" hidden="1" x14ac:dyDescent="0.35">
      <c r="A59" s="36" t="s">
        <v>1042</v>
      </c>
      <c r="B59" s="36" t="s">
        <v>1043</v>
      </c>
      <c r="C59" s="59">
        <v>2</v>
      </c>
      <c r="D59" s="59">
        <v>2</v>
      </c>
      <c r="E59" s="59">
        <v>2</v>
      </c>
      <c r="F59" s="59">
        <v>2</v>
      </c>
      <c r="G59" s="59">
        <v>2</v>
      </c>
      <c r="H59" t="str">
        <f>VLOOKUP(A59,UniqueCCOQueueCodes!$A$1:$T$607,6,0)</f>
        <v>N</v>
      </c>
      <c r="I59" t="str">
        <f>VLOOKUP(A59,UniqueCCOQueueCodes!$A$1:$T$607,20,0)</f>
        <v>Not Planned</v>
      </c>
    </row>
    <row r="60" spans="1:9" x14ac:dyDescent="0.35">
      <c r="A60" s="36" t="s">
        <v>1930</v>
      </c>
      <c r="B60" s="36" t="s">
        <v>1934</v>
      </c>
      <c r="C60" s="59">
        <v>183.8</v>
      </c>
      <c r="D60" s="59">
        <v>183.8</v>
      </c>
      <c r="E60" s="59">
        <v>183.8</v>
      </c>
      <c r="F60" s="59">
        <v>180.8</v>
      </c>
      <c r="G60" s="59">
        <v>178.8</v>
      </c>
      <c r="H60" t="str">
        <f>VLOOKUP(A60,UniqueCCOQueueCodes!$A$1:$T$607,6,0)</f>
        <v>Y</v>
      </c>
      <c r="I60" t="str">
        <f>VLOOKUP(A60,UniqueCCOQueueCodes!$A$1:$T$607,20,0)</f>
        <v>HES</v>
      </c>
    </row>
    <row r="61" spans="1:9" x14ac:dyDescent="0.35">
      <c r="A61" s="36" t="s">
        <v>1929</v>
      </c>
      <c r="B61" s="36" t="s">
        <v>1933</v>
      </c>
      <c r="C61" s="59">
        <v>53</v>
      </c>
      <c r="D61" s="59">
        <v>52</v>
      </c>
      <c r="E61" s="59">
        <v>52</v>
      </c>
      <c r="F61" s="59">
        <v>54</v>
      </c>
      <c r="G61" s="59">
        <v>54</v>
      </c>
      <c r="H61" t="str">
        <f>VLOOKUP(A61,UniqueCCOQueueCodes!$A$1:$T$607,6,0)</f>
        <v>Y</v>
      </c>
      <c r="I61" t="str">
        <f>VLOOKUP(A61,UniqueCCOQueueCodes!$A$1:$T$607,20,0)</f>
        <v>HES</v>
      </c>
    </row>
    <row r="62" spans="1:9" x14ac:dyDescent="0.35">
      <c r="A62" s="36" t="s">
        <v>1928</v>
      </c>
      <c r="B62" s="36" t="s">
        <v>2247</v>
      </c>
      <c r="C62" s="59">
        <v>84</v>
      </c>
      <c r="D62" s="59">
        <v>84</v>
      </c>
      <c r="E62" s="59">
        <v>84</v>
      </c>
      <c r="F62" s="59">
        <v>84</v>
      </c>
      <c r="G62" s="59">
        <v>85</v>
      </c>
      <c r="H62" t="str">
        <f>VLOOKUP(A62,UniqueCCOQueueCodes!$A$1:$T$607,6,0)</f>
        <v>Y</v>
      </c>
      <c r="I62" t="str">
        <f>VLOOKUP(A62,UniqueCCOQueueCodes!$A$1:$T$607,20,0)</f>
        <v>Custom Model</v>
      </c>
    </row>
    <row r="63" spans="1:9" x14ac:dyDescent="0.35">
      <c r="A63" s="36" t="s">
        <v>1927</v>
      </c>
      <c r="B63" s="36" t="s">
        <v>1931</v>
      </c>
      <c r="C63" s="59">
        <v>53</v>
      </c>
      <c r="D63" s="59">
        <v>53</v>
      </c>
      <c r="E63" s="59">
        <v>53</v>
      </c>
      <c r="F63" s="59">
        <v>53</v>
      </c>
      <c r="G63" s="59">
        <v>53</v>
      </c>
      <c r="H63" t="str">
        <f>VLOOKUP(A63,UniqueCCOQueueCodes!$A$1:$T$607,6,0)</f>
        <v>Y</v>
      </c>
      <c r="I63" t="str">
        <f>VLOOKUP(A63,UniqueCCOQueueCodes!$A$1:$T$607,20,0)</f>
        <v>Custom Model</v>
      </c>
    </row>
    <row r="64" spans="1:9" x14ac:dyDescent="0.35">
      <c r="A64" s="36" t="s">
        <v>1951</v>
      </c>
      <c r="B64" s="36" t="s">
        <v>1952</v>
      </c>
      <c r="C64" s="59">
        <v>282.8</v>
      </c>
      <c r="D64" s="59">
        <v>282.8</v>
      </c>
      <c r="E64" s="59">
        <v>280.8</v>
      </c>
      <c r="F64" s="59">
        <v>278.8</v>
      </c>
      <c r="G64" s="59">
        <v>276.8</v>
      </c>
      <c r="H64" t="str">
        <f>VLOOKUP(A64,UniqueCCOQueueCodes!$A$1:$T$607,6,0)</f>
        <v>Y</v>
      </c>
      <c r="I64" t="str">
        <f>VLOOKUP(A64,UniqueCCOQueueCodes!$A$1:$T$607,20,0)</f>
        <v>ESG</v>
      </c>
    </row>
    <row r="65" spans="1:9" x14ac:dyDescent="0.35">
      <c r="A65" s="36" t="s">
        <v>2076</v>
      </c>
      <c r="B65" s="36" t="s">
        <v>2160</v>
      </c>
      <c r="C65" s="59">
        <v>37</v>
      </c>
      <c r="D65" s="59">
        <v>37</v>
      </c>
      <c r="E65" s="59">
        <v>37</v>
      </c>
      <c r="F65" s="59">
        <v>37</v>
      </c>
      <c r="G65" s="59">
        <v>37</v>
      </c>
      <c r="H65" t="str">
        <f>VLOOKUP(A65,UniqueCCOQueueCodes!$A$1:$T$607,6,0)</f>
        <v>Y</v>
      </c>
      <c r="I65" t="str">
        <f>VLOOKUP(A65,UniqueCCOQueueCodes!$A$1:$T$607,20,0)</f>
        <v>HES</v>
      </c>
    </row>
    <row r="66" spans="1:9" x14ac:dyDescent="0.35">
      <c r="A66" s="36" t="s">
        <v>2079</v>
      </c>
      <c r="B66" s="36" t="s">
        <v>2159</v>
      </c>
      <c r="C66" s="59">
        <v>87.594899999999996</v>
      </c>
      <c r="D66" s="59">
        <v>87.594899999999996</v>
      </c>
      <c r="E66" s="59">
        <v>87.594899999999996</v>
      </c>
      <c r="F66" s="59">
        <v>86.594899999999996</v>
      </c>
      <c r="G66" s="59">
        <v>85.594899999999996</v>
      </c>
      <c r="H66" t="str">
        <f>VLOOKUP(A66,UniqueCCOQueueCodes!$A$1:$T$607,6,0)</f>
        <v>Y</v>
      </c>
      <c r="I66" t="str">
        <f>VLOOKUP(A66,UniqueCCOQueueCodes!$A$1:$T$607,20,0)</f>
        <v>HES</v>
      </c>
    </row>
    <row r="67" spans="1:9" x14ac:dyDescent="0.35">
      <c r="A67" s="36" t="s">
        <v>2081</v>
      </c>
      <c r="B67" s="36" t="s">
        <v>2161</v>
      </c>
      <c r="C67" s="59">
        <v>26</v>
      </c>
      <c r="D67" s="59">
        <v>26</v>
      </c>
      <c r="E67" s="59">
        <v>26</v>
      </c>
      <c r="F67" s="59">
        <v>26</v>
      </c>
      <c r="G67" s="59">
        <v>26</v>
      </c>
      <c r="H67" t="str">
        <f>VLOOKUP(A67,UniqueCCOQueueCodes!$A$1:$T$607,6,0)</f>
        <v>Y</v>
      </c>
      <c r="I67" t="str">
        <f>VLOOKUP(A67,UniqueCCOQueueCodes!$A$1:$T$607,20,0)</f>
        <v>HES</v>
      </c>
    </row>
    <row r="68" spans="1:9" x14ac:dyDescent="0.35">
      <c r="A68" s="36" t="s">
        <v>2117</v>
      </c>
      <c r="B68" s="36" t="s">
        <v>2118</v>
      </c>
      <c r="C68" s="59">
        <v>22</v>
      </c>
      <c r="D68" s="59">
        <v>22</v>
      </c>
      <c r="E68" s="59">
        <v>22</v>
      </c>
      <c r="F68" s="59">
        <v>22</v>
      </c>
      <c r="G68" s="59">
        <v>21</v>
      </c>
      <c r="H68" t="str">
        <f>VLOOKUP(A68,UniqueCCOQueueCodes!$A$1:$T$607,6,0)</f>
        <v>Y</v>
      </c>
      <c r="I68" t="str">
        <f>VLOOKUP(A68,UniqueCCOQueueCodes!$A$1:$T$607,20,0)</f>
        <v>HES</v>
      </c>
    </row>
    <row r="69" spans="1:9" hidden="1" x14ac:dyDescent="0.35">
      <c r="A69" s="36" t="s">
        <v>1953</v>
      </c>
      <c r="B69" s="36" t="s">
        <v>1954</v>
      </c>
      <c r="C69" s="59">
        <v>7</v>
      </c>
      <c r="D69" s="59">
        <v>7</v>
      </c>
      <c r="E69" s="59">
        <v>7</v>
      </c>
      <c r="F69" s="59">
        <v>7</v>
      </c>
      <c r="G69" s="59">
        <v>7</v>
      </c>
      <c r="H69" t="str">
        <f>VLOOKUP(A69,UniqueCCOQueueCodes!$A$1:$T$607,6,0)</f>
        <v>N</v>
      </c>
      <c r="I69" t="str">
        <f>VLOOKUP(A69,UniqueCCOQueueCodes!$A$1:$T$607,20,0)</f>
        <v>Not Planned</v>
      </c>
    </row>
    <row r="70" spans="1:9" x14ac:dyDescent="0.35">
      <c r="A70" s="36" t="s">
        <v>48</v>
      </c>
      <c r="B70" s="36" t="s">
        <v>49</v>
      </c>
      <c r="C70" s="59">
        <v>31</v>
      </c>
      <c r="D70" s="59">
        <v>29</v>
      </c>
      <c r="E70" s="59">
        <v>29</v>
      </c>
      <c r="F70" s="59">
        <v>29</v>
      </c>
      <c r="G70" s="59">
        <v>28</v>
      </c>
      <c r="H70" t="str">
        <f>VLOOKUP(A70,UniqueCCOQueueCodes!$A$1:$T$607,6,0)</f>
        <v>Y</v>
      </c>
      <c r="I70" t="str">
        <f>VLOOKUP(A70,UniqueCCOQueueCodes!$A$1:$T$607,20,0)</f>
        <v>HES</v>
      </c>
    </row>
    <row r="71" spans="1:9" x14ac:dyDescent="0.35">
      <c r="A71" s="36" t="s">
        <v>74</v>
      </c>
      <c r="B71" s="36" t="s">
        <v>75</v>
      </c>
      <c r="C71" s="59">
        <v>44.8</v>
      </c>
      <c r="D71" s="59">
        <v>44.8</v>
      </c>
      <c r="E71" s="59">
        <v>44.8</v>
      </c>
      <c r="F71" s="59">
        <v>44.8</v>
      </c>
      <c r="G71" s="59">
        <v>42.8</v>
      </c>
      <c r="H71" t="str">
        <f>VLOOKUP(A71,UniqueCCOQueueCodes!$A$1:$T$607,6,0)</f>
        <v>Y</v>
      </c>
      <c r="I71" t="str">
        <f>VLOOKUP(A71,UniqueCCOQueueCodes!$A$1:$T$607,20,0)</f>
        <v>HES</v>
      </c>
    </row>
    <row r="72" spans="1:9" x14ac:dyDescent="0.35">
      <c r="A72" s="36" t="s">
        <v>93</v>
      </c>
      <c r="B72" s="36" t="s">
        <v>94</v>
      </c>
      <c r="C72" s="59">
        <v>4</v>
      </c>
      <c r="D72" s="59">
        <v>4</v>
      </c>
      <c r="E72" s="59">
        <v>4</v>
      </c>
      <c r="F72" s="59">
        <v>4</v>
      </c>
      <c r="G72" s="59">
        <v>3</v>
      </c>
      <c r="H72" t="str">
        <f>VLOOKUP(A72,UniqueCCOQueueCodes!$A$1:$T$607,6,0)</f>
        <v>Y</v>
      </c>
      <c r="I72" t="str">
        <f>VLOOKUP(A72,UniqueCCOQueueCodes!$A$1:$T$607,20,0)</f>
        <v>HES</v>
      </c>
    </row>
    <row r="73" spans="1:9" x14ac:dyDescent="0.35">
      <c r="A73" s="36" t="s">
        <v>105</v>
      </c>
      <c r="B73" s="36" t="s">
        <v>106</v>
      </c>
      <c r="C73" s="59">
        <v>20</v>
      </c>
      <c r="D73" s="59">
        <v>18</v>
      </c>
      <c r="E73" s="59">
        <v>18</v>
      </c>
      <c r="F73" s="59">
        <v>18</v>
      </c>
      <c r="G73" s="59">
        <v>18</v>
      </c>
      <c r="H73" t="str">
        <f>VLOOKUP(A73,UniqueCCOQueueCodes!$A$1:$T$607,6,0)</f>
        <v>Y</v>
      </c>
      <c r="I73" t="str">
        <f>VLOOKUP(A73,UniqueCCOQueueCodes!$A$1:$T$607,20,0)</f>
        <v>HES</v>
      </c>
    </row>
    <row r="74" spans="1:9" x14ac:dyDescent="0.35">
      <c r="A74" s="36" t="s">
        <v>680</v>
      </c>
      <c r="B74" s="36" t="s">
        <v>681</v>
      </c>
      <c r="C74" s="59">
        <v>89</v>
      </c>
      <c r="D74" s="59">
        <v>89</v>
      </c>
      <c r="E74" s="59">
        <v>89</v>
      </c>
      <c r="F74" s="59">
        <v>89</v>
      </c>
      <c r="G74" s="59">
        <v>85</v>
      </c>
      <c r="H74" t="str">
        <f>VLOOKUP(A74,UniqueCCOQueueCodes!$A$1:$T$607,6,0)</f>
        <v>Y</v>
      </c>
      <c r="I74" t="str">
        <f>VLOOKUP(A74,UniqueCCOQueueCodes!$A$1:$T$607,20,0)</f>
        <v>HES</v>
      </c>
    </row>
    <row r="75" spans="1:9" x14ac:dyDescent="0.35">
      <c r="A75" s="36" t="s">
        <v>112</v>
      </c>
      <c r="B75" s="36" t="s">
        <v>113</v>
      </c>
      <c r="C75" s="59">
        <v>1</v>
      </c>
      <c r="D75" s="59">
        <v>1</v>
      </c>
      <c r="E75" s="59">
        <v>1</v>
      </c>
      <c r="F75" s="59">
        <v>1</v>
      </c>
      <c r="G75" s="59">
        <v>1</v>
      </c>
      <c r="H75" t="str">
        <f>VLOOKUP(A75,UniqueCCOQueueCodes!$A$1:$T$607,6,0)</f>
        <v>Y</v>
      </c>
      <c r="I75" t="str">
        <f>VLOOKUP(A75,UniqueCCOQueueCodes!$A$1:$T$607,20,0)</f>
        <v>HES</v>
      </c>
    </row>
    <row r="76" spans="1:9" x14ac:dyDescent="0.35">
      <c r="A76" s="36" t="s">
        <v>703</v>
      </c>
      <c r="B76" s="36" t="s">
        <v>704</v>
      </c>
      <c r="C76" s="59">
        <v>82</v>
      </c>
      <c r="D76" s="59">
        <v>82</v>
      </c>
      <c r="E76" s="59">
        <v>82</v>
      </c>
      <c r="F76" s="59">
        <v>82</v>
      </c>
      <c r="G76" s="59">
        <v>79</v>
      </c>
      <c r="H76" t="str">
        <f>VLOOKUP(A76,UniqueCCOQueueCodes!$A$1:$T$607,6,0)</f>
        <v>Y</v>
      </c>
      <c r="I76" t="str">
        <f>VLOOKUP(A76,UniqueCCOQueueCodes!$A$1:$T$607,20,0)</f>
        <v>HES</v>
      </c>
    </row>
    <row r="77" spans="1:9" x14ac:dyDescent="0.35">
      <c r="A77" s="36" t="s">
        <v>131</v>
      </c>
      <c r="B77" s="36" t="s">
        <v>132</v>
      </c>
      <c r="C77" s="59">
        <v>120</v>
      </c>
      <c r="D77" s="59">
        <v>122</v>
      </c>
      <c r="E77" s="59">
        <v>122</v>
      </c>
      <c r="F77" s="59">
        <v>122</v>
      </c>
      <c r="G77" s="59">
        <v>114</v>
      </c>
      <c r="H77" t="str">
        <f>VLOOKUP(A77,UniqueCCOQueueCodes!$A$1:$T$607,6,0)</f>
        <v>Y</v>
      </c>
      <c r="I77" t="str">
        <f>VLOOKUP(A77,UniqueCCOQueueCodes!$A$1:$T$607,20,0)</f>
        <v>HES</v>
      </c>
    </row>
    <row r="78" spans="1:9" x14ac:dyDescent="0.35">
      <c r="A78" s="36" t="s">
        <v>138</v>
      </c>
      <c r="B78" s="36" t="s">
        <v>139</v>
      </c>
      <c r="C78" s="59">
        <v>23</v>
      </c>
      <c r="D78" s="59">
        <v>22</v>
      </c>
      <c r="E78" s="59">
        <v>22</v>
      </c>
      <c r="F78" s="59">
        <v>22</v>
      </c>
      <c r="G78" s="59">
        <v>22</v>
      </c>
      <c r="H78" t="str">
        <f>VLOOKUP(A78,UniqueCCOQueueCodes!$A$1:$T$607,6,0)</f>
        <v>Y</v>
      </c>
      <c r="I78" t="str">
        <f>VLOOKUP(A78,UniqueCCOQueueCodes!$A$1:$T$607,20,0)</f>
        <v>HES</v>
      </c>
    </row>
    <row r="79" spans="1:9" x14ac:dyDescent="0.35">
      <c r="A79" s="60" t="s">
        <v>308</v>
      </c>
      <c r="B79" s="36" t="s">
        <v>2088</v>
      </c>
      <c r="C79" s="59">
        <v>22</v>
      </c>
      <c r="D79" s="59">
        <v>22</v>
      </c>
      <c r="E79" s="59">
        <v>22</v>
      </c>
      <c r="F79" s="59">
        <v>22</v>
      </c>
      <c r="G79" s="59">
        <v>22</v>
      </c>
      <c r="H79" t="str">
        <f>VLOOKUP(A79,UniqueCCOQueueCodes!$A$1:$T$607,6,0)</f>
        <v>Y</v>
      </c>
      <c r="I79" t="str">
        <f>VLOOKUP(A79,UniqueCCOQueueCodes!$A$1:$T$607,20,0)</f>
        <v>HES</v>
      </c>
    </row>
    <row r="80" spans="1:9" x14ac:dyDescent="0.35">
      <c r="A80" s="36" t="s">
        <v>326</v>
      </c>
      <c r="B80" s="36" t="s">
        <v>2089</v>
      </c>
      <c r="C80" s="59">
        <v>14</v>
      </c>
      <c r="D80" s="59">
        <v>14</v>
      </c>
      <c r="E80" s="59">
        <v>14</v>
      </c>
      <c r="F80" s="59">
        <v>14</v>
      </c>
      <c r="G80" s="59">
        <v>14</v>
      </c>
      <c r="H80" t="str">
        <f>VLOOKUP(A80,UniqueCCOQueueCodes!$A$1:$T$607,6,0)</f>
        <v>Y</v>
      </c>
      <c r="I80" t="str">
        <f>VLOOKUP(A80,UniqueCCOQueueCodes!$A$1:$T$607,20,0)</f>
        <v>HES</v>
      </c>
    </row>
    <row r="81" spans="1:9" x14ac:dyDescent="0.35">
      <c r="A81" s="36" t="s">
        <v>337</v>
      </c>
      <c r="B81" s="36" t="s">
        <v>338</v>
      </c>
      <c r="C81" s="59">
        <v>0</v>
      </c>
      <c r="D81" s="59">
        <v>0</v>
      </c>
      <c r="E81" s="59">
        <v>0</v>
      </c>
      <c r="F81" s="59">
        <v>0</v>
      </c>
      <c r="G81" s="59">
        <v>0</v>
      </c>
      <c r="H81" t="str">
        <f>VLOOKUP(A81,UniqueCCOQueueCodes!$A$1:$T$607,6,0)</f>
        <v>Y</v>
      </c>
      <c r="I81" t="str">
        <f>VLOOKUP(A81,UniqueCCOQueueCodes!$A$1:$T$607,20,0)</f>
        <v>HES</v>
      </c>
    </row>
    <row r="82" spans="1:9" x14ac:dyDescent="0.35">
      <c r="A82" s="36" t="s">
        <v>353</v>
      </c>
      <c r="B82" s="36" t="s">
        <v>2090</v>
      </c>
      <c r="C82" s="59">
        <v>14</v>
      </c>
      <c r="D82" s="59">
        <v>14</v>
      </c>
      <c r="E82" s="59">
        <v>14</v>
      </c>
      <c r="F82" s="59">
        <v>14</v>
      </c>
      <c r="G82" s="59">
        <v>14</v>
      </c>
      <c r="H82" t="str">
        <f>VLOOKUP(A82,UniqueCCOQueueCodes!$A$1:$T$607,6,0)</f>
        <v>Y</v>
      </c>
      <c r="I82" t="str">
        <f>VLOOKUP(A82,UniqueCCOQueueCodes!$A$1:$T$607,20,0)</f>
        <v>HES</v>
      </c>
    </row>
    <row r="83" spans="1:9" x14ac:dyDescent="0.35">
      <c r="A83" s="36" t="s">
        <v>362</v>
      </c>
      <c r="B83" s="36" t="s">
        <v>2091</v>
      </c>
      <c r="C83" s="59">
        <v>87</v>
      </c>
      <c r="D83" s="59">
        <v>87</v>
      </c>
      <c r="E83" s="59">
        <v>87</v>
      </c>
      <c r="F83" s="59">
        <v>87</v>
      </c>
      <c r="G83" s="59">
        <v>85</v>
      </c>
      <c r="H83" t="str">
        <f>VLOOKUP(A83,UniqueCCOQueueCodes!$A$1:$T$607,6,0)</f>
        <v>Y</v>
      </c>
      <c r="I83" t="str">
        <f>VLOOKUP(A83,UniqueCCOQueueCodes!$A$1:$T$607,20,0)</f>
        <v>HES</v>
      </c>
    </row>
    <row r="84" spans="1:9" x14ac:dyDescent="0.35">
      <c r="A84" s="36" t="s">
        <v>389</v>
      </c>
      <c r="B84" s="36" t="s">
        <v>2092</v>
      </c>
      <c r="C84" s="59">
        <v>4</v>
      </c>
      <c r="D84" s="59">
        <v>4</v>
      </c>
      <c r="E84" s="59">
        <v>4</v>
      </c>
      <c r="F84" s="59">
        <v>4</v>
      </c>
      <c r="G84" s="59">
        <v>4</v>
      </c>
      <c r="H84" t="str">
        <f>VLOOKUP(A84,UniqueCCOQueueCodes!$A$1:$T$607,6,0)</f>
        <v>Y</v>
      </c>
      <c r="I84" t="str">
        <f>VLOOKUP(A84,UniqueCCOQueueCodes!$A$1:$T$607,20,0)</f>
        <v>HES</v>
      </c>
    </row>
    <row r="85" spans="1:9" x14ac:dyDescent="0.35">
      <c r="A85" s="36" t="s">
        <v>406</v>
      </c>
      <c r="B85" s="36" t="s">
        <v>2093</v>
      </c>
      <c r="C85" s="59">
        <v>11</v>
      </c>
      <c r="D85" s="59">
        <v>11</v>
      </c>
      <c r="E85" s="59">
        <v>11</v>
      </c>
      <c r="F85" s="59">
        <v>11</v>
      </c>
      <c r="G85" s="59">
        <v>10</v>
      </c>
      <c r="H85" t="str">
        <f>VLOOKUP(A85,UniqueCCOQueueCodes!$A$1:$T$607,6,0)</f>
        <v>Y</v>
      </c>
      <c r="I85" t="str">
        <f>VLOOKUP(A85,UniqueCCOQueueCodes!$A$1:$T$607,20,0)</f>
        <v>HES</v>
      </c>
    </row>
    <row r="86" spans="1:9" x14ac:dyDescent="0.35">
      <c r="A86" s="36" t="s">
        <v>135</v>
      </c>
      <c r="B86" s="36" t="s">
        <v>136</v>
      </c>
      <c r="C86" s="59">
        <v>25</v>
      </c>
      <c r="D86" s="59">
        <v>27</v>
      </c>
      <c r="E86" s="59">
        <v>27</v>
      </c>
      <c r="F86" s="59">
        <v>27</v>
      </c>
      <c r="G86" s="59">
        <v>27</v>
      </c>
      <c r="H86" t="str">
        <f>VLOOKUP(A86,UniqueCCOQueueCodes!$A$1:$T$607,6,0)</f>
        <v>Y</v>
      </c>
      <c r="I86" t="str">
        <f>VLOOKUP(A86,UniqueCCOQueueCodes!$A$1:$T$607,20,0)</f>
        <v>HES</v>
      </c>
    </row>
    <row r="87" spans="1:9" x14ac:dyDescent="0.35">
      <c r="A87" s="36" t="s">
        <v>1889</v>
      </c>
      <c r="B87" s="36" t="s">
        <v>1890</v>
      </c>
      <c r="C87" s="59">
        <v>97</v>
      </c>
      <c r="D87" s="59">
        <v>91</v>
      </c>
      <c r="E87" s="59">
        <v>90</v>
      </c>
      <c r="F87" s="59">
        <v>89</v>
      </c>
      <c r="G87" s="59">
        <v>89</v>
      </c>
      <c r="H87" t="str">
        <f>VLOOKUP(A87,UniqueCCOQueueCodes!$A$1:$T$607,6,0)</f>
        <v>Y</v>
      </c>
      <c r="I87" t="str">
        <f>VLOOKUP(A87,UniqueCCOQueueCodes!$A$1:$T$607,20,0)</f>
        <v>ESG</v>
      </c>
    </row>
    <row r="88" spans="1:9" x14ac:dyDescent="0.35">
      <c r="A88" s="36" t="s">
        <v>647</v>
      </c>
      <c r="B88" s="36" t="s">
        <v>646</v>
      </c>
      <c r="C88" s="59">
        <v>115.51949999999999</v>
      </c>
      <c r="D88" s="59">
        <v>113.51949999999999</v>
      </c>
      <c r="E88" s="59">
        <v>113.51949999999999</v>
      </c>
      <c r="F88" s="59">
        <v>113.51949999999999</v>
      </c>
      <c r="G88" s="59">
        <v>113.51949999999999</v>
      </c>
      <c r="H88" t="str">
        <f>VLOOKUP(A88,UniqueCCOQueueCodes!$A$1:$T$607,6,0)</f>
        <v>Y</v>
      </c>
      <c r="I88" t="str">
        <f>VLOOKUP(A88,UniqueCCOQueueCodes!$A$1:$T$607,20,0)</f>
        <v>ESG</v>
      </c>
    </row>
    <row r="89" spans="1:9" x14ac:dyDescent="0.35">
      <c r="A89" s="36" t="s">
        <v>2070</v>
      </c>
      <c r="B89" s="36" t="s">
        <v>2071</v>
      </c>
      <c r="C89" s="59">
        <v>99</v>
      </c>
      <c r="D89" s="59">
        <v>98</v>
      </c>
      <c r="E89" s="59">
        <v>97</v>
      </c>
      <c r="F89" s="59">
        <v>97</v>
      </c>
      <c r="G89" s="59">
        <v>96</v>
      </c>
      <c r="H89" t="str">
        <f>VLOOKUP(A89,UniqueCCOQueueCodes!$A$1:$T$607,6,0)</f>
        <v>Y</v>
      </c>
      <c r="I89" t="str">
        <f>VLOOKUP(A89,UniqueCCOQueueCodes!$A$1:$T$607,20,0)</f>
        <v>HES</v>
      </c>
    </row>
    <row r="90" spans="1:9" x14ac:dyDescent="0.35">
      <c r="A90" s="36" t="s">
        <v>2068</v>
      </c>
      <c r="B90" s="36" t="s">
        <v>2069</v>
      </c>
      <c r="C90" s="59">
        <v>75</v>
      </c>
      <c r="D90" s="59">
        <v>76</v>
      </c>
      <c r="E90" s="59">
        <v>76</v>
      </c>
      <c r="F90" s="59">
        <v>76</v>
      </c>
      <c r="G90" s="59">
        <v>76</v>
      </c>
      <c r="H90" t="str">
        <f>VLOOKUP(A90,UniqueCCOQueueCodes!$A$1:$T$607,6,0)</f>
        <v>Y</v>
      </c>
      <c r="I90" t="str">
        <f>VLOOKUP(A90,UniqueCCOQueueCodes!$A$1:$T$607,20,0)</f>
        <v>HES</v>
      </c>
    </row>
    <row r="91" spans="1:9" x14ac:dyDescent="0.35">
      <c r="A91" s="36" t="s">
        <v>2072</v>
      </c>
      <c r="B91" s="36" t="s">
        <v>2073</v>
      </c>
      <c r="C91" s="59">
        <v>11</v>
      </c>
      <c r="D91" s="59">
        <v>11</v>
      </c>
      <c r="E91" s="59">
        <v>11</v>
      </c>
      <c r="F91" s="59">
        <v>11</v>
      </c>
      <c r="G91" s="59">
        <v>11</v>
      </c>
      <c r="H91" t="str">
        <f>VLOOKUP(A91,UniqueCCOQueueCodes!$A$1:$T$607,6,0)</f>
        <v>Y</v>
      </c>
      <c r="I91" t="str">
        <f>VLOOKUP(A91,UniqueCCOQueueCodes!$A$1:$T$607,20,0)</f>
        <v>ESG</v>
      </c>
    </row>
    <row r="92" spans="1:9" x14ac:dyDescent="0.35">
      <c r="A92" s="36" t="s">
        <v>2074</v>
      </c>
      <c r="B92" s="36" t="s">
        <v>2075</v>
      </c>
      <c r="C92" s="59">
        <v>18</v>
      </c>
      <c r="D92" s="59">
        <v>18</v>
      </c>
      <c r="E92" s="59">
        <v>18</v>
      </c>
      <c r="F92" s="59">
        <v>18</v>
      </c>
      <c r="G92" s="59">
        <v>18</v>
      </c>
      <c r="H92" t="str">
        <f>VLOOKUP(A92,UniqueCCOQueueCodes!$A$1:$T$607,6,0)</f>
        <v>Y</v>
      </c>
      <c r="I92" t="str">
        <f>VLOOKUP(A92,UniqueCCOQueueCodes!$A$1:$T$607,20,0)</f>
        <v>ESG</v>
      </c>
    </row>
    <row r="93" spans="1:9" x14ac:dyDescent="0.35">
      <c r="A93" s="36" t="s">
        <v>2085</v>
      </c>
      <c r="B93" s="36" t="s">
        <v>2086</v>
      </c>
      <c r="C93" s="59">
        <v>100</v>
      </c>
      <c r="D93" s="59">
        <v>100</v>
      </c>
      <c r="E93" s="59">
        <v>100</v>
      </c>
      <c r="F93" s="59">
        <v>100</v>
      </c>
      <c r="G93" s="59">
        <v>100</v>
      </c>
      <c r="H93" t="str">
        <f>VLOOKUP(A93,UniqueCCOQueueCodes!$A$1:$T$607,6,0)</f>
        <v>Y</v>
      </c>
      <c r="I93" t="str">
        <f>VLOOKUP(A93,UniqueCCOQueueCodes!$A$1:$T$607,20,0)</f>
        <v>HES</v>
      </c>
    </row>
    <row r="94" spans="1:9" x14ac:dyDescent="0.35">
      <c r="A94" s="36" t="s">
        <v>820</v>
      </c>
      <c r="B94" s="36" t="s">
        <v>821</v>
      </c>
      <c r="C94" s="59">
        <v>92</v>
      </c>
      <c r="D94" s="59">
        <v>92</v>
      </c>
      <c r="E94" s="59">
        <v>92</v>
      </c>
      <c r="F94" s="59">
        <v>91</v>
      </c>
      <c r="G94" s="59">
        <v>90</v>
      </c>
      <c r="H94" t="str">
        <f>VLOOKUP(A94,UniqueCCOQueueCodes!$A$1:$T$607,6,0)</f>
        <v>Y</v>
      </c>
      <c r="I94" t="str">
        <f>VLOOKUP(A94,UniqueCCOQueueCodes!$A$1:$T$607,20,0)</f>
        <v>ESG</v>
      </c>
    </row>
    <row r="95" spans="1:9" x14ac:dyDescent="0.35">
      <c r="A95" s="36" t="s">
        <v>339</v>
      </c>
      <c r="B95" s="36" t="s">
        <v>2162</v>
      </c>
      <c r="C95" s="59">
        <v>44</v>
      </c>
      <c r="D95" s="59">
        <v>44</v>
      </c>
      <c r="E95" s="59">
        <v>44</v>
      </c>
      <c r="F95" s="59">
        <v>43</v>
      </c>
      <c r="G95" s="59">
        <v>43</v>
      </c>
      <c r="H95" t="str">
        <f>VLOOKUP(A95,UniqueCCOQueueCodes!$A$1:$T$607,6,0)</f>
        <v>Y</v>
      </c>
      <c r="I95" t="str">
        <f>VLOOKUP(A95,UniqueCCOQueueCodes!$A$1:$T$607,20,0)</f>
        <v>HES</v>
      </c>
    </row>
    <row r="96" spans="1:9" x14ac:dyDescent="0.35">
      <c r="A96" s="36" t="s">
        <v>198</v>
      </c>
      <c r="B96" s="36" t="s">
        <v>199</v>
      </c>
      <c r="C96" s="59">
        <v>6</v>
      </c>
      <c r="D96" s="59">
        <v>6</v>
      </c>
      <c r="E96" s="59">
        <v>6</v>
      </c>
      <c r="F96" s="59">
        <v>6</v>
      </c>
      <c r="G96" s="59">
        <v>6</v>
      </c>
      <c r="H96" t="str">
        <f>VLOOKUP(A96,UniqueCCOQueueCodes!$A$1:$T$607,6,0)</f>
        <v>Y</v>
      </c>
      <c r="I96" t="str">
        <f>VLOOKUP(A96,UniqueCCOQueueCodes!$A$1:$T$607,20,0)</f>
        <v>HES</v>
      </c>
    </row>
    <row r="97" spans="1:9" x14ac:dyDescent="0.35">
      <c r="A97" s="36" t="s">
        <v>872</v>
      </c>
      <c r="B97" s="36" t="s">
        <v>873</v>
      </c>
      <c r="C97" s="59">
        <v>17</v>
      </c>
      <c r="D97" s="59">
        <v>17</v>
      </c>
      <c r="E97" s="59">
        <v>16</v>
      </c>
      <c r="F97" s="59">
        <v>15</v>
      </c>
      <c r="G97" s="59">
        <v>16</v>
      </c>
      <c r="H97" t="str">
        <f>VLOOKUP(A97,UniqueCCOQueueCodes!$A$1:$T$607,6,0)</f>
        <v>Y</v>
      </c>
      <c r="I97" t="str">
        <f>VLOOKUP(A97,UniqueCCOQueueCodes!$A$1:$T$607,20,0)</f>
        <v>Custom Model</v>
      </c>
    </row>
    <row r="98" spans="1:9" x14ac:dyDescent="0.35">
      <c r="A98" s="36" t="s">
        <v>1825</v>
      </c>
      <c r="B98" s="36" t="s">
        <v>1827</v>
      </c>
      <c r="C98" s="59">
        <v>7</v>
      </c>
      <c r="D98" s="59">
        <v>7</v>
      </c>
      <c r="E98" s="59">
        <v>7</v>
      </c>
      <c r="F98" s="59">
        <v>7</v>
      </c>
      <c r="G98" s="59">
        <v>7</v>
      </c>
      <c r="H98" t="str">
        <f>VLOOKUP(A98,UniqueCCOQueueCodes!$A$1:$T$607,6,0)</f>
        <v>Y</v>
      </c>
      <c r="I98" t="str">
        <f>VLOOKUP(A98,UniqueCCOQueueCodes!$A$1:$T$607,20,0)</f>
        <v>HES</v>
      </c>
    </row>
    <row r="99" spans="1:9" x14ac:dyDescent="0.35">
      <c r="A99" s="36" t="s">
        <v>1826</v>
      </c>
      <c r="B99" s="36" t="s">
        <v>1828</v>
      </c>
      <c r="C99" s="59">
        <v>5</v>
      </c>
      <c r="D99" s="59">
        <v>5</v>
      </c>
      <c r="E99" s="59">
        <v>5</v>
      </c>
      <c r="F99" s="59">
        <v>5</v>
      </c>
      <c r="G99" s="59">
        <v>5</v>
      </c>
      <c r="H99" t="str">
        <f>VLOOKUP(A99,UniqueCCOQueueCodes!$A$1:$T$607,6,0)</f>
        <v>Y</v>
      </c>
      <c r="I99" t="str">
        <f>VLOOKUP(A99,UniqueCCOQueueCodes!$A$1:$T$607,20,0)</f>
        <v>HES</v>
      </c>
    </row>
    <row r="100" spans="1:9" x14ac:dyDescent="0.35">
      <c r="A100" s="36" t="s">
        <v>1833</v>
      </c>
      <c r="B100" s="36" t="s">
        <v>1834</v>
      </c>
      <c r="C100" s="59">
        <v>13</v>
      </c>
      <c r="D100" s="59">
        <v>13</v>
      </c>
      <c r="E100" s="59">
        <v>13</v>
      </c>
      <c r="F100" s="59">
        <v>13</v>
      </c>
      <c r="G100" s="59">
        <v>13</v>
      </c>
      <c r="H100" t="str">
        <f>VLOOKUP(A100,UniqueCCOQueueCodes!$A$1:$T$607,6,0)</f>
        <v>Y</v>
      </c>
      <c r="I100" t="str">
        <f>VLOOKUP(A100,UniqueCCOQueueCodes!$A$1:$T$607,20,0)</f>
        <v>HES</v>
      </c>
    </row>
    <row r="101" spans="1:9" x14ac:dyDescent="0.35">
      <c r="A101" s="36" t="s">
        <v>1835</v>
      </c>
      <c r="B101" s="36" t="s">
        <v>1836</v>
      </c>
      <c r="C101" s="59">
        <v>6</v>
      </c>
      <c r="D101" s="59">
        <v>6</v>
      </c>
      <c r="E101" s="59">
        <v>6</v>
      </c>
      <c r="F101" s="59">
        <v>6</v>
      </c>
      <c r="G101" s="59">
        <v>6</v>
      </c>
      <c r="H101" t="str">
        <f>VLOOKUP(A101,UniqueCCOQueueCodes!$A$1:$T$607,6,0)</f>
        <v>Y</v>
      </c>
      <c r="I101" t="str">
        <f>VLOOKUP(A101,UniqueCCOQueueCodes!$A$1:$T$607,20,0)</f>
        <v>HES</v>
      </c>
    </row>
    <row r="102" spans="1:9" x14ac:dyDescent="0.35">
      <c r="A102" s="36" t="s">
        <v>1818</v>
      </c>
      <c r="B102" s="36" t="s">
        <v>1819</v>
      </c>
      <c r="C102" s="59">
        <v>9</v>
      </c>
      <c r="D102" s="59">
        <v>9</v>
      </c>
      <c r="E102" s="59">
        <v>9</v>
      </c>
      <c r="F102" s="59">
        <v>9</v>
      </c>
      <c r="G102" s="59">
        <v>9</v>
      </c>
      <c r="H102" t="str">
        <f>VLOOKUP(A102,UniqueCCOQueueCodes!$A$1:$T$607,6,0)</f>
        <v>Y</v>
      </c>
      <c r="I102" t="str">
        <f>VLOOKUP(A102,UniqueCCOQueueCodes!$A$1:$T$607,20,0)</f>
        <v>HES</v>
      </c>
    </row>
    <row r="103" spans="1:9" x14ac:dyDescent="0.35">
      <c r="A103" s="36" t="s">
        <v>1821</v>
      </c>
      <c r="B103" s="36" t="s">
        <v>1823</v>
      </c>
      <c r="C103" s="59">
        <v>5</v>
      </c>
      <c r="D103" s="59">
        <v>5</v>
      </c>
      <c r="E103" s="59">
        <v>5</v>
      </c>
      <c r="F103" s="59">
        <v>5</v>
      </c>
      <c r="G103" s="59">
        <v>5</v>
      </c>
      <c r="H103" t="str">
        <f>VLOOKUP(A103,UniqueCCOQueueCodes!$A$1:$T$607,6,0)</f>
        <v>Y</v>
      </c>
      <c r="I103" t="str">
        <f>VLOOKUP(A103,UniqueCCOQueueCodes!$A$1:$T$607,20,0)</f>
        <v>HES</v>
      </c>
    </row>
    <row r="104" spans="1:9" x14ac:dyDescent="0.35">
      <c r="A104" s="36" t="s">
        <v>1822</v>
      </c>
      <c r="B104" s="36" t="s">
        <v>1824</v>
      </c>
      <c r="C104" s="59">
        <v>6</v>
      </c>
      <c r="D104" s="59">
        <v>6</v>
      </c>
      <c r="E104" s="59">
        <v>6</v>
      </c>
      <c r="F104" s="59">
        <v>6</v>
      </c>
      <c r="G104" s="59">
        <v>6</v>
      </c>
      <c r="H104" t="str">
        <f>VLOOKUP(A104,UniqueCCOQueueCodes!$A$1:$T$607,6,0)</f>
        <v>Y</v>
      </c>
      <c r="I104" t="str">
        <f>VLOOKUP(A104,UniqueCCOQueueCodes!$A$1:$T$607,20,0)</f>
        <v>HES</v>
      </c>
    </row>
    <row r="105" spans="1:9" x14ac:dyDescent="0.35">
      <c r="A105" s="36" t="s">
        <v>374</v>
      </c>
      <c r="B105" s="36" t="s">
        <v>375</v>
      </c>
      <c r="C105" s="59">
        <v>2</v>
      </c>
      <c r="D105" s="59">
        <v>2</v>
      </c>
      <c r="E105" s="59">
        <v>2</v>
      </c>
      <c r="F105" s="59">
        <v>2</v>
      </c>
      <c r="G105" s="59">
        <v>2</v>
      </c>
      <c r="H105" t="str">
        <f>VLOOKUP(A105,UniqueCCOQueueCodes!$A$1:$T$607,6,0)</f>
        <v>Y</v>
      </c>
      <c r="I105" t="str">
        <f>VLOOKUP(A105,UniqueCCOQueueCodes!$A$1:$T$607,20,0)</f>
        <v>HES</v>
      </c>
    </row>
    <row r="106" spans="1:9" x14ac:dyDescent="0.35">
      <c r="A106" s="36" t="s">
        <v>1830</v>
      </c>
      <c r="B106" s="36" t="s">
        <v>1832</v>
      </c>
      <c r="C106" s="59">
        <v>5</v>
      </c>
      <c r="D106" s="59">
        <v>5</v>
      </c>
      <c r="E106" s="59">
        <v>5</v>
      </c>
      <c r="F106" s="59">
        <v>5</v>
      </c>
      <c r="G106" s="59">
        <v>5</v>
      </c>
      <c r="H106" t="str">
        <f>VLOOKUP(A106,UniqueCCOQueueCodes!$A$1:$T$607,6,0)</f>
        <v>Y</v>
      </c>
      <c r="I106" t="str">
        <f>VLOOKUP(A106,UniqueCCOQueueCodes!$A$1:$T$607,20,0)</f>
        <v>HES</v>
      </c>
    </row>
    <row r="107" spans="1:9" x14ac:dyDescent="0.35">
      <c r="A107" s="36" t="s">
        <v>1817</v>
      </c>
      <c r="B107" s="36" t="s">
        <v>1820</v>
      </c>
      <c r="C107" s="59">
        <v>9</v>
      </c>
      <c r="D107" s="59">
        <v>9</v>
      </c>
      <c r="E107" s="59">
        <v>9</v>
      </c>
      <c r="F107" s="59">
        <v>9</v>
      </c>
      <c r="G107" s="59">
        <v>9</v>
      </c>
      <c r="H107" t="str">
        <f>VLOOKUP(A107,UniqueCCOQueueCodes!$A$1:$T$607,6,0)</f>
        <v>Y</v>
      </c>
      <c r="I107" t="str">
        <f>VLOOKUP(A107,UniqueCCOQueueCodes!$A$1:$T$607,20,0)</f>
        <v>HES</v>
      </c>
    </row>
    <row r="108" spans="1:9" x14ac:dyDescent="0.35">
      <c r="A108" s="36" t="s">
        <v>1829</v>
      </c>
      <c r="B108" s="36" t="s">
        <v>1831</v>
      </c>
      <c r="C108" s="59">
        <v>4</v>
      </c>
      <c r="D108" s="59">
        <v>4</v>
      </c>
      <c r="E108" s="59">
        <v>4</v>
      </c>
      <c r="F108" s="59">
        <v>4</v>
      </c>
      <c r="G108" s="59">
        <v>4</v>
      </c>
      <c r="H108" t="str">
        <f>VLOOKUP(A108,UniqueCCOQueueCodes!$A$1:$T$607,6,0)</f>
        <v>Y</v>
      </c>
      <c r="I108" t="str">
        <f>VLOOKUP(A108,UniqueCCOQueueCodes!$A$1:$T$607,20,0)</f>
        <v>HES</v>
      </c>
    </row>
    <row r="109" spans="1:9" x14ac:dyDescent="0.35">
      <c r="A109" s="36" t="s">
        <v>1837</v>
      </c>
      <c r="B109" s="36" t="s">
        <v>1838</v>
      </c>
      <c r="C109" s="59">
        <v>2</v>
      </c>
      <c r="D109" s="59">
        <v>2</v>
      </c>
      <c r="E109" s="59">
        <v>2</v>
      </c>
      <c r="F109" s="59">
        <v>2</v>
      </c>
      <c r="G109" s="59">
        <v>2</v>
      </c>
      <c r="H109" t="str">
        <f>VLOOKUP(A109,UniqueCCOQueueCodes!$A$1:$T$607,6,0)</f>
        <v>Y</v>
      </c>
      <c r="I109" t="str">
        <f>VLOOKUP(A109,UniqueCCOQueueCodes!$A$1:$T$607,20,0)</f>
        <v>HES</v>
      </c>
    </row>
    <row r="110" spans="1:9" x14ac:dyDescent="0.35">
      <c r="A110" s="36" t="s">
        <v>1840</v>
      </c>
      <c r="B110" s="36" t="s">
        <v>1839</v>
      </c>
      <c r="C110" s="59">
        <v>2</v>
      </c>
      <c r="D110" s="59">
        <v>2</v>
      </c>
      <c r="E110" s="59">
        <v>2</v>
      </c>
      <c r="F110" s="59">
        <v>2</v>
      </c>
      <c r="G110" s="59">
        <v>2</v>
      </c>
      <c r="H110" t="str">
        <f>VLOOKUP(A110,UniqueCCOQueueCodes!$A$1:$T$607,6,0)</f>
        <v>Y</v>
      </c>
      <c r="I110" t="str">
        <f>VLOOKUP(A110,UniqueCCOQueueCodes!$A$1:$T$607,20,0)</f>
        <v>HES</v>
      </c>
    </row>
    <row r="111" spans="1:9" x14ac:dyDescent="0.35">
      <c r="A111" s="36" t="s">
        <v>533</v>
      </c>
      <c r="B111" s="36" t="s">
        <v>534</v>
      </c>
      <c r="C111" s="59">
        <v>6</v>
      </c>
      <c r="D111" s="59">
        <v>6</v>
      </c>
      <c r="E111" s="59">
        <v>6</v>
      </c>
      <c r="F111" s="59">
        <v>6</v>
      </c>
      <c r="G111" s="59">
        <v>6</v>
      </c>
      <c r="H111" t="str">
        <f>VLOOKUP(A111,UniqueCCOQueueCodes!$A$1:$T$607,6,0)</f>
        <v>Y</v>
      </c>
      <c r="I111" t="str">
        <f>VLOOKUP(A111,UniqueCCOQueueCodes!$A$1:$T$607,20,0)</f>
        <v>ESG</v>
      </c>
    </row>
    <row r="112" spans="1:9" x14ac:dyDescent="0.35">
      <c r="A112" s="36" t="s">
        <v>648</v>
      </c>
      <c r="B112" s="36" t="s">
        <v>649</v>
      </c>
      <c r="C112" s="59">
        <v>28</v>
      </c>
      <c r="D112" s="59">
        <v>28</v>
      </c>
      <c r="E112" s="59">
        <v>28</v>
      </c>
      <c r="F112" s="59">
        <v>26</v>
      </c>
      <c r="G112" s="59">
        <v>26</v>
      </c>
      <c r="H112" t="str">
        <f>VLOOKUP(A112,UniqueCCOQueueCodes!$A$1:$T$607,6,0)</f>
        <v>Y</v>
      </c>
      <c r="I112" t="str">
        <f>VLOOKUP(A112,UniqueCCOQueueCodes!$A$1:$T$607,20,0)</f>
        <v>ESG</v>
      </c>
    </row>
    <row r="113" spans="1:9" x14ac:dyDescent="0.35">
      <c r="A113" s="36" t="s">
        <v>537</v>
      </c>
      <c r="B113" s="36" t="s">
        <v>538</v>
      </c>
      <c r="C113" s="59">
        <v>68</v>
      </c>
      <c r="D113" s="59">
        <v>68</v>
      </c>
      <c r="E113" s="59">
        <v>68</v>
      </c>
      <c r="F113" s="59">
        <v>68</v>
      </c>
      <c r="G113" s="59">
        <v>68</v>
      </c>
      <c r="H113" t="str">
        <f>VLOOKUP(A113,UniqueCCOQueueCodes!$A$1:$T$607,6,0)</f>
        <v>Y</v>
      </c>
      <c r="I113" t="str">
        <f>VLOOKUP(A113,UniqueCCOQueueCodes!$A$1:$T$607,20,0)</f>
        <v>ESG</v>
      </c>
    </row>
    <row r="114" spans="1:9" x14ac:dyDescent="0.35">
      <c r="A114" s="36" t="s">
        <v>285</v>
      </c>
      <c r="B114" s="36" t="s">
        <v>286</v>
      </c>
      <c r="C114" s="59">
        <v>10</v>
      </c>
      <c r="D114" s="59">
        <v>10</v>
      </c>
      <c r="E114" s="59">
        <v>10</v>
      </c>
      <c r="F114" s="59">
        <v>10</v>
      </c>
      <c r="G114" s="59">
        <v>10</v>
      </c>
      <c r="H114" t="str">
        <f>VLOOKUP(A114,UniqueCCOQueueCodes!$A$1:$T$607,6,0)</f>
        <v>Y</v>
      </c>
      <c r="I114" t="str">
        <f>VLOOKUP(A114,UniqueCCOQueueCodes!$A$1:$T$607,20,0)</f>
        <v>ESG</v>
      </c>
    </row>
    <row r="115" spans="1:9" x14ac:dyDescent="0.35">
      <c r="A115" s="36" t="s">
        <v>692</v>
      </c>
      <c r="B115" s="36" t="s">
        <v>693</v>
      </c>
      <c r="C115" s="59">
        <v>45</v>
      </c>
      <c r="D115" s="59">
        <v>45</v>
      </c>
      <c r="E115" s="59">
        <v>45</v>
      </c>
      <c r="F115" s="59">
        <v>45</v>
      </c>
      <c r="G115" s="59">
        <v>45</v>
      </c>
      <c r="H115" t="str">
        <f>VLOOKUP(A115,UniqueCCOQueueCodes!$A$1:$T$607,6,0)</f>
        <v>Y</v>
      </c>
      <c r="I115" t="str">
        <f>VLOOKUP(A115,UniqueCCOQueueCodes!$A$1:$T$607,20,0)</f>
        <v>HES</v>
      </c>
    </row>
    <row r="116" spans="1:9" x14ac:dyDescent="0.35">
      <c r="A116" s="36" t="s">
        <v>694</v>
      </c>
      <c r="B116" s="36" t="s">
        <v>695</v>
      </c>
      <c r="C116" s="59">
        <v>19.475000000000001</v>
      </c>
      <c r="D116" s="59">
        <v>19.475000000000001</v>
      </c>
      <c r="E116" s="59">
        <v>19.475000000000001</v>
      </c>
      <c r="F116" s="59">
        <v>19.475000000000001</v>
      </c>
      <c r="G116" s="59">
        <v>19.475000000000001</v>
      </c>
      <c r="H116" t="str">
        <f>VLOOKUP(A116,UniqueCCOQueueCodes!$A$1:$T$607,6,0)</f>
        <v>Y</v>
      </c>
      <c r="I116" t="str">
        <f>VLOOKUP(A116,UniqueCCOQueueCodes!$A$1:$T$607,20,0)</f>
        <v>HES</v>
      </c>
    </row>
    <row r="117" spans="1:9" x14ac:dyDescent="0.35">
      <c r="A117" s="36" t="s">
        <v>700</v>
      </c>
      <c r="B117" s="36" t="s">
        <v>701</v>
      </c>
      <c r="C117" s="59">
        <v>65</v>
      </c>
      <c r="D117" s="59">
        <v>72</v>
      </c>
      <c r="E117" s="59">
        <v>71</v>
      </c>
      <c r="F117" s="59">
        <v>70</v>
      </c>
      <c r="G117" s="59">
        <v>70</v>
      </c>
      <c r="H117" t="str">
        <f>VLOOKUP(A117,UniqueCCOQueueCodes!$A$1:$T$607,6,0)</f>
        <v>Y</v>
      </c>
      <c r="I117" t="str">
        <f>VLOOKUP(A117,UniqueCCOQueueCodes!$A$1:$T$607,20,0)</f>
        <v>HES</v>
      </c>
    </row>
    <row r="118" spans="1:9" x14ac:dyDescent="0.35">
      <c r="A118" s="36" t="s">
        <v>56</v>
      </c>
      <c r="B118" s="36" t="s">
        <v>57</v>
      </c>
      <c r="C118" s="59">
        <v>9</v>
      </c>
      <c r="D118" s="59">
        <v>9</v>
      </c>
      <c r="E118" s="59">
        <v>9</v>
      </c>
      <c r="F118" s="59">
        <v>9</v>
      </c>
      <c r="G118" s="59">
        <v>9</v>
      </c>
      <c r="H118" t="str">
        <f>VLOOKUP(A118,UniqueCCOQueueCodes!$A$1:$T$607,6,0)</f>
        <v>Y</v>
      </c>
      <c r="I118" t="str">
        <f>VLOOKUP(A118,UniqueCCOQueueCodes!$A$1:$T$607,20,0)</f>
        <v>HES</v>
      </c>
    </row>
    <row r="119" spans="1:9" x14ac:dyDescent="0.35">
      <c r="A119" s="36" t="s">
        <v>82</v>
      </c>
      <c r="B119" s="36" t="s">
        <v>83</v>
      </c>
      <c r="C119" s="59">
        <v>28</v>
      </c>
      <c r="D119" s="59">
        <v>28</v>
      </c>
      <c r="E119" s="59">
        <v>28</v>
      </c>
      <c r="F119" s="59">
        <v>28</v>
      </c>
      <c r="G119" s="59">
        <v>28</v>
      </c>
      <c r="H119" t="str">
        <f>VLOOKUP(A119,UniqueCCOQueueCodes!$A$1:$T$607,6,0)</f>
        <v>Y</v>
      </c>
      <c r="I119" t="str">
        <f>VLOOKUP(A119,UniqueCCOQueueCodes!$A$1:$T$607,20,0)</f>
        <v>HES</v>
      </c>
    </row>
    <row r="120" spans="1:9" x14ac:dyDescent="0.35">
      <c r="A120" s="36" t="s">
        <v>120</v>
      </c>
      <c r="B120" s="36" t="s">
        <v>121</v>
      </c>
      <c r="C120" s="59">
        <v>15</v>
      </c>
      <c r="D120" s="59">
        <v>15</v>
      </c>
      <c r="E120" s="59">
        <v>15</v>
      </c>
      <c r="F120" s="59">
        <v>15</v>
      </c>
      <c r="G120" s="59">
        <v>15</v>
      </c>
      <c r="H120" t="str">
        <f>VLOOKUP(A120,UniqueCCOQueueCodes!$A$1:$T$607,6,0)</f>
        <v>Y</v>
      </c>
      <c r="I120" t="str">
        <f>VLOOKUP(A120,UniqueCCOQueueCodes!$A$1:$T$607,20,0)</f>
        <v>HES</v>
      </c>
    </row>
    <row r="121" spans="1:9" x14ac:dyDescent="0.35">
      <c r="A121" s="36" t="s">
        <v>428</v>
      </c>
      <c r="B121" s="36" t="s">
        <v>429</v>
      </c>
      <c r="C121" s="59">
        <v>6</v>
      </c>
      <c r="D121" s="59">
        <v>6</v>
      </c>
      <c r="E121" s="59">
        <v>6</v>
      </c>
      <c r="F121" s="59">
        <v>6</v>
      </c>
      <c r="G121" s="59">
        <v>6</v>
      </c>
      <c r="H121" t="str">
        <f>VLOOKUP(A121,UniqueCCOQueueCodes!$A$1:$T$607,6,0)</f>
        <v>Y</v>
      </c>
      <c r="I121" t="str">
        <f>VLOOKUP(A121,UniqueCCOQueueCodes!$A$1:$T$607,20,0)</f>
        <v>HES</v>
      </c>
    </row>
    <row r="122" spans="1:9" x14ac:dyDescent="0.35">
      <c r="A122" s="36" t="s">
        <v>58</v>
      </c>
      <c r="B122" s="36" t="s">
        <v>59</v>
      </c>
      <c r="C122" s="59">
        <v>7</v>
      </c>
      <c r="D122" s="59">
        <v>7</v>
      </c>
      <c r="E122" s="59">
        <v>7</v>
      </c>
      <c r="F122" s="59">
        <v>7</v>
      </c>
      <c r="G122" s="59">
        <v>7</v>
      </c>
      <c r="H122" t="str">
        <f>VLOOKUP(A122,UniqueCCOQueueCodes!$A$1:$T$607,6,0)</f>
        <v>Y</v>
      </c>
      <c r="I122" t="str">
        <f>VLOOKUP(A122,UniqueCCOQueueCodes!$A$1:$T$607,20,0)</f>
        <v>HES</v>
      </c>
    </row>
    <row r="123" spans="1:9" x14ac:dyDescent="0.35">
      <c r="A123" s="36" t="s">
        <v>84</v>
      </c>
      <c r="B123" s="36" t="s">
        <v>85</v>
      </c>
      <c r="C123" s="59">
        <v>19.576900000000002</v>
      </c>
      <c r="D123" s="59">
        <v>19.576900000000002</v>
      </c>
      <c r="E123" s="59">
        <v>19.576900000000002</v>
      </c>
      <c r="F123" s="59">
        <v>19.576900000000002</v>
      </c>
      <c r="G123" s="59">
        <v>19.576899999999998</v>
      </c>
      <c r="H123" t="str">
        <f>VLOOKUP(A123,UniqueCCOQueueCodes!$A$1:$T$607,6,0)</f>
        <v>Y</v>
      </c>
      <c r="I123" t="str">
        <f>VLOOKUP(A123,UniqueCCOQueueCodes!$A$1:$T$607,20,0)</f>
        <v>HES</v>
      </c>
    </row>
    <row r="124" spans="1:9" x14ac:dyDescent="0.35">
      <c r="A124" s="36" t="s">
        <v>122</v>
      </c>
      <c r="B124" s="36" t="s">
        <v>123</v>
      </c>
      <c r="C124" s="59">
        <v>19</v>
      </c>
      <c r="D124" s="59">
        <v>19</v>
      </c>
      <c r="E124" s="59">
        <v>19</v>
      </c>
      <c r="F124" s="59">
        <v>18</v>
      </c>
      <c r="G124" s="59">
        <v>18</v>
      </c>
      <c r="H124" t="str">
        <f>VLOOKUP(A124,UniqueCCOQueueCodes!$A$1:$T$607,6,0)</f>
        <v>Y</v>
      </c>
      <c r="I124" t="str">
        <f>VLOOKUP(A124,UniqueCCOQueueCodes!$A$1:$T$607,20,0)</f>
        <v>HES</v>
      </c>
    </row>
    <row r="125" spans="1:9" x14ac:dyDescent="0.35">
      <c r="A125" s="36" t="s">
        <v>64</v>
      </c>
      <c r="B125" s="36" t="s">
        <v>65</v>
      </c>
      <c r="C125" s="59">
        <v>26</v>
      </c>
      <c r="D125" s="59">
        <v>26</v>
      </c>
      <c r="E125" s="59">
        <v>26</v>
      </c>
      <c r="F125" s="59">
        <v>26</v>
      </c>
      <c r="G125" s="59">
        <v>26</v>
      </c>
      <c r="H125" t="str">
        <f>VLOOKUP(A125,UniqueCCOQueueCodes!$A$1:$T$607,6,0)</f>
        <v>Y</v>
      </c>
      <c r="I125" t="str">
        <f>VLOOKUP(A125,UniqueCCOQueueCodes!$A$1:$T$607,20,0)</f>
        <v>HES</v>
      </c>
    </row>
    <row r="126" spans="1:9" x14ac:dyDescent="0.35">
      <c r="A126" s="36" t="s">
        <v>90</v>
      </c>
      <c r="B126" s="36" t="s">
        <v>91</v>
      </c>
      <c r="C126" s="59">
        <v>70</v>
      </c>
      <c r="D126" s="59">
        <v>70</v>
      </c>
      <c r="E126" s="59">
        <v>70</v>
      </c>
      <c r="F126" s="59">
        <v>70</v>
      </c>
      <c r="G126" s="59">
        <v>70</v>
      </c>
      <c r="H126" t="str">
        <f>VLOOKUP(A126,UniqueCCOQueueCodes!$A$1:$T$607,6,0)</f>
        <v>Y</v>
      </c>
      <c r="I126" t="str">
        <f>VLOOKUP(A126,UniqueCCOQueueCodes!$A$1:$T$607,20,0)</f>
        <v>HES</v>
      </c>
    </row>
    <row r="127" spans="1:9" x14ac:dyDescent="0.35">
      <c r="A127" s="36" t="s">
        <v>128</v>
      </c>
      <c r="B127" s="36" t="s">
        <v>129</v>
      </c>
      <c r="C127" s="59">
        <v>28</v>
      </c>
      <c r="D127" s="59">
        <v>28</v>
      </c>
      <c r="E127" s="59">
        <v>28</v>
      </c>
      <c r="F127" s="59">
        <v>27</v>
      </c>
      <c r="G127" s="59">
        <v>27</v>
      </c>
      <c r="H127" t="str">
        <f>VLOOKUP(A127,UniqueCCOQueueCodes!$A$1:$T$607,6,0)</f>
        <v>Y</v>
      </c>
      <c r="I127" t="str">
        <f>VLOOKUP(A127,UniqueCCOQueueCodes!$A$1:$T$607,20,0)</f>
        <v>HES</v>
      </c>
    </row>
    <row r="128" spans="1:9" x14ac:dyDescent="0.35">
      <c r="A128" s="36" t="s">
        <v>543</v>
      </c>
      <c r="B128" s="36" t="s">
        <v>544</v>
      </c>
      <c r="C128" s="59">
        <v>57</v>
      </c>
      <c r="D128" s="59">
        <v>57</v>
      </c>
      <c r="E128" s="59">
        <v>57</v>
      </c>
      <c r="F128" s="59">
        <v>57</v>
      </c>
      <c r="G128" s="59">
        <v>57</v>
      </c>
      <c r="H128" t="str">
        <f>VLOOKUP(A128,UniqueCCOQueueCodes!$A$1:$T$607,6,0)</f>
        <v>Y</v>
      </c>
      <c r="I128" t="str">
        <f>VLOOKUP(A128,UniqueCCOQueueCodes!$A$1:$T$607,20,0)</f>
        <v>ESG</v>
      </c>
    </row>
    <row r="129" spans="1:9" x14ac:dyDescent="0.35">
      <c r="A129" s="36" t="s">
        <v>650</v>
      </c>
      <c r="B129" s="36" t="s">
        <v>651</v>
      </c>
      <c r="C129" s="59">
        <v>14</v>
      </c>
      <c r="D129" s="59">
        <v>14</v>
      </c>
      <c r="E129" s="59">
        <v>14</v>
      </c>
      <c r="F129" s="59">
        <v>14</v>
      </c>
      <c r="G129" s="59">
        <v>14</v>
      </c>
      <c r="H129" t="str">
        <f>VLOOKUP(A129,UniqueCCOQueueCodes!$A$1:$T$607,6,0)</f>
        <v>Y</v>
      </c>
      <c r="I129" t="str">
        <f>VLOOKUP(A129,UniqueCCOQueueCodes!$A$1:$T$607,20,0)</f>
        <v>ESG</v>
      </c>
    </row>
    <row r="130" spans="1:9" x14ac:dyDescent="0.35">
      <c r="A130" s="36" t="s">
        <v>545</v>
      </c>
      <c r="B130" s="36" t="s">
        <v>546</v>
      </c>
      <c r="C130" s="59">
        <v>35</v>
      </c>
      <c r="D130" s="59">
        <v>35</v>
      </c>
      <c r="E130" s="59">
        <v>35</v>
      </c>
      <c r="F130" s="59">
        <v>35</v>
      </c>
      <c r="G130" s="59">
        <v>35</v>
      </c>
      <c r="H130" t="str">
        <f>VLOOKUP(A130,UniqueCCOQueueCodes!$A$1:$T$607,6,0)</f>
        <v>Y</v>
      </c>
      <c r="I130" t="str">
        <f>VLOOKUP(A130,UniqueCCOQueueCodes!$A$1:$T$607,20,0)</f>
        <v>ESG</v>
      </c>
    </row>
    <row r="131" spans="1:9" x14ac:dyDescent="0.35">
      <c r="A131" s="36" t="s">
        <v>287</v>
      </c>
      <c r="B131" s="36" t="s">
        <v>288</v>
      </c>
      <c r="C131" s="59">
        <v>9</v>
      </c>
      <c r="D131" s="59">
        <v>9</v>
      </c>
      <c r="E131" s="59">
        <v>9</v>
      </c>
      <c r="F131" s="59">
        <v>9</v>
      </c>
      <c r="G131" s="59">
        <v>9</v>
      </c>
      <c r="H131" t="str">
        <f>VLOOKUP(A131,UniqueCCOQueueCodes!$A$1:$T$607,6,0)</f>
        <v>Y</v>
      </c>
      <c r="I131" t="str">
        <f>VLOOKUP(A131,UniqueCCOQueueCodes!$A$1:$T$607,20,0)</f>
        <v>ESG</v>
      </c>
    </row>
    <row r="132" spans="1:9" x14ac:dyDescent="0.35">
      <c r="A132" s="36" t="s">
        <v>652</v>
      </c>
      <c r="B132" s="36" t="s">
        <v>1965</v>
      </c>
      <c r="C132" s="59">
        <v>9</v>
      </c>
      <c r="D132" s="59">
        <v>9</v>
      </c>
      <c r="E132" s="59">
        <v>9</v>
      </c>
      <c r="F132" s="59">
        <v>9</v>
      </c>
      <c r="G132" s="59">
        <v>9</v>
      </c>
      <c r="H132" t="str">
        <f>VLOOKUP(A132,UniqueCCOQueueCodes!$A$1:$T$607,6,0)</f>
        <v>Y</v>
      </c>
      <c r="I132" t="str">
        <f>VLOOKUP(A132,UniqueCCOQueueCodes!$A$1:$T$607,20,0)</f>
        <v>ESG</v>
      </c>
    </row>
    <row r="133" spans="1:9" x14ac:dyDescent="0.35">
      <c r="A133" s="36" t="s">
        <v>874</v>
      </c>
      <c r="B133" s="36" t="s">
        <v>1866</v>
      </c>
      <c r="C133" s="59">
        <v>33</v>
      </c>
      <c r="D133" s="59">
        <v>33</v>
      </c>
      <c r="E133" s="59">
        <v>33</v>
      </c>
      <c r="F133" s="59">
        <v>33</v>
      </c>
      <c r="G133" s="59">
        <v>33</v>
      </c>
      <c r="H133" t="str">
        <f>VLOOKUP(A133,UniqueCCOQueueCodes!$A$1:$T$607,6,0)</f>
        <v>Y</v>
      </c>
      <c r="I133" t="str">
        <f>VLOOKUP(A133,UniqueCCOQueueCodes!$A$1:$T$607,20,0)</f>
        <v>Custom Model</v>
      </c>
    </row>
    <row r="134" spans="1:9" x14ac:dyDescent="0.35">
      <c r="A134" s="36" t="s">
        <v>551</v>
      </c>
      <c r="B134" s="36" t="s">
        <v>1867</v>
      </c>
      <c r="C134" s="59">
        <v>22</v>
      </c>
      <c r="D134" s="59">
        <v>22</v>
      </c>
      <c r="E134" s="59">
        <v>22</v>
      </c>
      <c r="F134" s="59">
        <v>22</v>
      </c>
      <c r="G134" s="59">
        <v>22</v>
      </c>
      <c r="H134" t="str">
        <f>VLOOKUP(A134,UniqueCCOQueueCodes!$A$1:$T$607,6,0)</f>
        <v>Y</v>
      </c>
      <c r="I134" t="str">
        <f>VLOOKUP(A134,UniqueCCOQueueCodes!$A$1:$T$607,20,0)</f>
        <v>ESG</v>
      </c>
    </row>
    <row r="135" spans="1:9" x14ac:dyDescent="0.35">
      <c r="A135" s="36" t="s">
        <v>553</v>
      </c>
      <c r="B135" s="36" t="s">
        <v>554</v>
      </c>
      <c r="C135" s="59">
        <v>14</v>
      </c>
      <c r="D135" s="59">
        <v>14</v>
      </c>
      <c r="E135" s="59">
        <v>14</v>
      </c>
      <c r="F135" s="59">
        <v>14</v>
      </c>
      <c r="G135" s="59">
        <v>13</v>
      </c>
      <c r="H135" t="str">
        <f>VLOOKUP(A135,UniqueCCOQueueCodes!$A$1:$T$607,6,0)</f>
        <v>Y</v>
      </c>
      <c r="I135" t="str">
        <f>VLOOKUP(A135,UniqueCCOQueueCodes!$A$1:$T$607,20,0)</f>
        <v>ESG</v>
      </c>
    </row>
    <row r="136" spans="1:9" x14ac:dyDescent="0.35">
      <c r="A136" s="36" t="s">
        <v>571</v>
      </c>
      <c r="B136" s="36" t="s">
        <v>572</v>
      </c>
      <c r="C136" s="59">
        <v>29</v>
      </c>
      <c r="D136" s="59">
        <v>29</v>
      </c>
      <c r="E136" s="59">
        <v>29</v>
      </c>
      <c r="F136" s="59">
        <v>29</v>
      </c>
      <c r="G136" s="59">
        <v>29</v>
      </c>
      <c r="H136" t="str">
        <f>VLOOKUP(A136,UniqueCCOQueueCodes!$A$1:$T$607,6,0)</f>
        <v>Y</v>
      </c>
      <c r="I136" t="str">
        <f>VLOOKUP(A136,UniqueCCOQueueCodes!$A$1:$T$607,20,0)</f>
        <v>ESG</v>
      </c>
    </row>
    <row r="137" spans="1:9" hidden="1" x14ac:dyDescent="0.35">
      <c r="A137" s="36" t="s">
        <v>1098</v>
      </c>
      <c r="B137" s="36" t="s">
        <v>1099</v>
      </c>
      <c r="C137" s="59">
        <v>39</v>
      </c>
      <c r="D137" s="59">
        <v>39</v>
      </c>
      <c r="E137" s="59">
        <v>39</v>
      </c>
      <c r="F137" s="59">
        <v>40</v>
      </c>
      <c r="G137" s="59">
        <v>39</v>
      </c>
      <c r="H137" t="str">
        <f>VLOOKUP(A137,UniqueCCOQueueCodes!$A$1:$T$607,6,0)</f>
        <v>N</v>
      </c>
      <c r="I137" t="str">
        <f>VLOOKUP(A137,UniqueCCOQueueCodes!$A$1:$T$607,20,0)</f>
        <v>Not Planned</v>
      </c>
    </row>
    <row r="138" spans="1:9" hidden="1" x14ac:dyDescent="0.35">
      <c r="A138" s="36" t="s">
        <v>1102</v>
      </c>
      <c r="B138" s="36" t="s">
        <v>1103</v>
      </c>
      <c r="C138" s="59">
        <v>1</v>
      </c>
      <c r="D138" s="59">
        <v>1</v>
      </c>
      <c r="E138" s="59">
        <v>1</v>
      </c>
      <c r="F138" s="59">
        <v>1</v>
      </c>
      <c r="G138" s="59">
        <v>1</v>
      </c>
      <c r="H138" t="str">
        <f>VLOOKUP(A138,UniqueCCOQueueCodes!$A$1:$T$607,6,0)</f>
        <v>N</v>
      </c>
      <c r="I138" t="str">
        <f>VLOOKUP(A138,UniqueCCOQueueCodes!$A$1:$T$607,20,0)</f>
        <v>Not Planned</v>
      </c>
    </row>
    <row r="139" spans="1:9" hidden="1" x14ac:dyDescent="0.35">
      <c r="A139" s="36" t="s">
        <v>1104</v>
      </c>
      <c r="B139" s="36" t="s">
        <v>1105</v>
      </c>
      <c r="C139" s="59">
        <v>4</v>
      </c>
      <c r="D139" s="59">
        <v>4</v>
      </c>
      <c r="E139" s="59">
        <v>4</v>
      </c>
      <c r="F139" s="59">
        <v>4</v>
      </c>
      <c r="G139" s="59">
        <v>4</v>
      </c>
      <c r="H139" t="str">
        <f>VLOOKUP(A139,UniqueCCOQueueCodes!$A$1:$T$607,6,0)</f>
        <v>N</v>
      </c>
      <c r="I139" t="str">
        <f>VLOOKUP(A139,UniqueCCOQueueCodes!$A$1:$T$607,20,0)</f>
        <v>Not Planned</v>
      </c>
    </row>
    <row r="140" spans="1:9" hidden="1" x14ac:dyDescent="0.35">
      <c r="A140" s="36" t="s">
        <v>1110</v>
      </c>
      <c r="B140" s="36" t="s">
        <v>1111</v>
      </c>
      <c r="C140" s="59">
        <v>30</v>
      </c>
      <c r="D140" s="59">
        <v>30</v>
      </c>
      <c r="E140" s="59">
        <v>30</v>
      </c>
      <c r="F140" s="59">
        <v>30</v>
      </c>
      <c r="G140" s="59">
        <v>29</v>
      </c>
      <c r="H140" t="str">
        <f>VLOOKUP(A140,UniqueCCOQueueCodes!$A$1:$T$607,6,0)</f>
        <v>N</v>
      </c>
      <c r="I140" t="str">
        <f>VLOOKUP(A140,UniqueCCOQueueCodes!$A$1:$T$607,20,0)</f>
        <v>Not Planned</v>
      </c>
    </row>
    <row r="141" spans="1:9" hidden="1" x14ac:dyDescent="0.35">
      <c r="A141" s="36" t="s">
        <v>1112</v>
      </c>
      <c r="B141" s="36" t="s">
        <v>1113</v>
      </c>
      <c r="C141" s="59">
        <v>1</v>
      </c>
      <c r="D141" s="59">
        <v>1</v>
      </c>
      <c r="E141" s="59">
        <v>1</v>
      </c>
      <c r="F141" s="59">
        <v>1</v>
      </c>
      <c r="G141" s="59">
        <v>1</v>
      </c>
      <c r="H141" t="str">
        <f>VLOOKUP(A141,UniqueCCOQueueCodes!$A$1:$T$607,6,0)</f>
        <v>N</v>
      </c>
      <c r="I141" t="str">
        <f>VLOOKUP(A141,UniqueCCOQueueCodes!$A$1:$T$607,20,0)</f>
        <v>Not Planned</v>
      </c>
    </row>
    <row r="142" spans="1:9" hidden="1" x14ac:dyDescent="0.35">
      <c r="A142" s="36" t="s">
        <v>1121</v>
      </c>
      <c r="B142" s="36" t="s">
        <v>1122</v>
      </c>
      <c r="C142" s="59">
        <v>19</v>
      </c>
      <c r="D142" s="59">
        <v>19</v>
      </c>
      <c r="E142" s="59">
        <v>19</v>
      </c>
      <c r="F142" s="59">
        <v>19</v>
      </c>
      <c r="G142" s="59">
        <v>19</v>
      </c>
      <c r="H142" t="str">
        <f>VLOOKUP(A142,UniqueCCOQueueCodes!$A$1:$T$607,6,0)</f>
        <v>N</v>
      </c>
      <c r="I142" t="str">
        <f>VLOOKUP(A142,UniqueCCOQueueCodes!$A$1:$T$607,20,0)</f>
        <v>Not Planned</v>
      </c>
    </row>
    <row r="143" spans="1:9" hidden="1" x14ac:dyDescent="0.35">
      <c r="A143" s="36" t="s">
        <v>1125</v>
      </c>
      <c r="B143" s="36" t="s">
        <v>1126</v>
      </c>
      <c r="C143" s="59">
        <v>5</v>
      </c>
      <c r="D143" s="59">
        <v>5</v>
      </c>
      <c r="E143" s="59">
        <v>5</v>
      </c>
      <c r="F143" s="59">
        <v>5</v>
      </c>
      <c r="G143" s="59">
        <v>5</v>
      </c>
      <c r="H143" t="str">
        <f>VLOOKUP(A143,UniqueCCOQueueCodes!$A$1:$T$607,6,0)</f>
        <v>N</v>
      </c>
      <c r="I143" t="str">
        <f>VLOOKUP(A143,UniqueCCOQueueCodes!$A$1:$T$607,20,0)</f>
        <v>Not Planned</v>
      </c>
    </row>
    <row r="144" spans="1:9" hidden="1" x14ac:dyDescent="0.35">
      <c r="A144" s="36" t="s">
        <v>1129</v>
      </c>
      <c r="B144" s="36" t="s">
        <v>1130</v>
      </c>
      <c r="C144" s="59">
        <v>5</v>
      </c>
      <c r="D144" s="59">
        <v>5</v>
      </c>
      <c r="E144" s="59">
        <v>5</v>
      </c>
      <c r="F144" s="59">
        <v>5</v>
      </c>
      <c r="G144" s="59">
        <v>5</v>
      </c>
      <c r="H144" t="str">
        <f>VLOOKUP(A144,UniqueCCOQueueCodes!$A$1:$T$607,6,0)</f>
        <v>N</v>
      </c>
      <c r="I144" t="str">
        <f>VLOOKUP(A144,UniqueCCOQueueCodes!$A$1:$T$607,20,0)</f>
        <v>Not Planned</v>
      </c>
    </row>
    <row r="145" spans="1:9" hidden="1" x14ac:dyDescent="0.35">
      <c r="A145" s="36" t="s">
        <v>1131</v>
      </c>
      <c r="B145" s="36" t="s">
        <v>1132</v>
      </c>
      <c r="C145" s="59">
        <v>2</v>
      </c>
      <c r="D145" s="59">
        <v>2</v>
      </c>
      <c r="E145" s="59">
        <v>2</v>
      </c>
      <c r="F145" s="59">
        <v>2</v>
      </c>
      <c r="G145" s="59">
        <v>2</v>
      </c>
      <c r="H145" t="str">
        <f>VLOOKUP(A145,UniqueCCOQueueCodes!$A$1:$T$607,6,0)</f>
        <v>N</v>
      </c>
      <c r="I145" t="str">
        <f>VLOOKUP(A145,UniqueCCOQueueCodes!$A$1:$T$607,20,0)</f>
        <v>Not Planned</v>
      </c>
    </row>
    <row r="146" spans="1:9" hidden="1" x14ac:dyDescent="0.35">
      <c r="A146" s="36" t="s">
        <v>1133</v>
      </c>
      <c r="B146" s="36" t="s">
        <v>1134</v>
      </c>
      <c r="C146" s="59">
        <v>1</v>
      </c>
      <c r="D146" s="59">
        <v>1</v>
      </c>
      <c r="E146" s="59">
        <v>1</v>
      </c>
      <c r="F146" s="59">
        <v>1</v>
      </c>
      <c r="G146" s="59"/>
      <c r="H146" t="str">
        <f>VLOOKUP(A146,UniqueCCOQueueCodes!$A$1:$T$607,6,0)</f>
        <v>N</v>
      </c>
      <c r="I146" t="str">
        <f>VLOOKUP(A146,UniqueCCOQueueCodes!$A$1:$T$607,20,0)</f>
        <v>Not Planned</v>
      </c>
    </row>
    <row r="147" spans="1:9" hidden="1" x14ac:dyDescent="0.35">
      <c r="A147" s="36" t="s">
        <v>1137</v>
      </c>
      <c r="B147" s="36" t="s">
        <v>1138</v>
      </c>
      <c r="C147" s="59">
        <v>16</v>
      </c>
      <c r="D147" s="59">
        <v>16</v>
      </c>
      <c r="E147" s="59">
        <v>16</v>
      </c>
      <c r="F147" s="59">
        <v>16</v>
      </c>
      <c r="G147" s="59">
        <v>16</v>
      </c>
      <c r="H147" t="str">
        <f>VLOOKUP(A147,UniqueCCOQueueCodes!$A$1:$T$607,6,0)</f>
        <v>N</v>
      </c>
      <c r="I147" t="str">
        <f>VLOOKUP(A147,UniqueCCOQueueCodes!$A$1:$T$607,20,0)</f>
        <v>Not Planned</v>
      </c>
    </row>
    <row r="148" spans="1:9" hidden="1" x14ac:dyDescent="0.35">
      <c r="A148" s="36" t="s">
        <v>1139</v>
      </c>
      <c r="B148" s="36" t="s">
        <v>1140</v>
      </c>
      <c r="C148" s="59">
        <v>5</v>
      </c>
      <c r="D148" s="59">
        <v>5</v>
      </c>
      <c r="E148" s="59">
        <v>5</v>
      </c>
      <c r="F148" s="59">
        <v>5</v>
      </c>
      <c r="G148" s="59">
        <v>5</v>
      </c>
      <c r="H148" t="str">
        <f>VLOOKUP(A148,UniqueCCOQueueCodes!$A$1:$T$607,6,0)</f>
        <v>N</v>
      </c>
      <c r="I148" t="str">
        <f>VLOOKUP(A148,UniqueCCOQueueCodes!$A$1:$T$607,20,0)</f>
        <v>Not Planned</v>
      </c>
    </row>
    <row r="149" spans="1:9" hidden="1" x14ac:dyDescent="0.35">
      <c r="A149" s="36" t="s">
        <v>1143</v>
      </c>
      <c r="B149" s="36" t="s">
        <v>1144</v>
      </c>
      <c r="C149" s="59">
        <v>1</v>
      </c>
      <c r="D149" s="59">
        <v>1</v>
      </c>
      <c r="E149" s="59">
        <v>1</v>
      </c>
      <c r="F149" s="59">
        <v>1</v>
      </c>
      <c r="G149" s="59">
        <v>1</v>
      </c>
      <c r="H149" t="str">
        <f>VLOOKUP(A149,UniqueCCOQueueCodes!$A$1:$T$607,6,0)</f>
        <v>N</v>
      </c>
      <c r="I149" t="str">
        <f>VLOOKUP(A149,UniqueCCOQueueCodes!$A$1:$T$607,20,0)</f>
        <v>Not Planned</v>
      </c>
    </row>
    <row r="150" spans="1:9" hidden="1" x14ac:dyDescent="0.35">
      <c r="A150" s="36" t="s">
        <v>1147</v>
      </c>
      <c r="B150" s="36" t="s">
        <v>1148</v>
      </c>
      <c r="C150" s="59">
        <v>11</v>
      </c>
      <c r="D150" s="59">
        <v>11</v>
      </c>
      <c r="E150" s="59">
        <v>11</v>
      </c>
      <c r="F150" s="59">
        <v>11</v>
      </c>
      <c r="G150" s="59">
        <v>11</v>
      </c>
      <c r="H150" t="str">
        <f>VLOOKUP(A150,UniqueCCOQueueCodes!$A$1:$T$607,6,0)</f>
        <v>N</v>
      </c>
      <c r="I150" t="str">
        <f>VLOOKUP(A150,UniqueCCOQueueCodes!$A$1:$T$607,20,0)</f>
        <v>Not Planned</v>
      </c>
    </row>
    <row r="151" spans="1:9" hidden="1" x14ac:dyDescent="0.35">
      <c r="A151" s="36" t="s">
        <v>1155</v>
      </c>
      <c r="B151" s="36" t="s">
        <v>1156</v>
      </c>
      <c r="C151" s="59">
        <v>25</v>
      </c>
      <c r="D151" s="59">
        <v>25</v>
      </c>
      <c r="E151" s="59">
        <v>25</v>
      </c>
      <c r="F151" s="59">
        <v>25</v>
      </c>
      <c r="G151" s="59">
        <v>25</v>
      </c>
      <c r="H151" t="str">
        <f>VLOOKUP(A151,UniqueCCOQueueCodes!$A$1:$T$607,6,0)</f>
        <v>N</v>
      </c>
      <c r="I151" t="str">
        <f>VLOOKUP(A151,UniqueCCOQueueCodes!$A$1:$T$607,20,0)</f>
        <v>Not Planned</v>
      </c>
    </row>
    <row r="152" spans="1:9" hidden="1" x14ac:dyDescent="0.35">
      <c r="A152" s="36" t="s">
        <v>1162</v>
      </c>
      <c r="B152" s="36" t="s">
        <v>1163</v>
      </c>
      <c r="C152" s="59">
        <v>1</v>
      </c>
      <c r="D152" s="59">
        <v>1</v>
      </c>
      <c r="E152" s="59">
        <v>1</v>
      </c>
      <c r="F152" s="59">
        <v>1</v>
      </c>
      <c r="G152" s="59">
        <v>1</v>
      </c>
      <c r="H152" t="str">
        <f>VLOOKUP(A152,UniqueCCOQueueCodes!$A$1:$T$607,6,0)</f>
        <v>N</v>
      </c>
      <c r="I152" t="str">
        <f>VLOOKUP(A152,UniqueCCOQueueCodes!$A$1:$T$607,20,0)</f>
        <v>Not Planned</v>
      </c>
    </row>
    <row r="153" spans="1:9" hidden="1" x14ac:dyDescent="0.35">
      <c r="A153" s="36" t="s">
        <v>1168</v>
      </c>
      <c r="B153" s="36" t="s">
        <v>1169</v>
      </c>
      <c r="C153" s="59">
        <v>7</v>
      </c>
      <c r="D153" s="59">
        <v>7</v>
      </c>
      <c r="E153" s="59">
        <v>7</v>
      </c>
      <c r="F153" s="59">
        <v>7</v>
      </c>
      <c r="G153" s="59">
        <v>7</v>
      </c>
      <c r="H153" t="str">
        <f>VLOOKUP(A153,UniqueCCOQueueCodes!$A$1:$T$607,6,0)</f>
        <v>N</v>
      </c>
      <c r="I153" t="str">
        <f>VLOOKUP(A153,UniqueCCOQueueCodes!$A$1:$T$607,20,0)</f>
        <v>Not Planned</v>
      </c>
    </row>
    <row r="154" spans="1:9" hidden="1" x14ac:dyDescent="0.35">
      <c r="A154" s="36" t="s">
        <v>1170</v>
      </c>
      <c r="B154" s="36" t="s">
        <v>1171</v>
      </c>
      <c r="C154" s="59">
        <v>42</v>
      </c>
      <c r="D154" s="59">
        <v>42</v>
      </c>
      <c r="E154" s="59">
        <v>42</v>
      </c>
      <c r="F154" s="59">
        <v>42</v>
      </c>
      <c r="G154" s="59">
        <v>42</v>
      </c>
      <c r="H154" t="str">
        <f>VLOOKUP(A154,UniqueCCOQueueCodes!$A$1:$T$607,6,0)</f>
        <v>N</v>
      </c>
      <c r="I154" t="str">
        <f>VLOOKUP(A154,UniqueCCOQueueCodes!$A$1:$T$607,20,0)</f>
        <v>Not Planned</v>
      </c>
    </row>
    <row r="155" spans="1:9" hidden="1" x14ac:dyDescent="0.35">
      <c r="A155" s="36" t="s">
        <v>1191</v>
      </c>
      <c r="B155" s="36" t="s">
        <v>1192</v>
      </c>
      <c r="C155" s="59">
        <v>11</v>
      </c>
      <c r="D155" s="59">
        <v>11</v>
      </c>
      <c r="E155" s="59">
        <v>11</v>
      </c>
      <c r="F155" s="59">
        <v>11</v>
      </c>
      <c r="G155" s="59">
        <v>11</v>
      </c>
      <c r="H155" t="str">
        <f>VLOOKUP(A155,UniqueCCOQueueCodes!$A$1:$T$607,6,0)</f>
        <v>N</v>
      </c>
      <c r="I155" t="str">
        <f>VLOOKUP(A155,UniqueCCOQueueCodes!$A$1:$T$607,20,0)</f>
        <v>Not Planned</v>
      </c>
    </row>
    <row r="156" spans="1:9" x14ac:dyDescent="0.35">
      <c r="A156" s="36" t="s">
        <v>1193</v>
      </c>
      <c r="B156" s="36" t="s">
        <v>1194</v>
      </c>
      <c r="C156" s="59">
        <v>23</v>
      </c>
      <c r="D156" s="59">
        <v>24</v>
      </c>
      <c r="E156" s="59">
        <v>24</v>
      </c>
      <c r="F156" s="59">
        <v>24</v>
      </c>
      <c r="G156" s="59">
        <v>23</v>
      </c>
      <c r="H156" t="str">
        <f>VLOOKUP(A156,UniqueCCOQueueCodes!$A$1:$T$607,6,0)</f>
        <v>Y</v>
      </c>
      <c r="I156" t="str">
        <f>VLOOKUP(A156,UniqueCCOQueueCodes!$A$1:$T$607,20,0)</f>
        <v>HES</v>
      </c>
    </row>
    <row r="157" spans="1:9" hidden="1" x14ac:dyDescent="0.35">
      <c r="A157" s="36" t="s">
        <v>1955</v>
      </c>
      <c r="B157" s="36" t="s">
        <v>1956</v>
      </c>
      <c r="C157" s="59">
        <v>5</v>
      </c>
      <c r="D157" s="59">
        <v>5</v>
      </c>
      <c r="E157" s="59">
        <v>5</v>
      </c>
      <c r="F157" s="59">
        <v>5</v>
      </c>
      <c r="G157" s="59">
        <v>5</v>
      </c>
      <c r="H157" t="str">
        <f>VLOOKUP(A157,UniqueCCOQueueCodes!$A$1:$T$607,6,0)</f>
        <v>N</v>
      </c>
      <c r="I157" t="str">
        <f>VLOOKUP(A157,UniqueCCOQueueCodes!$A$1:$T$607,20,0)</f>
        <v>Not Planned</v>
      </c>
    </row>
    <row r="158" spans="1:9" hidden="1" x14ac:dyDescent="0.35">
      <c r="A158" s="36" t="s">
        <v>1195</v>
      </c>
      <c r="B158" s="36" t="s">
        <v>1195</v>
      </c>
      <c r="C158" s="59">
        <v>7</v>
      </c>
      <c r="D158" s="59">
        <v>7</v>
      </c>
      <c r="E158" s="59">
        <v>7</v>
      </c>
      <c r="F158" s="59">
        <v>7</v>
      </c>
      <c r="G158" s="59">
        <v>6</v>
      </c>
      <c r="H158" t="e">
        <f>VLOOKUP(A158,UniqueCCOQueueCodes!$A$1:$T$607,6,0)</f>
        <v>#N/A</v>
      </c>
      <c r="I158" t="e">
        <f>VLOOKUP(A158,UniqueCCOQueueCodes!$A$1:$T$607,20,0)</f>
        <v>#N/A</v>
      </c>
    </row>
    <row r="159" spans="1:9" hidden="1" x14ac:dyDescent="0.35">
      <c r="A159" s="36" t="s">
        <v>1893</v>
      </c>
      <c r="B159" s="36" t="s">
        <v>2248</v>
      </c>
      <c r="C159" s="59">
        <v>18</v>
      </c>
      <c r="D159" s="59">
        <v>19</v>
      </c>
      <c r="E159" s="59">
        <v>19</v>
      </c>
      <c r="F159" s="59">
        <v>20</v>
      </c>
      <c r="G159" s="59">
        <v>20</v>
      </c>
      <c r="H159" t="str">
        <f>VLOOKUP(A159,UniqueCCOQueueCodes!$A$1:$T$607,6,0)</f>
        <v>Y</v>
      </c>
      <c r="I159" t="str">
        <f>VLOOKUP(A159,UniqueCCOQueueCodes!$A$1:$T$607,20,0)</f>
        <v>HES</v>
      </c>
    </row>
    <row r="160" spans="1:9" x14ac:dyDescent="0.35">
      <c r="A160" s="36" t="s">
        <v>581</v>
      </c>
      <c r="B160" s="36" t="s">
        <v>582</v>
      </c>
      <c r="C160" s="59">
        <v>5</v>
      </c>
      <c r="D160" s="59">
        <v>5</v>
      </c>
      <c r="E160" s="59">
        <v>5</v>
      </c>
      <c r="F160" s="59">
        <v>5</v>
      </c>
      <c r="G160" s="59">
        <v>5</v>
      </c>
      <c r="H160" t="str">
        <f>VLOOKUP(A160,UniqueCCOQueueCodes!$A$1:$T$607,6,0)</f>
        <v>N</v>
      </c>
      <c r="I160" t="str">
        <f>VLOOKUP(A160,UniqueCCOQueueCodes!$A$1:$T$607,20,0)</f>
        <v>Not Planned</v>
      </c>
    </row>
    <row r="161" spans="1:9" x14ac:dyDescent="0.35">
      <c r="A161" s="36" t="s">
        <v>587</v>
      </c>
      <c r="B161" s="36" t="s">
        <v>1868</v>
      </c>
      <c r="C161" s="59">
        <v>5</v>
      </c>
      <c r="D161" s="59">
        <v>5</v>
      </c>
      <c r="E161" s="59">
        <v>5</v>
      </c>
      <c r="F161" s="59">
        <v>5</v>
      </c>
      <c r="G161" s="59">
        <v>5</v>
      </c>
      <c r="H161" t="str">
        <f>VLOOKUP(A161,UniqueCCOQueueCodes!$A$1:$T$607,6,0)</f>
        <v>Y</v>
      </c>
      <c r="I161" t="str">
        <f>VLOOKUP(A161,UniqueCCOQueueCodes!$A$1:$T$607,20,0)</f>
        <v>ESG</v>
      </c>
    </row>
    <row r="162" spans="1:9" x14ac:dyDescent="0.35">
      <c r="A162" s="36" t="s">
        <v>212</v>
      </c>
      <c r="B162" s="36" t="s">
        <v>213</v>
      </c>
      <c r="C162" s="59">
        <v>15</v>
      </c>
      <c r="D162" s="59">
        <v>15</v>
      </c>
      <c r="E162" s="59">
        <v>15</v>
      </c>
      <c r="F162" s="59">
        <v>15</v>
      </c>
      <c r="G162" s="59">
        <v>15</v>
      </c>
      <c r="H162" t="str">
        <f>VLOOKUP(A162,UniqueCCOQueueCodes!$A$1:$T$607,6,0)</f>
        <v>Y</v>
      </c>
      <c r="I162" t="str">
        <f>VLOOKUP(A162,UniqueCCOQueueCodes!$A$1:$T$607,20,0)</f>
        <v>HES</v>
      </c>
    </row>
    <row r="163" spans="1:9" x14ac:dyDescent="0.35">
      <c r="A163" s="36" t="s">
        <v>297</v>
      </c>
      <c r="B163" s="36" t="s">
        <v>1869</v>
      </c>
      <c r="C163" s="59">
        <v>8</v>
      </c>
      <c r="D163" s="59">
        <v>8</v>
      </c>
      <c r="E163" s="59">
        <v>8</v>
      </c>
      <c r="F163" s="59">
        <v>8</v>
      </c>
      <c r="G163" s="59">
        <v>8</v>
      </c>
      <c r="H163" t="str">
        <f>VLOOKUP(A163,UniqueCCOQueueCodes!$A$1:$T$607,6,0)</f>
        <v>Y</v>
      </c>
      <c r="I163" t="str">
        <f>VLOOKUP(A163,UniqueCCOQueueCodes!$A$1:$T$607,20,0)</f>
        <v>ESG</v>
      </c>
    </row>
    <row r="164" spans="1:9" x14ac:dyDescent="0.35">
      <c r="A164" s="36" t="s">
        <v>299</v>
      </c>
      <c r="B164" s="36" t="s">
        <v>300</v>
      </c>
      <c r="C164" s="59">
        <v>4</v>
      </c>
      <c r="D164" s="59">
        <v>4</v>
      </c>
      <c r="E164" s="59">
        <v>4</v>
      </c>
      <c r="F164" s="59">
        <v>4</v>
      </c>
      <c r="G164" s="59">
        <v>4</v>
      </c>
      <c r="H164" t="str">
        <f>VLOOKUP(A164,UniqueCCOQueueCodes!$A$1:$T$607,6,0)</f>
        <v>Y</v>
      </c>
      <c r="I164" t="str">
        <f>VLOOKUP(A164,UniqueCCOQueueCodes!$A$1:$T$607,20,0)</f>
        <v>ESG</v>
      </c>
    </row>
    <row r="165" spans="1:9" x14ac:dyDescent="0.35">
      <c r="A165" s="36" t="s">
        <v>593</v>
      </c>
      <c r="B165" s="36" t="s">
        <v>1870</v>
      </c>
      <c r="C165" s="59">
        <v>7</v>
      </c>
      <c r="D165" s="59">
        <v>7</v>
      </c>
      <c r="E165" s="59">
        <v>7</v>
      </c>
      <c r="F165" s="59">
        <v>7</v>
      </c>
      <c r="G165" s="59">
        <v>7</v>
      </c>
      <c r="H165" t="str">
        <f>VLOOKUP(A165,UniqueCCOQueueCodes!$A$1:$T$607,6,0)</f>
        <v>Y</v>
      </c>
      <c r="I165" t="str">
        <f>VLOOKUP(A165,UniqueCCOQueueCodes!$A$1:$T$607,20,0)</f>
        <v>ESG</v>
      </c>
    </row>
    <row r="166" spans="1:9" x14ac:dyDescent="0.35">
      <c r="A166" s="36" t="s">
        <v>601</v>
      </c>
      <c r="B166" s="36" t="s">
        <v>602</v>
      </c>
      <c r="C166" s="59">
        <v>17</v>
      </c>
      <c r="D166" s="59">
        <v>17</v>
      </c>
      <c r="E166" s="59">
        <v>17</v>
      </c>
      <c r="F166" s="59">
        <v>17</v>
      </c>
      <c r="G166" s="59">
        <v>17</v>
      </c>
      <c r="H166" t="str">
        <f>VLOOKUP(A166,UniqueCCOQueueCodes!$A$1:$T$607,6,0)</f>
        <v>Y</v>
      </c>
      <c r="I166" t="str">
        <f>VLOOKUP(A166,UniqueCCOQueueCodes!$A$1:$T$607,20,0)</f>
        <v>ESG</v>
      </c>
    </row>
    <row r="167" spans="1:9" hidden="1" x14ac:dyDescent="0.35">
      <c r="A167" s="36" t="s">
        <v>1793</v>
      </c>
      <c r="B167" s="36" t="s">
        <v>1794</v>
      </c>
      <c r="C167" s="59">
        <v>51.875</v>
      </c>
      <c r="D167" s="59">
        <v>51.875</v>
      </c>
      <c r="E167" s="59">
        <v>51.875</v>
      </c>
      <c r="F167" s="59">
        <v>51.875</v>
      </c>
      <c r="G167" s="59">
        <v>51.875</v>
      </c>
      <c r="H167" t="str">
        <f>VLOOKUP(A167,UniqueCCOQueueCodes!$A$1:$T$607,6,0)</f>
        <v>N</v>
      </c>
      <c r="I167" t="str">
        <f>VLOOKUP(A167,UniqueCCOQueueCodes!$A$1:$T$607,20,0)</f>
        <v>Not Planned</v>
      </c>
    </row>
    <row r="168" spans="1:9" hidden="1" x14ac:dyDescent="0.35">
      <c r="A168" s="36" t="s">
        <v>1894</v>
      </c>
      <c r="B168" s="36" t="s">
        <v>1895</v>
      </c>
      <c r="C168" s="59">
        <v>7</v>
      </c>
      <c r="D168" s="59">
        <v>7</v>
      </c>
      <c r="E168" s="59">
        <v>7</v>
      </c>
      <c r="F168" s="59">
        <v>7</v>
      </c>
      <c r="G168" s="59">
        <v>7</v>
      </c>
      <c r="H168" t="str">
        <f>VLOOKUP(A168,UniqueCCOQueueCodes!$A$1:$T$607,6,0)</f>
        <v>N</v>
      </c>
      <c r="I168" t="str">
        <f>VLOOKUP(A168,UniqueCCOQueueCodes!$A$1:$T$607,20,0)</f>
        <v>Not Planned</v>
      </c>
    </row>
    <row r="169" spans="1:9" x14ac:dyDescent="0.35">
      <c r="A169" s="36" t="s">
        <v>607</v>
      </c>
      <c r="B169" s="36" t="s">
        <v>608</v>
      </c>
      <c r="C169" s="59">
        <v>13</v>
      </c>
      <c r="D169" s="59">
        <v>13</v>
      </c>
      <c r="E169" s="59">
        <v>13</v>
      </c>
      <c r="F169" s="59">
        <v>13</v>
      </c>
      <c r="G169" s="59">
        <v>13</v>
      </c>
      <c r="H169" t="str">
        <f>VLOOKUP(A169,UniqueCCOQueueCodes!$A$1:$T$607,6,0)</f>
        <v>Y</v>
      </c>
      <c r="I169" t="str">
        <f>VLOOKUP(A169,UniqueCCOQueueCodes!$A$1:$T$607,20,0)</f>
        <v>ESG</v>
      </c>
    </row>
    <row r="170" spans="1:9" x14ac:dyDescent="0.35">
      <c r="A170" s="36" t="s">
        <v>1795</v>
      </c>
      <c r="B170" s="36" t="s">
        <v>1796</v>
      </c>
      <c r="C170" s="59">
        <v>47</v>
      </c>
      <c r="D170" s="59">
        <v>47</v>
      </c>
      <c r="E170" s="59">
        <v>48</v>
      </c>
      <c r="F170" s="59">
        <v>47</v>
      </c>
      <c r="G170" s="59">
        <v>47</v>
      </c>
      <c r="H170" t="str">
        <f>VLOOKUP(A170,UniqueCCOQueueCodes!$A$1:$T$607,6,0)</f>
        <v>Y</v>
      </c>
      <c r="I170" t="str">
        <f>VLOOKUP(A170,UniqueCCOQueueCodes!$A$1:$T$607,20,0)</f>
        <v>Custom Model</v>
      </c>
    </row>
    <row r="171" spans="1:9" x14ac:dyDescent="0.35">
      <c r="A171" s="36" t="s">
        <v>1797</v>
      </c>
      <c r="B171" s="36" t="s">
        <v>1798</v>
      </c>
      <c r="C171" s="59">
        <v>70</v>
      </c>
      <c r="D171" s="59">
        <v>71</v>
      </c>
      <c r="E171" s="59">
        <v>71</v>
      </c>
      <c r="F171" s="59">
        <v>72</v>
      </c>
      <c r="G171" s="59">
        <v>72</v>
      </c>
      <c r="H171" t="str">
        <f>VLOOKUP(A171,UniqueCCOQueueCodes!$A$1:$T$607,6,0)</f>
        <v>Y</v>
      </c>
      <c r="I171" t="str">
        <f>VLOOKUP(A171,UniqueCCOQueueCodes!$A$1:$T$607,20,0)</f>
        <v>Custom Model</v>
      </c>
    </row>
    <row r="172" spans="1:9" x14ac:dyDescent="0.35">
      <c r="A172" s="36" t="s">
        <v>2170</v>
      </c>
      <c r="B172" s="36" t="s">
        <v>2169</v>
      </c>
      <c r="C172" s="59">
        <v>19</v>
      </c>
      <c r="D172" s="59">
        <v>19</v>
      </c>
      <c r="E172" s="59">
        <v>20</v>
      </c>
      <c r="F172" s="59">
        <v>20</v>
      </c>
      <c r="G172" s="59">
        <v>20</v>
      </c>
      <c r="H172" t="str">
        <f>VLOOKUP(A172,UniqueCCOQueueCodes!$A$1:$T$607,6,0)</f>
        <v>Y</v>
      </c>
      <c r="I172" t="str">
        <f>VLOOKUP(A172,UniqueCCOQueueCodes!$A$1:$T$607,20,0)</f>
        <v>ESG</v>
      </c>
    </row>
    <row r="173" spans="1:9" hidden="1" x14ac:dyDescent="0.35">
      <c r="A173" s="36" t="s">
        <v>876</v>
      </c>
      <c r="C173" s="59">
        <v>4816.6046999999999</v>
      </c>
      <c r="D173" s="59">
        <v>4812.6046999999999</v>
      </c>
      <c r="E173" s="59">
        <v>4805.6046999999999</v>
      </c>
      <c r="F173" s="59">
        <v>4787.6046999999999</v>
      </c>
      <c r="G173" s="59">
        <v>4693.6046999999999</v>
      </c>
      <c r="H173" t="e">
        <f>VLOOKUP(A173,UniqueCCOQueueCodes!$A$1:$T$607,6,0)</f>
        <v>#N/A</v>
      </c>
      <c r="I173" t="e">
        <f>VLOOKUP(A173,UniqueCCOQueueCodes!$A$1:$T$607,20,0)</f>
        <v>#N/A</v>
      </c>
    </row>
  </sheetData>
  <autoFilter ref="A1:H173" xr:uid="{F1B8E08D-F58A-440D-9241-B13CC66B4E25}">
    <filterColumn colId="7">
      <filters>
        <filter val="Y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4097E-1863-4F55-8EA7-8E0B3642FB4B}">
  <sheetPr codeName="Sheet3" filterMode="1">
    <tabColor rgb="FF92D050"/>
  </sheetPr>
  <dimension ref="A1:R601"/>
  <sheetViews>
    <sheetView workbookViewId="0">
      <pane ySplit="1" topLeftCell="A432" activePane="bottomLeft" state="frozen"/>
      <selection pane="bottomLeft" activeCell="B432" sqref="B432:E455"/>
    </sheetView>
  </sheetViews>
  <sheetFormatPr defaultColWidth="8.81640625" defaultRowHeight="15" customHeight="1" outlineLevelRow="1" x14ac:dyDescent="0.3"/>
  <cols>
    <col min="1" max="1" width="18.26953125" style="13" bestFit="1" customWidth="1"/>
    <col min="2" max="2" width="25.1796875" style="13" bestFit="1" customWidth="1"/>
    <col min="3" max="3" width="34" style="13" bestFit="1" customWidth="1"/>
    <col min="4" max="4" width="15.7265625" style="13" bestFit="1" customWidth="1"/>
    <col min="5" max="5" width="10" style="13" bestFit="1" customWidth="1"/>
    <col min="6" max="6" width="16.81640625" style="13" bestFit="1" customWidth="1"/>
    <col min="7" max="7" width="6.26953125" style="13" bestFit="1" customWidth="1"/>
    <col min="8" max="8" width="16.54296875" style="13" bestFit="1" customWidth="1"/>
    <col min="9" max="9" width="13.26953125" style="13" customWidth="1"/>
    <col min="10" max="10" width="11.26953125" style="13" bestFit="1" customWidth="1"/>
    <col min="11" max="11" width="39.26953125" style="13" bestFit="1" customWidth="1"/>
    <col min="12" max="12" width="17.1796875" style="13" bestFit="1" customWidth="1"/>
    <col min="13" max="13" width="47.1796875" style="13" customWidth="1"/>
    <col min="14" max="14" width="13.26953125" style="13" bestFit="1" customWidth="1"/>
    <col min="15" max="15" width="12.453125" style="13" bestFit="1" customWidth="1"/>
    <col min="16" max="16" width="21.453125" style="13" bestFit="1" customWidth="1"/>
    <col min="17" max="17" width="12.81640625" style="13" bestFit="1" customWidth="1"/>
    <col min="18" max="16384" width="8.81640625" style="13"/>
  </cols>
  <sheetData>
    <row r="1" spans="1:17" ht="15" customHeight="1" x14ac:dyDescent="0.3">
      <c r="A1" s="11" t="s">
        <v>2124</v>
      </c>
      <c r="B1" s="11" t="s">
        <v>2</v>
      </c>
      <c r="C1" s="11" t="s">
        <v>3</v>
      </c>
      <c r="D1" s="11" t="s">
        <v>877</v>
      </c>
      <c r="E1" s="11" t="s">
        <v>0</v>
      </c>
      <c r="F1" s="11" t="s">
        <v>1</v>
      </c>
      <c r="G1" s="11" t="s">
        <v>4</v>
      </c>
      <c r="H1" s="11" t="s">
        <v>879</v>
      </c>
      <c r="I1" s="11" t="s">
        <v>880</v>
      </c>
      <c r="J1" s="11" t="s">
        <v>881</v>
      </c>
      <c r="K1" s="11" t="s">
        <v>885</v>
      </c>
      <c r="L1" s="11" t="s">
        <v>886</v>
      </c>
      <c r="M1" s="12" t="s">
        <v>887</v>
      </c>
      <c r="N1" s="11" t="s">
        <v>888</v>
      </c>
      <c r="O1" s="11" t="s">
        <v>890</v>
      </c>
      <c r="P1" s="11" t="s">
        <v>1959</v>
      </c>
      <c r="Q1" s="11" t="s">
        <v>2123</v>
      </c>
    </row>
    <row r="2" spans="1:17" ht="15" hidden="1" customHeight="1" outlineLevel="1" x14ac:dyDescent="0.3">
      <c r="A2" s="13" t="s">
        <v>2144</v>
      </c>
      <c r="B2" s="15" t="s">
        <v>1811</v>
      </c>
      <c r="C2" s="15" t="s">
        <v>1812</v>
      </c>
      <c r="D2" s="15" t="s">
        <v>973</v>
      </c>
      <c r="E2" s="15" t="s">
        <v>229</v>
      </c>
      <c r="F2" s="15" t="s">
        <v>229</v>
      </c>
      <c r="G2" s="15" t="s">
        <v>8</v>
      </c>
      <c r="H2" s="15" t="s">
        <v>935</v>
      </c>
      <c r="I2" s="15" t="s">
        <v>936</v>
      </c>
      <c r="J2" s="17">
        <v>0.626</v>
      </c>
      <c r="K2" s="15" t="str">
        <f t="shared" ref="K2:K65" si="0">B2&amp;"_"&amp;C2</f>
        <v>BT02_Brazil Midrange</v>
      </c>
      <c r="L2" s="15"/>
      <c r="M2" s="15" t="s">
        <v>1885</v>
      </c>
      <c r="N2" s="15"/>
      <c r="O2" s="15" t="s">
        <v>1880</v>
      </c>
      <c r="P2" s="19" t="s">
        <v>1886</v>
      </c>
    </row>
    <row r="3" spans="1:17" ht="15" hidden="1" customHeight="1" outlineLevel="1" x14ac:dyDescent="0.3">
      <c r="A3" s="13" t="s">
        <v>2144</v>
      </c>
      <c r="B3" s="15" t="s">
        <v>1813</v>
      </c>
      <c r="C3" s="15" t="s">
        <v>1814</v>
      </c>
      <c r="D3" s="15" t="s">
        <v>973</v>
      </c>
      <c r="E3" s="15" t="s">
        <v>229</v>
      </c>
      <c r="F3" s="15" t="s">
        <v>229</v>
      </c>
      <c r="G3" s="15" t="s">
        <v>8</v>
      </c>
      <c r="H3" s="15" t="s">
        <v>935</v>
      </c>
      <c r="I3" s="15" t="s">
        <v>1815</v>
      </c>
      <c r="J3" s="17">
        <v>0.626</v>
      </c>
      <c r="K3" s="15" t="str">
        <f t="shared" si="0"/>
        <v>BT03_MMCLA Midrange</v>
      </c>
      <c r="L3" s="15"/>
      <c r="M3" s="15" t="s">
        <v>1885</v>
      </c>
      <c r="N3" s="15"/>
      <c r="O3" s="15" t="s">
        <v>1880</v>
      </c>
      <c r="P3" s="19" t="s">
        <v>1886</v>
      </c>
    </row>
    <row r="4" spans="1:17" ht="15" hidden="1" customHeight="1" outlineLevel="1" x14ac:dyDescent="0.3">
      <c r="A4" s="13" t="s">
        <v>2144</v>
      </c>
      <c r="B4" s="15" t="s">
        <v>165</v>
      </c>
      <c r="C4" s="15" t="s">
        <v>166</v>
      </c>
      <c r="D4" s="15" t="s">
        <v>928</v>
      </c>
      <c r="E4" s="15" t="s">
        <v>158</v>
      </c>
      <c r="F4" s="15" t="s">
        <v>218</v>
      </c>
      <c r="G4" s="15" t="s">
        <v>8</v>
      </c>
      <c r="H4" s="15" t="s">
        <v>893</v>
      </c>
      <c r="I4" s="15"/>
      <c r="J4" s="17">
        <v>0.64800000000000002</v>
      </c>
      <c r="K4" s="15" t="str">
        <f t="shared" si="0"/>
        <v>CV02_HCS AMER Converged Infrastructure</v>
      </c>
      <c r="L4" s="15"/>
      <c r="M4" s="15" t="s">
        <v>1810</v>
      </c>
      <c r="N4" s="15">
        <v>14</v>
      </c>
      <c r="O4" s="15" t="s">
        <v>1880</v>
      </c>
      <c r="P4" s="19" t="s">
        <v>1886</v>
      </c>
    </row>
    <row r="5" spans="1:17" ht="13" hidden="1" outlineLevel="1" x14ac:dyDescent="0.3">
      <c r="A5" s="13" t="s">
        <v>2144</v>
      </c>
      <c r="B5" s="15" t="s">
        <v>167</v>
      </c>
      <c r="C5" s="15" t="s">
        <v>168</v>
      </c>
      <c r="D5" s="15" t="s">
        <v>928</v>
      </c>
      <c r="E5" s="15" t="s">
        <v>158</v>
      </c>
      <c r="F5" s="15" t="s">
        <v>218</v>
      </c>
      <c r="G5" s="15" t="s">
        <v>8</v>
      </c>
      <c r="H5" s="15" t="s">
        <v>903</v>
      </c>
      <c r="I5" s="15"/>
      <c r="J5" s="17">
        <v>0.629</v>
      </c>
      <c r="K5" s="15" t="str">
        <f t="shared" si="0"/>
        <v>CV03_HCS APJ Converged Infrastructure</v>
      </c>
      <c r="L5" s="15"/>
      <c r="M5" s="15" t="s">
        <v>1810</v>
      </c>
      <c r="N5" s="15">
        <v>14</v>
      </c>
      <c r="O5" s="15" t="s">
        <v>1880</v>
      </c>
      <c r="P5" s="19" t="s">
        <v>1886</v>
      </c>
    </row>
    <row r="6" spans="1:17" ht="15" hidden="1" customHeight="1" outlineLevel="1" x14ac:dyDescent="0.3">
      <c r="A6" s="13" t="s">
        <v>2144</v>
      </c>
      <c r="B6" s="15" t="s">
        <v>169</v>
      </c>
      <c r="C6" s="15" t="s">
        <v>170</v>
      </c>
      <c r="D6" s="15" t="s">
        <v>928</v>
      </c>
      <c r="E6" s="15" t="s">
        <v>158</v>
      </c>
      <c r="F6" s="15" t="s">
        <v>218</v>
      </c>
      <c r="G6" s="15" t="s">
        <v>8</v>
      </c>
      <c r="H6" s="15" t="s">
        <v>912</v>
      </c>
      <c r="I6" s="15"/>
      <c r="J6" s="17">
        <v>0.61699999999999999</v>
      </c>
      <c r="K6" s="15" t="str">
        <f t="shared" si="0"/>
        <v>CV04_HCS EMEA Converged Infrastructure</v>
      </c>
      <c r="L6" s="15"/>
      <c r="M6" s="15" t="s">
        <v>1810</v>
      </c>
      <c r="N6" s="15">
        <v>14</v>
      </c>
      <c r="O6" s="15" t="s">
        <v>1880</v>
      </c>
      <c r="P6" s="19" t="s">
        <v>1886</v>
      </c>
    </row>
    <row r="7" spans="1:17" ht="13" hidden="1" outlineLevel="1" x14ac:dyDescent="0.3">
      <c r="A7" s="13" t="s">
        <v>2144</v>
      </c>
      <c r="B7" s="15" t="s">
        <v>171</v>
      </c>
      <c r="C7" s="15" t="s">
        <v>172</v>
      </c>
      <c r="D7" s="15" t="s">
        <v>928</v>
      </c>
      <c r="E7" s="15" t="s">
        <v>158</v>
      </c>
      <c r="F7" s="15" t="s">
        <v>218</v>
      </c>
      <c r="G7" s="15" t="s">
        <v>8</v>
      </c>
      <c r="H7" s="15" t="s">
        <v>929</v>
      </c>
      <c r="I7" s="15"/>
      <c r="J7" s="17">
        <v>0.63300000000000001</v>
      </c>
      <c r="K7" s="15" t="str">
        <f t="shared" si="0"/>
        <v>CV05_HCS Global Converged Infrastructure</v>
      </c>
      <c r="L7" s="15"/>
      <c r="M7" s="15" t="s">
        <v>1810</v>
      </c>
      <c r="N7" s="15">
        <v>24</v>
      </c>
      <c r="O7" s="15" t="s">
        <v>1880</v>
      </c>
      <c r="P7" s="19" t="s">
        <v>1886</v>
      </c>
    </row>
    <row r="8" spans="1:17" ht="15" hidden="1" customHeight="1" outlineLevel="1" x14ac:dyDescent="0.3">
      <c r="A8" s="13" t="s">
        <v>2144</v>
      </c>
      <c r="B8" s="15" t="s">
        <v>870</v>
      </c>
      <c r="C8" s="15" t="s">
        <v>1903</v>
      </c>
      <c r="D8" s="15" t="s">
        <v>965</v>
      </c>
      <c r="E8" s="15" t="s">
        <v>865</v>
      </c>
      <c r="F8" s="15" t="s">
        <v>865</v>
      </c>
      <c r="G8" s="15" t="s">
        <v>900</v>
      </c>
      <c r="H8" s="15" t="s">
        <v>912</v>
      </c>
      <c r="I8" s="15" t="s">
        <v>966</v>
      </c>
      <c r="J8" s="17">
        <v>0.63300000000000001</v>
      </c>
      <c r="K8" s="15" t="str">
        <f t="shared" si="0"/>
        <v>HE02_Global AST</v>
      </c>
      <c r="L8" s="15"/>
      <c r="M8" s="15" t="s">
        <v>2120</v>
      </c>
      <c r="N8" s="15">
        <v>14</v>
      </c>
      <c r="O8" s="15" t="s">
        <v>1880</v>
      </c>
      <c r="P8" s="19" t="s">
        <v>1886</v>
      </c>
    </row>
    <row r="9" spans="1:17" ht="13" hidden="1" outlineLevel="1" x14ac:dyDescent="0.3">
      <c r="A9" s="13" t="s">
        <v>2144</v>
      </c>
      <c r="B9" s="15" t="s">
        <v>722</v>
      </c>
      <c r="C9" s="15" t="s">
        <v>723</v>
      </c>
      <c r="D9" s="15" t="s">
        <v>892</v>
      </c>
      <c r="E9" s="15"/>
      <c r="F9" s="15" t="s">
        <v>440</v>
      </c>
      <c r="G9" s="15" t="s">
        <v>8</v>
      </c>
      <c r="H9" s="15" t="s">
        <v>893</v>
      </c>
      <c r="I9" s="15" t="s">
        <v>894</v>
      </c>
      <c r="J9" s="17">
        <v>0.64800000000000002</v>
      </c>
      <c r="K9" s="15" t="str">
        <f t="shared" si="0"/>
        <v>AM02_Enterprise Support Services US</v>
      </c>
      <c r="L9" s="15"/>
      <c r="M9" s="15" t="s">
        <v>896</v>
      </c>
      <c r="N9" s="15">
        <v>14</v>
      </c>
      <c r="O9" s="15" t="s">
        <v>897</v>
      </c>
      <c r="P9" s="19" t="s">
        <v>1886</v>
      </c>
    </row>
    <row r="10" spans="1:17" ht="13" hidden="1" outlineLevel="1" x14ac:dyDescent="0.3">
      <c r="A10" s="13" t="s">
        <v>2144</v>
      </c>
      <c r="B10" s="15" t="s">
        <v>267</v>
      </c>
      <c r="C10" s="15" t="s">
        <v>268</v>
      </c>
      <c r="D10" s="15" t="s">
        <v>892</v>
      </c>
      <c r="E10" s="15" t="s">
        <v>266</v>
      </c>
      <c r="F10" s="15" t="s">
        <v>266</v>
      </c>
      <c r="G10" s="15" t="s">
        <v>8</v>
      </c>
      <c r="H10" s="15" t="s">
        <v>893</v>
      </c>
      <c r="I10" s="15" t="s">
        <v>894</v>
      </c>
      <c r="J10" s="17">
        <v>0.64800000000000002</v>
      </c>
      <c r="K10" s="15" t="str">
        <f t="shared" si="0"/>
        <v>AM04_Networking ProSupport Analysts US</v>
      </c>
      <c r="L10" s="15"/>
      <c r="M10" s="15" t="s">
        <v>896</v>
      </c>
      <c r="N10" s="15">
        <v>14</v>
      </c>
      <c r="O10" s="15" t="s">
        <v>897</v>
      </c>
      <c r="P10" s="19" t="s">
        <v>1886</v>
      </c>
    </row>
    <row r="11" spans="1:17" ht="15" hidden="1" customHeight="1" outlineLevel="1" x14ac:dyDescent="0.3">
      <c r="A11" s="13" t="s">
        <v>2144</v>
      </c>
      <c r="B11" s="15" t="s">
        <v>269</v>
      </c>
      <c r="C11" s="15" t="s">
        <v>270</v>
      </c>
      <c r="D11" s="15" t="s">
        <v>892</v>
      </c>
      <c r="E11" s="15" t="s">
        <v>266</v>
      </c>
      <c r="F11" s="15" t="s">
        <v>266</v>
      </c>
      <c r="G11" s="15" t="s">
        <v>8</v>
      </c>
      <c r="H11" s="15" t="s">
        <v>893</v>
      </c>
      <c r="I11" s="15" t="s">
        <v>894</v>
      </c>
      <c r="J11" s="17">
        <v>0.64800000000000002</v>
      </c>
      <c r="K11" s="15" t="str">
        <f t="shared" si="0"/>
        <v>AM05_Networking ProSupport RTSE US</v>
      </c>
      <c r="L11" s="15"/>
      <c r="M11" s="15" t="s">
        <v>896</v>
      </c>
      <c r="N11" s="15">
        <v>14</v>
      </c>
      <c r="O11" s="15" t="s">
        <v>897</v>
      </c>
      <c r="P11" s="19" t="s">
        <v>1886</v>
      </c>
    </row>
    <row r="12" spans="1:17" ht="15" hidden="1" customHeight="1" outlineLevel="1" x14ac:dyDescent="0.3">
      <c r="A12" s="13" t="s">
        <v>2144</v>
      </c>
      <c r="B12" s="15" t="s">
        <v>6</v>
      </c>
      <c r="C12" s="15" t="s">
        <v>7</v>
      </c>
      <c r="D12" s="15" t="s">
        <v>892</v>
      </c>
      <c r="E12" s="15" t="s">
        <v>5</v>
      </c>
      <c r="F12" s="15" t="s">
        <v>5</v>
      </c>
      <c r="G12" s="15" t="s">
        <v>8</v>
      </c>
      <c r="H12" s="15" t="s">
        <v>903</v>
      </c>
      <c r="I12" s="15" t="s">
        <v>906</v>
      </c>
      <c r="J12" s="17">
        <v>0.629</v>
      </c>
      <c r="K12" s="15" t="str">
        <f t="shared" si="0"/>
        <v>AO06_APJ Upsell-Operations Multi</v>
      </c>
      <c r="L12" s="15"/>
      <c r="M12" s="15" t="s">
        <v>896</v>
      </c>
      <c r="N12" s="15">
        <v>14</v>
      </c>
      <c r="O12" s="15" t="s">
        <v>897</v>
      </c>
      <c r="P12" s="19" t="s">
        <v>1886</v>
      </c>
    </row>
    <row r="13" spans="1:17" ht="15" hidden="1" customHeight="1" outlineLevel="1" x14ac:dyDescent="0.3">
      <c r="A13" s="13" t="s">
        <v>2144</v>
      </c>
      <c r="B13" s="15" t="s">
        <v>271</v>
      </c>
      <c r="C13" s="15" t="s">
        <v>272</v>
      </c>
      <c r="D13" s="15" t="s">
        <v>914</v>
      </c>
      <c r="E13" s="15" t="s">
        <v>266</v>
      </c>
      <c r="F13" s="15" t="s">
        <v>266</v>
      </c>
      <c r="G13" s="15" t="s">
        <v>8</v>
      </c>
      <c r="H13" s="15" t="s">
        <v>903</v>
      </c>
      <c r="I13" s="15" t="s">
        <v>904</v>
      </c>
      <c r="J13" s="17">
        <v>0.629</v>
      </c>
      <c r="K13" s="15" t="str">
        <f t="shared" si="0"/>
        <v>AZ09_Networking ProSupport ANZ</v>
      </c>
      <c r="L13" s="15"/>
      <c r="M13" s="15" t="s">
        <v>917</v>
      </c>
      <c r="N13" s="15">
        <v>8</v>
      </c>
      <c r="O13" s="15" t="s">
        <v>897</v>
      </c>
      <c r="P13" s="19" t="s">
        <v>1886</v>
      </c>
    </row>
    <row r="14" spans="1:17" ht="15" hidden="1" customHeight="1" outlineLevel="1" x14ac:dyDescent="0.3">
      <c r="A14" s="13" t="s">
        <v>2144</v>
      </c>
      <c r="B14" s="15" t="s">
        <v>612</v>
      </c>
      <c r="C14" s="15" t="s">
        <v>613</v>
      </c>
      <c r="D14" s="15" t="s">
        <v>892</v>
      </c>
      <c r="E14" s="15" t="s">
        <v>609</v>
      </c>
      <c r="F14" s="15" t="s">
        <v>609</v>
      </c>
      <c r="G14" s="15" t="s">
        <v>8</v>
      </c>
      <c r="H14" s="15" t="s">
        <v>935</v>
      </c>
      <c r="I14" s="15" t="s">
        <v>936</v>
      </c>
      <c r="J14" s="17">
        <v>0.57099999999999995</v>
      </c>
      <c r="K14" s="15" t="str">
        <f t="shared" si="0"/>
        <v>BPS1_Brazil Powerstore</v>
      </c>
      <c r="L14" s="15"/>
      <c r="M14" s="15" t="s">
        <v>937</v>
      </c>
      <c r="N14" s="15">
        <v>8</v>
      </c>
      <c r="O14" s="15" t="s">
        <v>897</v>
      </c>
      <c r="P14" s="19" t="s">
        <v>1886</v>
      </c>
    </row>
    <row r="15" spans="1:17" ht="15" hidden="1" customHeight="1" outlineLevel="1" x14ac:dyDescent="0.3">
      <c r="A15" s="13" t="s">
        <v>2144</v>
      </c>
      <c r="B15" s="15" t="s">
        <v>441</v>
      </c>
      <c r="C15" s="15" t="s">
        <v>442</v>
      </c>
      <c r="D15" s="15" t="s">
        <v>892</v>
      </c>
      <c r="E15" s="15" t="s">
        <v>439</v>
      </c>
      <c r="F15" s="15" t="s">
        <v>440</v>
      </c>
      <c r="G15" s="15" t="s">
        <v>8</v>
      </c>
      <c r="H15" s="15" t="s">
        <v>935</v>
      </c>
      <c r="I15" s="15" t="s">
        <v>936</v>
      </c>
      <c r="J15" s="17">
        <v>0.57099999999999995</v>
      </c>
      <c r="K15" s="15" t="str">
        <f t="shared" si="0"/>
        <v>BR02_Brazil Senior and Master Engineer</v>
      </c>
      <c r="L15" s="15"/>
      <c r="M15" s="15" t="s">
        <v>896</v>
      </c>
      <c r="N15" s="15">
        <v>14</v>
      </c>
      <c r="O15" s="15" t="s">
        <v>897</v>
      </c>
      <c r="P15" s="19" t="s">
        <v>1886</v>
      </c>
    </row>
    <row r="16" spans="1:17" ht="15" hidden="1" customHeight="1" outlineLevel="1" x14ac:dyDescent="0.3">
      <c r="A16" s="13" t="s">
        <v>2144</v>
      </c>
      <c r="B16" s="15" t="s">
        <v>451</v>
      </c>
      <c r="C16" s="15" t="s">
        <v>1859</v>
      </c>
      <c r="D16" s="15" t="s">
        <v>914</v>
      </c>
      <c r="E16" s="15" t="s">
        <v>439</v>
      </c>
      <c r="F16" s="15" t="s">
        <v>439</v>
      </c>
      <c r="G16" s="15" t="s">
        <v>8</v>
      </c>
      <c r="H16" s="15" t="s">
        <v>903</v>
      </c>
      <c r="I16" s="15" t="s">
        <v>909</v>
      </c>
      <c r="J16" s="17">
        <v>0.629</v>
      </c>
      <c r="K16" s="15" t="str">
        <f t="shared" si="0"/>
        <v>BW01_CCC Compute ProSupport Mandarin Voice BW</v>
      </c>
      <c r="L16" s="15"/>
      <c r="M16" s="15" t="s">
        <v>917</v>
      </c>
      <c r="N16" s="15">
        <v>14</v>
      </c>
      <c r="O16" s="15" t="s">
        <v>897</v>
      </c>
      <c r="P16" s="19" t="s">
        <v>1886</v>
      </c>
    </row>
    <row r="17" spans="1:16" ht="15" hidden="1" customHeight="1" outlineLevel="1" x14ac:dyDescent="0.3">
      <c r="A17" s="13" t="s">
        <v>2144</v>
      </c>
      <c r="B17" s="15" t="s">
        <v>455</v>
      </c>
      <c r="C17" s="15" t="s">
        <v>456</v>
      </c>
      <c r="D17" s="15" t="s">
        <v>892</v>
      </c>
      <c r="E17" s="15" t="s">
        <v>439</v>
      </c>
      <c r="F17" s="15" t="s">
        <v>439</v>
      </c>
      <c r="G17" s="15" t="s">
        <v>8</v>
      </c>
      <c r="H17" s="15" t="s">
        <v>935</v>
      </c>
      <c r="I17" s="15" t="s">
        <v>936</v>
      </c>
      <c r="J17" s="17">
        <v>0.57099999999999995</v>
      </c>
      <c r="K17" s="15" t="str">
        <f t="shared" si="0"/>
        <v>BZ10_BRZ HC Server Voice (EL)</v>
      </c>
      <c r="L17" s="15"/>
      <c r="M17" s="15" t="s">
        <v>937</v>
      </c>
      <c r="N17" s="15">
        <v>8</v>
      </c>
      <c r="O17" s="15" t="s">
        <v>897</v>
      </c>
      <c r="P17" s="19" t="s">
        <v>1886</v>
      </c>
    </row>
    <row r="18" spans="1:16" ht="15" hidden="1" customHeight="1" outlineLevel="1" x14ac:dyDescent="0.3">
      <c r="A18" s="13" t="s">
        <v>2144</v>
      </c>
      <c r="B18" s="15" t="s">
        <v>614</v>
      </c>
      <c r="C18" s="15" t="s">
        <v>615</v>
      </c>
      <c r="D18" s="15" t="s">
        <v>892</v>
      </c>
      <c r="E18" s="15" t="s">
        <v>609</v>
      </c>
      <c r="F18" s="15" t="s">
        <v>609</v>
      </c>
      <c r="G18" s="15" t="s">
        <v>8</v>
      </c>
      <c r="H18" s="15" t="s">
        <v>935</v>
      </c>
      <c r="I18" s="15" t="s">
        <v>936</v>
      </c>
      <c r="J18" s="17">
        <v>0.57099999999999995</v>
      </c>
      <c r="K18" s="15" t="str">
        <f t="shared" si="0"/>
        <v>BZ11_BRZ HC Storage Voice (EL)</v>
      </c>
      <c r="L18" s="15"/>
      <c r="M18" s="15" t="s">
        <v>937</v>
      </c>
      <c r="N18" s="15">
        <v>8</v>
      </c>
      <c r="O18" s="15" t="s">
        <v>897</v>
      </c>
      <c r="P18" s="19" t="s">
        <v>1886</v>
      </c>
    </row>
    <row r="19" spans="1:16" ht="15" hidden="1" customHeight="1" outlineLevel="1" x14ac:dyDescent="0.3">
      <c r="A19" s="13" t="s">
        <v>2144</v>
      </c>
      <c r="B19" s="15" t="s">
        <v>457</v>
      </c>
      <c r="C19" s="15" t="s">
        <v>458</v>
      </c>
      <c r="D19" s="15" t="s">
        <v>892</v>
      </c>
      <c r="E19" s="15" t="s">
        <v>439</v>
      </c>
      <c r="F19" s="15" t="s">
        <v>439</v>
      </c>
      <c r="G19" s="15" t="s">
        <v>8</v>
      </c>
      <c r="H19" s="15" t="s">
        <v>935</v>
      </c>
      <c r="I19" s="15" t="s">
        <v>936</v>
      </c>
      <c r="J19" s="17">
        <v>0.57099999999999995</v>
      </c>
      <c r="K19" s="15" t="str">
        <f t="shared" si="0"/>
        <v>BZ13_BRZ LC Server Voice (EL)</v>
      </c>
      <c r="L19" s="15"/>
      <c r="M19" s="15" t="s">
        <v>937</v>
      </c>
      <c r="N19" s="15">
        <v>8</v>
      </c>
      <c r="O19" s="15" t="s">
        <v>897</v>
      </c>
      <c r="P19" s="19" t="s">
        <v>1886</v>
      </c>
    </row>
    <row r="20" spans="1:16" ht="15" hidden="1" customHeight="1" outlineLevel="1" x14ac:dyDescent="0.3">
      <c r="A20" s="13" t="s">
        <v>2144</v>
      </c>
      <c r="B20" s="15" t="s">
        <v>616</v>
      </c>
      <c r="C20" s="15" t="s">
        <v>617</v>
      </c>
      <c r="D20" s="15" t="s">
        <v>973</v>
      </c>
      <c r="E20" s="15" t="s">
        <v>609</v>
      </c>
      <c r="F20" s="15" t="s">
        <v>609</v>
      </c>
      <c r="G20" s="15" t="s">
        <v>8</v>
      </c>
      <c r="H20" s="15" t="s">
        <v>935</v>
      </c>
      <c r="I20" s="15" t="s">
        <v>936</v>
      </c>
      <c r="J20" s="17">
        <v>0.57099999999999995</v>
      </c>
      <c r="K20" s="15" t="str">
        <f t="shared" si="0"/>
        <v>BZ14_BRZ LC Storage Voice (EL)</v>
      </c>
      <c r="L20" s="15"/>
      <c r="M20" s="15" t="s">
        <v>1885</v>
      </c>
      <c r="N20" s="15">
        <v>8</v>
      </c>
      <c r="O20" s="15" t="s">
        <v>897</v>
      </c>
      <c r="P20" s="19" t="s">
        <v>1886</v>
      </c>
    </row>
    <row r="21" spans="1:16" ht="15" hidden="1" customHeight="1" outlineLevel="1" x14ac:dyDescent="0.3">
      <c r="A21" s="13" t="s">
        <v>2144</v>
      </c>
      <c r="B21" s="15" t="s">
        <v>459</v>
      </c>
      <c r="C21" s="15" t="s">
        <v>1899</v>
      </c>
      <c r="D21" s="15" t="s">
        <v>1843</v>
      </c>
      <c r="E21" s="15" t="s">
        <v>439</v>
      </c>
      <c r="F21" s="15" t="s">
        <v>439</v>
      </c>
      <c r="G21" s="15" t="s">
        <v>8</v>
      </c>
      <c r="H21" s="15" t="s">
        <v>903</v>
      </c>
      <c r="I21" s="15" t="s">
        <v>909</v>
      </c>
      <c r="J21" s="17">
        <v>0.629</v>
      </c>
      <c r="K21" s="15" t="str">
        <f t="shared" si="0"/>
        <v>CC04_CCC Enterprise CMG Mandarin Voice BW</v>
      </c>
      <c r="L21" s="15"/>
      <c r="M21" s="15" t="s">
        <v>896</v>
      </c>
      <c r="N21" s="15">
        <v>14</v>
      </c>
      <c r="O21" s="15" t="s">
        <v>897</v>
      </c>
      <c r="P21" s="19" t="s">
        <v>1886</v>
      </c>
    </row>
    <row r="22" spans="1:16" ht="15" hidden="1" customHeight="1" outlineLevel="1" x14ac:dyDescent="0.3">
      <c r="A22" s="13" t="s">
        <v>2144</v>
      </c>
      <c r="B22" s="15" t="s">
        <v>275</v>
      </c>
      <c r="C22" s="15" t="s">
        <v>276</v>
      </c>
      <c r="D22" s="15" t="s">
        <v>892</v>
      </c>
      <c r="E22" s="15" t="s">
        <v>266</v>
      </c>
      <c r="F22" s="15" t="s">
        <v>266</v>
      </c>
      <c r="G22" s="15" t="s">
        <v>8</v>
      </c>
      <c r="H22" s="15" t="s">
        <v>903</v>
      </c>
      <c r="I22" s="15" t="s">
        <v>909</v>
      </c>
      <c r="J22" s="17">
        <v>0.629</v>
      </c>
      <c r="K22" s="15" t="str">
        <f t="shared" si="0"/>
        <v>CC05_Networking CCC</v>
      </c>
      <c r="L22" s="15"/>
      <c r="M22" s="15" t="s">
        <v>917</v>
      </c>
      <c r="N22" s="15">
        <v>8</v>
      </c>
      <c r="O22" s="15" t="s">
        <v>897</v>
      </c>
      <c r="P22" s="19" t="s">
        <v>1886</v>
      </c>
    </row>
    <row r="23" spans="1:16" ht="15" hidden="1" customHeight="1" outlineLevel="1" x14ac:dyDescent="0.3">
      <c r="A23" s="13" t="s">
        <v>2144</v>
      </c>
      <c r="B23" s="15" t="s">
        <v>461</v>
      </c>
      <c r="C23" s="15" t="s">
        <v>462</v>
      </c>
      <c r="D23" s="15" t="s">
        <v>892</v>
      </c>
      <c r="E23" s="15" t="s">
        <v>439</v>
      </c>
      <c r="F23" s="15" t="s">
        <v>439</v>
      </c>
      <c r="G23" s="15" t="s">
        <v>8</v>
      </c>
      <c r="H23" s="15" t="s">
        <v>903</v>
      </c>
      <c r="I23" s="15" t="s">
        <v>909</v>
      </c>
      <c r="J23" s="17">
        <v>0.629</v>
      </c>
      <c r="K23" s="15" t="str">
        <f t="shared" si="0"/>
        <v>CC07_Enterprise Core CCC</v>
      </c>
      <c r="L23" s="15"/>
      <c r="M23" s="15" t="s">
        <v>896</v>
      </c>
      <c r="N23" s="15">
        <v>14</v>
      </c>
      <c r="O23" s="15" t="s">
        <v>897</v>
      </c>
      <c r="P23" s="19" t="s">
        <v>1886</v>
      </c>
    </row>
    <row r="24" spans="1:16" ht="15" hidden="1" customHeight="1" outlineLevel="1" x14ac:dyDescent="0.3">
      <c r="A24" s="13" t="s">
        <v>2144</v>
      </c>
      <c r="B24" s="15" t="s">
        <v>789</v>
      </c>
      <c r="C24" s="15" t="s">
        <v>790</v>
      </c>
      <c r="D24" s="15" t="s">
        <v>892</v>
      </c>
      <c r="E24" s="15"/>
      <c r="F24" s="15"/>
      <c r="G24" s="15" t="s">
        <v>8</v>
      </c>
      <c r="H24" s="15"/>
      <c r="I24" s="15"/>
      <c r="J24" s="15"/>
      <c r="K24" s="15" t="str">
        <f t="shared" si="0"/>
        <v>CC09_Server ProSupport CCC</v>
      </c>
      <c r="L24" s="15"/>
      <c r="M24" s="15" t="s">
        <v>896</v>
      </c>
      <c r="N24" s="15"/>
      <c r="O24" s="15" t="s">
        <v>897</v>
      </c>
      <c r="P24" s="19" t="s">
        <v>1886</v>
      </c>
    </row>
    <row r="25" spans="1:16" ht="15" hidden="1" customHeight="1" outlineLevel="1" x14ac:dyDescent="0.3">
      <c r="A25" s="13" t="s">
        <v>2144</v>
      </c>
      <c r="B25" s="15" t="s">
        <v>618</v>
      </c>
      <c r="C25" s="15" t="s">
        <v>619</v>
      </c>
      <c r="D25" s="15" t="s">
        <v>892</v>
      </c>
      <c r="E25" s="15" t="s">
        <v>609</v>
      </c>
      <c r="F25" s="15" t="s">
        <v>609</v>
      </c>
      <c r="G25" s="15" t="s">
        <v>8</v>
      </c>
      <c r="H25" s="15" t="s">
        <v>903</v>
      </c>
      <c r="I25" s="15" t="s">
        <v>909</v>
      </c>
      <c r="J25" s="17">
        <v>0.629</v>
      </c>
      <c r="K25" s="15" t="str">
        <f t="shared" si="0"/>
        <v>CC10_Storage ProSupport CCC</v>
      </c>
      <c r="L25" s="15"/>
      <c r="M25" s="15" t="s">
        <v>917</v>
      </c>
      <c r="N25" s="15">
        <v>8</v>
      </c>
      <c r="O25" s="15" t="s">
        <v>897</v>
      </c>
      <c r="P25" s="19" t="s">
        <v>1886</v>
      </c>
    </row>
    <row r="26" spans="1:16" ht="13" hidden="1" outlineLevel="1" x14ac:dyDescent="0.3">
      <c r="A26" s="13" t="s">
        <v>2144</v>
      </c>
      <c r="B26" s="15" t="s">
        <v>793</v>
      </c>
      <c r="C26" s="15" t="s">
        <v>794</v>
      </c>
      <c r="D26" s="15" t="s">
        <v>892</v>
      </c>
      <c r="E26" s="15"/>
      <c r="F26" s="15"/>
      <c r="G26" s="15" t="s">
        <v>8</v>
      </c>
      <c r="H26" s="15"/>
      <c r="I26" s="15"/>
      <c r="J26" s="15"/>
      <c r="K26" s="15" t="str">
        <f t="shared" si="0"/>
        <v>CC22_Enterprise TW</v>
      </c>
      <c r="L26" s="15"/>
      <c r="M26" s="15" t="s">
        <v>896</v>
      </c>
      <c r="N26" s="15"/>
      <c r="O26" s="15" t="s">
        <v>897</v>
      </c>
      <c r="P26" s="19" t="s">
        <v>1886</v>
      </c>
    </row>
    <row r="27" spans="1:16" ht="15" hidden="1" customHeight="1" outlineLevel="1" x14ac:dyDescent="0.3">
      <c r="A27" s="13" t="s">
        <v>2144</v>
      </c>
      <c r="B27" s="15" t="s">
        <v>795</v>
      </c>
      <c r="C27" s="15" t="s">
        <v>796</v>
      </c>
      <c r="D27" s="15" t="s">
        <v>892</v>
      </c>
      <c r="E27" s="15"/>
      <c r="F27" s="15"/>
      <c r="G27" s="15" t="s">
        <v>8</v>
      </c>
      <c r="H27" s="15"/>
      <c r="I27" s="15"/>
      <c r="J27" s="15"/>
      <c r="K27" s="15" t="str">
        <f t="shared" si="0"/>
        <v>CC23_Server ProSupport Plus CCC</v>
      </c>
      <c r="L27" s="15"/>
      <c r="M27" s="15" t="s">
        <v>896</v>
      </c>
      <c r="N27" s="15"/>
      <c r="O27" s="15" t="s">
        <v>897</v>
      </c>
      <c r="P27" s="19" t="s">
        <v>1886</v>
      </c>
    </row>
    <row r="28" spans="1:16" ht="15" hidden="1" customHeight="1" outlineLevel="1" x14ac:dyDescent="0.3">
      <c r="A28" s="13" t="s">
        <v>2144</v>
      </c>
      <c r="B28" s="15" t="s">
        <v>465</v>
      </c>
      <c r="C28" s="15" t="s">
        <v>466</v>
      </c>
      <c r="D28" s="15" t="s">
        <v>892</v>
      </c>
      <c r="E28" s="15" t="s">
        <v>439</v>
      </c>
      <c r="F28" s="15" t="s">
        <v>439</v>
      </c>
      <c r="G28" s="15" t="s">
        <v>8</v>
      </c>
      <c r="H28" s="15" t="s">
        <v>903</v>
      </c>
      <c r="I28" s="15" t="s">
        <v>909</v>
      </c>
      <c r="J28" s="17">
        <v>0.629</v>
      </c>
      <c r="K28" s="15" t="str">
        <f t="shared" si="0"/>
        <v>CC27_Server Combined CCC</v>
      </c>
      <c r="L28" s="15"/>
      <c r="M28" s="15" t="s">
        <v>917</v>
      </c>
      <c r="N28" s="15">
        <v>8</v>
      </c>
      <c r="O28" s="15" t="s">
        <v>897</v>
      </c>
      <c r="P28" s="19" t="s">
        <v>1886</v>
      </c>
    </row>
    <row r="29" spans="1:16" ht="15" hidden="1" customHeight="1" outlineLevel="1" x14ac:dyDescent="0.3">
      <c r="A29" s="13" t="s">
        <v>2144</v>
      </c>
      <c r="B29" s="15" t="s">
        <v>950</v>
      </c>
      <c r="C29" s="15" t="s">
        <v>951</v>
      </c>
      <c r="D29" s="15" t="s">
        <v>914</v>
      </c>
      <c r="E29" s="15" t="s">
        <v>952</v>
      </c>
      <c r="F29" s="15" t="s">
        <v>440</v>
      </c>
      <c r="G29" s="15" t="s">
        <v>900</v>
      </c>
      <c r="H29" s="15" t="s">
        <v>903</v>
      </c>
      <c r="I29" s="15" t="s">
        <v>909</v>
      </c>
      <c r="J29" s="17">
        <v>0.629</v>
      </c>
      <c r="K29" s="15" t="str">
        <f t="shared" si="0"/>
        <v>CC28_APJ ESG Call Directors Chinese</v>
      </c>
      <c r="L29" s="15"/>
      <c r="M29" s="15" t="s">
        <v>917</v>
      </c>
      <c r="N29" s="15">
        <v>14</v>
      </c>
      <c r="O29" s="15" t="s">
        <v>897</v>
      </c>
      <c r="P29" s="19" t="s">
        <v>1886</v>
      </c>
    </row>
    <row r="30" spans="1:16" ht="15" hidden="1" customHeight="1" outlineLevel="1" x14ac:dyDescent="0.3">
      <c r="A30" s="13" t="s">
        <v>2144</v>
      </c>
      <c r="B30" s="15" t="s">
        <v>467</v>
      </c>
      <c r="C30" s="15" t="s">
        <v>1862</v>
      </c>
      <c r="D30" s="15" t="s">
        <v>914</v>
      </c>
      <c r="E30" s="15" t="s">
        <v>439</v>
      </c>
      <c r="F30" s="15" t="s">
        <v>439</v>
      </c>
      <c r="G30" s="15" t="s">
        <v>8</v>
      </c>
      <c r="H30" s="15" t="s">
        <v>903</v>
      </c>
      <c r="I30" s="15" t="s">
        <v>909</v>
      </c>
      <c r="J30" s="17">
        <v>0.629</v>
      </c>
      <c r="K30" s="15" t="str">
        <f t="shared" si="0"/>
        <v>CCB1_CCC Compute Basic Mandarin Voice BW</v>
      </c>
      <c r="L30" s="15"/>
      <c r="M30" s="15" t="s">
        <v>917</v>
      </c>
      <c r="N30" s="15">
        <v>14</v>
      </c>
      <c r="O30" s="15" t="s">
        <v>897</v>
      </c>
      <c r="P30" s="19" t="s">
        <v>1886</v>
      </c>
    </row>
    <row r="31" spans="1:16" ht="15" hidden="1" customHeight="1" outlineLevel="1" x14ac:dyDescent="0.3">
      <c r="A31" s="13" t="s">
        <v>2144</v>
      </c>
      <c r="B31" s="15" t="s">
        <v>765</v>
      </c>
      <c r="C31" s="15" t="s">
        <v>766</v>
      </c>
      <c r="D31" s="15" t="s">
        <v>892</v>
      </c>
      <c r="E31" s="15"/>
      <c r="F31" s="15" t="s">
        <v>439</v>
      </c>
      <c r="G31" s="15" t="s">
        <v>8</v>
      </c>
      <c r="H31" s="15" t="s">
        <v>903</v>
      </c>
      <c r="I31" s="15" t="s">
        <v>909</v>
      </c>
      <c r="J31" s="17">
        <v>0.629</v>
      </c>
      <c r="K31" s="15" t="str">
        <f t="shared" si="0"/>
        <v>CE01_Enterprise Echannel CCC</v>
      </c>
      <c r="L31" s="15"/>
      <c r="M31" s="15" t="s">
        <v>896</v>
      </c>
      <c r="N31" s="15">
        <v>14</v>
      </c>
      <c r="O31" s="15" t="s">
        <v>897</v>
      </c>
      <c r="P31" s="19" t="s">
        <v>1886</v>
      </c>
    </row>
    <row r="32" spans="1:16" ht="13" hidden="1" outlineLevel="1" x14ac:dyDescent="0.3">
      <c r="A32" s="13" t="s">
        <v>2144</v>
      </c>
      <c r="B32" s="15" t="s">
        <v>620</v>
      </c>
      <c r="C32" s="15" t="s">
        <v>621</v>
      </c>
      <c r="D32" s="15" t="s">
        <v>892</v>
      </c>
      <c r="E32" s="15" t="s">
        <v>609</v>
      </c>
      <c r="F32" s="15" t="s">
        <v>609</v>
      </c>
      <c r="G32" s="15" t="s">
        <v>8</v>
      </c>
      <c r="H32" s="15" t="s">
        <v>903</v>
      </c>
      <c r="I32" s="15" t="s">
        <v>909</v>
      </c>
      <c r="J32" s="17">
        <v>0.629</v>
      </c>
      <c r="K32" s="15" t="str">
        <f t="shared" si="0"/>
        <v>CE02_Storage Echannel CCC</v>
      </c>
      <c r="L32" s="15"/>
      <c r="M32" s="15" t="s">
        <v>917</v>
      </c>
      <c r="N32" s="15">
        <v>8</v>
      </c>
      <c r="O32" s="15" t="s">
        <v>897</v>
      </c>
      <c r="P32" s="19" t="s">
        <v>1886</v>
      </c>
    </row>
    <row r="33" spans="1:16" ht="15" hidden="1" customHeight="1" outlineLevel="1" x14ac:dyDescent="0.3">
      <c r="A33" s="13" t="s">
        <v>2144</v>
      </c>
      <c r="B33" s="15" t="s">
        <v>797</v>
      </c>
      <c r="C33" s="15" t="s">
        <v>798</v>
      </c>
      <c r="D33" s="15" t="s">
        <v>892</v>
      </c>
      <c r="E33" s="15"/>
      <c r="F33" s="15"/>
      <c r="G33" s="15" t="s">
        <v>8</v>
      </c>
      <c r="H33" s="15"/>
      <c r="I33" s="15"/>
      <c r="J33" s="15"/>
      <c r="K33" s="15" t="str">
        <f t="shared" si="0"/>
        <v>CG Comp_Global Compellent Capgemini</v>
      </c>
      <c r="L33" s="15"/>
      <c r="M33" s="15" t="s">
        <v>896</v>
      </c>
      <c r="N33" s="15"/>
      <c r="O33" s="15" t="s">
        <v>897</v>
      </c>
      <c r="P33" s="19" t="s">
        <v>1886</v>
      </c>
    </row>
    <row r="34" spans="1:16" ht="15" hidden="1" customHeight="1" outlineLevel="1" x14ac:dyDescent="0.3">
      <c r="A34" s="13" t="s">
        <v>2144</v>
      </c>
      <c r="B34" s="15" t="s">
        <v>799</v>
      </c>
      <c r="C34" s="15" t="s">
        <v>800</v>
      </c>
      <c r="D34" s="15" t="s">
        <v>1845</v>
      </c>
      <c r="E34" s="15" t="s">
        <v>609</v>
      </c>
      <c r="F34" s="15"/>
      <c r="G34" s="15" t="s">
        <v>8</v>
      </c>
      <c r="H34" s="15"/>
      <c r="I34" s="15"/>
      <c r="J34" s="15"/>
      <c r="K34" s="15" t="str">
        <f t="shared" si="0"/>
        <v>CGEQ_GLOBAL Equallogic Capgemini</v>
      </c>
      <c r="L34" s="15"/>
      <c r="M34" s="15" t="s">
        <v>896</v>
      </c>
      <c r="N34" s="15"/>
      <c r="O34" s="15" t="s">
        <v>897</v>
      </c>
      <c r="P34" s="19" t="s">
        <v>1886</v>
      </c>
    </row>
    <row r="35" spans="1:16" ht="15" hidden="1" customHeight="1" outlineLevel="1" x14ac:dyDescent="0.3">
      <c r="A35" s="13" t="s">
        <v>2144</v>
      </c>
      <c r="B35" s="15" t="s">
        <v>801</v>
      </c>
      <c r="C35" s="15" t="s">
        <v>798</v>
      </c>
      <c r="D35" s="15" t="s">
        <v>1845</v>
      </c>
      <c r="E35" s="15"/>
      <c r="F35" s="15"/>
      <c r="G35" s="15" t="s">
        <v>8</v>
      </c>
      <c r="H35" s="15"/>
      <c r="I35" s="15"/>
      <c r="J35" s="15"/>
      <c r="K35" s="15" t="str">
        <f t="shared" si="0"/>
        <v>CGGC_Global Compellent Capgemini</v>
      </c>
      <c r="L35" s="15"/>
      <c r="M35" s="15" t="s">
        <v>896</v>
      </c>
      <c r="N35" s="15"/>
      <c r="O35" s="15" t="s">
        <v>897</v>
      </c>
      <c r="P35" s="19" t="s">
        <v>1886</v>
      </c>
    </row>
    <row r="36" spans="1:16" ht="15" hidden="1" customHeight="1" outlineLevel="1" x14ac:dyDescent="0.3">
      <c r="A36" s="13" t="s">
        <v>2144</v>
      </c>
      <c r="B36" s="15" t="s">
        <v>802</v>
      </c>
      <c r="C36" s="15" t="s">
        <v>803</v>
      </c>
      <c r="D36" s="15" t="s">
        <v>1845</v>
      </c>
      <c r="E36" s="15"/>
      <c r="F36" s="15"/>
      <c r="G36" s="15" t="s">
        <v>8</v>
      </c>
      <c r="H36" s="15"/>
      <c r="I36" s="15"/>
      <c r="J36" s="15"/>
      <c r="K36" s="15" t="str">
        <f t="shared" si="0"/>
        <v>CGVE_GLOBAL VNXe Capgemini</v>
      </c>
      <c r="L36" s="15"/>
      <c r="M36" s="15" t="s">
        <v>896</v>
      </c>
      <c r="N36" s="15"/>
      <c r="O36" s="15" t="s">
        <v>897</v>
      </c>
      <c r="P36" s="19" t="s">
        <v>1886</v>
      </c>
    </row>
    <row r="37" spans="1:16" ht="15" hidden="1" customHeight="1" outlineLevel="1" x14ac:dyDescent="0.3">
      <c r="A37" s="13" t="s">
        <v>2144</v>
      </c>
      <c r="B37" s="15" t="s">
        <v>16</v>
      </c>
      <c r="C37" s="15" t="s">
        <v>17</v>
      </c>
      <c r="D37" s="15" t="s">
        <v>892</v>
      </c>
      <c r="E37" s="20" t="s">
        <v>13</v>
      </c>
      <c r="F37" s="20" t="s">
        <v>13</v>
      </c>
      <c r="G37" s="15" t="s">
        <v>8</v>
      </c>
      <c r="H37" s="15" t="s">
        <v>929</v>
      </c>
      <c r="I37" s="15" t="s">
        <v>929</v>
      </c>
      <c r="J37" s="17">
        <v>0.63300000000000001</v>
      </c>
      <c r="K37" s="15" t="str">
        <f t="shared" si="0"/>
        <v>CT13_CTE CCC</v>
      </c>
      <c r="L37" s="15"/>
      <c r="M37" s="15" t="s">
        <v>917</v>
      </c>
      <c r="N37" s="15">
        <v>14</v>
      </c>
      <c r="O37" s="15" t="s">
        <v>897</v>
      </c>
      <c r="P37" s="19" t="s">
        <v>1886</v>
      </c>
    </row>
    <row r="38" spans="1:16" ht="15" hidden="1" customHeight="1" outlineLevel="1" x14ac:dyDescent="0.3">
      <c r="A38" s="13" t="s">
        <v>2144</v>
      </c>
      <c r="B38" s="15" t="s">
        <v>20</v>
      </c>
      <c r="C38" s="15" t="s">
        <v>21</v>
      </c>
      <c r="D38" s="15" t="s">
        <v>1847</v>
      </c>
      <c r="E38" s="20" t="s">
        <v>13</v>
      </c>
      <c r="F38" s="20" t="s">
        <v>13</v>
      </c>
      <c r="G38" s="15" t="s">
        <v>8</v>
      </c>
      <c r="H38" s="15" t="s">
        <v>929</v>
      </c>
      <c r="I38" s="15" t="s">
        <v>929</v>
      </c>
      <c r="J38" s="17">
        <v>0.63300000000000001</v>
      </c>
      <c r="K38" s="15" t="str">
        <f t="shared" si="0"/>
        <v>CT15_CTE JPN</v>
      </c>
      <c r="L38" s="15"/>
      <c r="M38" s="15" t="s">
        <v>917</v>
      </c>
      <c r="N38" s="15">
        <v>14</v>
      </c>
      <c r="O38" s="15" t="s">
        <v>897</v>
      </c>
      <c r="P38" s="19" t="s">
        <v>1886</v>
      </c>
    </row>
    <row r="39" spans="1:16" ht="15" hidden="1" customHeight="1" outlineLevel="1" x14ac:dyDescent="0.3">
      <c r="A39" s="13" t="s">
        <v>2144</v>
      </c>
      <c r="B39" s="15" t="s">
        <v>22</v>
      </c>
      <c r="C39" s="15" t="s">
        <v>23</v>
      </c>
      <c r="D39" s="15" t="s">
        <v>892</v>
      </c>
      <c r="E39" s="20" t="s">
        <v>13</v>
      </c>
      <c r="F39" s="20" t="s">
        <v>13</v>
      </c>
      <c r="G39" s="15" t="s">
        <v>8</v>
      </c>
      <c r="H39" s="15" t="s">
        <v>929</v>
      </c>
      <c r="I39" s="15" t="s">
        <v>929</v>
      </c>
      <c r="J39" s="17">
        <v>0.63300000000000001</v>
      </c>
      <c r="K39" s="15" t="str">
        <f t="shared" si="0"/>
        <v>CT16_CTE KOR</v>
      </c>
      <c r="L39" s="15"/>
      <c r="M39" s="15" t="s">
        <v>896</v>
      </c>
      <c r="N39" s="15">
        <v>14</v>
      </c>
      <c r="O39" s="15" t="s">
        <v>897</v>
      </c>
      <c r="P39" s="19" t="s">
        <v>1886</v>
      </c>
    </row>
    <row r="40" spans="1:16" ht="15" hidden="1" customHeight="1" outlineLevel="1" x14ac:dyDescent="0.3">
      <c r="A40" s="13" t="s">
        <v>2144</v>
      </c>
      <c r="B40" s="15" t="s">
        <v>24</v>
      </c>
      <c r="C40" s="15" t="s">
        <v>25</v>
      </c>
      <c r="D40" s="15" t="s">
        <v>892</v>
      </c>
      <c r="E40" s="20" t="s">
        <v>13</v>
      </c>
      <c r="F40" s="20" t="s">
        <v>13</v>
      </c>
      <c r="G40" s="15" t="s">
        <v>8</v>
      </c>
      <c r="H40" s="15" t="s">
        <v>929</v>
      </c>
      <c r="I40" s="15" t="s">
        <v>929</v>
      </c>
      <c r="J40" s="17">
        <v>0.63300000000000001</v>
      </c>
      <c r="K40" s="15" t="str">
        <f t="shared" si="0"/>
        <v>CT18_CTE SA</v>
      </c>
      <c r="L40" s="15"/>
      <c r="M40" s="15" t="s">
        <v>917</v>
      </c>
      <c r="N40" s="15">
        <v>7</v>
      </c>
      <c r="O40" s="15" t="s">
        <v>897</v>
      </c>
      <c r="P40" s="19" t="s">
        <v>1886</v>
      </c>
    </row>
    <row r="41" spans="1:16" ht="15" hidden="1" customHeight="1" outlineLevel="1" x14ac:dyDescent="0.3">
      <c r="A41" s="13" t="s">
        <v>2144</v>
      </c>
      <c r="B41" s="15" t="s">
        <v>810</v>
      </c>
      <c r="C41" s="15" t="s">
        <v>811</v>
      </c>
      <c r="D41" s="15" t="s">
        <v>892</v>
      </c>
      <c r="E41" s="15"/>
      <c r="F41" s="15"/>
      <c r="G41" s="15" t="s">
        <v>8</v>
      </c>
      <c r="H41" s="15"/>
      <c r="I41" s="15"/>
      <c r="J41" s="15"/>
      <c r="K41" s="15" t="str">
        <f t="shared" si="0"/>
        <v>CT36_Networking SPSPE</v>
      </c>
      <c r="L41" s="15"/>
      <c r="M41" s="15" t="s">
        <v>896</v>
      </c>
      <c r="N41" s="15"/>
      <c r="O41" s="15" t="s">
        <v>897</v>
      </c>
      <c r="P41" s="19" t="s">
        <v>1886</v>
      </c>
    </row>
    <row r="42" spans="1:16" ht="15" hidden="1" customHeight="1" outlineLevel="1" x14ac:dyDescent="0.3">
      <c r="A42" s="13" t="s">
        <v>2144</v>
      </c>
      <c r="B42" s="15" t="s">
        <v>26</v>
      </c>
      <c r="C42" s="15" t="s">
        <v>27</v>
      </c>
      <c r="D42" s="15" t="s">
        <v>892</v>
      </c>
      <c r="E42" s="15" t="s">
        <v>13</v>
      </c>
      <c r="F42" s="15" t="s">
        <v>13</v>
      </c>
      <c r="G42" s="15" t="s">
        <v>8</v>
      </c>
      <c r="H42" s="15" t="s">
        <v>903</v>
      </c>
      <c r="I42" s="15" t="s">
        <v>906</v>
      </c>
      <c r="J42" s="17">
        <v>0.629</v>
      </c>
      <c r="K42" s="15" t="str">
        <f t="shared" si="0"/>
        <v>CT95_CTE NW IND</v>
      </c>
      <c r="L42" s="15"/>
      <c r="M42" s="15" t="s">
        <v>917</v>
      </c>
      <c r="N42" s="15">
        <v>14</v>
      </c>
      <c r="O42" s="15" t="s">
        <v>897</v>
      </c>
      <c r="P42" s="19" t="s">
        <v>1886</v>
      </c>
    </row>
    <row r="43" spans="1:16" ht="15" hidden="1" customHeight="1" outlineLevel="1" x14ac:dyDescent="0.3">
      <c r="A43" s="13" t="s">
        <v>2144</v>
      </c>
      <c r="B43" s="15" t="s">
        <v>28</v>
      </c>
      <c r="C43" s="15" t="s">
        <v>29</v>
      </c>
      <c r="D43" s="15" t="s">
        <v>892</v>
      </c>
      <c r="E43" s="20" t="s">
        <v>13</v>
      </c>
      <c r="F43" s="15" t="s">
        <v>13</v>
      </c>
      <c r="G43" s="15" t="s">
        <v>8</v>
      </c>
      <c r="H43" s="15" t="s">
        <v>903</v>
      </c>
      <c r="I43" s="15" t="s">
        <v>906</v>
      </c>
      <c r="J43" s="17">
        <v>0.629</v>
      </c>
      <c r="K43" s="15" t="str">
        <f t="shared" si="0"/>
        <v>CT96_CTE Storage IND</v>
      </c>
      <c r="L43" s="15"/>
      <c r="M43" s="15" t="s">
        <v>917</v>
      </c>
      <c r="N43" s="15">
        <v>14</v>
      </c>
      <c r="O43" s="15" t="s">
        <v>897</v>
      </c>
      <c r="P43" s="19" t="s">
        <v>1886</v>
      </c>
    </row>
    <row r="44" spans="1:16" ht="15" hidden="1" customHeight="1" outlineLevel="1" x14ac:dyDescent="0.3">
      <c r="A44" s="13" t="s">
        <v>2144</v>
      </c>
      <c r="B44" s="15" t="s">
        <v>993</v>
      </c>
      <c r="C44" s="15" t="s">
        <v>994</v>
      </c>
      <c r="D44" s="15" t="s">
        <v>892</v>
      </c>
      <c r="E44" s="15" t="s">
        <v>439</v>
      </c>
      <c r="F44" s="15" t="s">
        <v>995</v>
      </c>
      <c r="G44" s="15" t="s">
        <v>900</v>
      </c>
      <c r="H44" s="15" t="s">
        <v>996</v>
      </c>
      <c r="I44" s="15" t="s">
        <v>909</v>
      </c>
      <c r="J44" s="15"/>
      <c r="K44" s="15" t="str">
        <f t="shared" si="0"/>
        <v>CTA3_CTE Server/Networking CCC</v>
      </c>
      <c r="L44" s="15"/>
      <c r="M44" s="15" t="s">
        <v>917</v>
      </c>
      <c r="N44" s="15"/>
      <c r="O44" s="15" t="s">
        <v>897</v>
      </c>
      <c r="P44" s="19" t="s">
        <v>1886</v>
      </c>
    </row>
    <row r="45" spans="1:16" ht="13" hidden="1" outlineLevel="1" x14ac:dyDescent="0.3">
      <c r="A45" s="13" t="s">
        <v>2144</v>
      </c>
      <c r="B45" s="15" t="s">
        <v>997</v>
      </c>
      <c r="C45" s="15" t="s">
        <v>998</v>
      </c>
      <c r="D45" s="15" t="s">
        <v>892</v>
      </c>
      <c r="E45" s="15" t="s">
        <v>609</v>
      </c>
      <c r="F45" s="15" t="s">
        <v>995</v>
      </c>
      <c r="G45" s="15" t="s">
        <v>900</v>
      </c>
      <c r="H45" s="15" t="s">
        <v>996</v>
      </c>
      <c r="I45" s="15" t="s">
        <v>909</v>
      </c>
      <c r="J45" s="15"/>
      <c r="K45" s="15" t="str">
        <f t="shared" si="0"/>
        <v>CTA4_CTE Storage CCC</v>
      </c>
      <c r="L45" s="15"/>
      <c r="M45" s="15" t="s">
        <v>917</v>
      </c>
      <c r="N45" s="15"/>
      <c r="O45" s="15" t="s">
        <v>897</v>
      </c>
      <c r="P45" s="19" t="s">
        <v>1886</v>
      </c>
    </row>
    <row r="46" spans="1:16" ht="13" hidden="1" outlineLevel="1" x14ac:dyDescent="0.3">
      <c r="A46" s="13" t="s">
        <v>2144</v>
      </c>
      <c r="B46" s="15" t="s">
        <v>999</v>
      </c>
      <c r="C46" s="15" t="s">
        <v>1000</v>
      </c>
      <c r="D46" s="15" t="s">
        <v>914</v>
      </c>
      <c r="E46" s="15" t="s">
        <v>439</v>
      </c>
      <c r="F46" s="15" t="s">
        <v>995</v>
      </c>
      <c r="G46" s="15" t="s">
        <v>900</v>
      </c>
      <c r="H46" s="15" t="s">
        <v>996</v>
      </c>
      <c r="I46" s="15" t="s">
        <v>1001</v>
      </c>
      <c r="J46" s="15"/>
      <c r="K46" s="15" t="str">
        <f t="shared" si="0"/>
        <v>CTA5_CTE Server/Networking JPN</v>
      </c>
      <c r="L46" s="15"/>
      <c r="M46" s="15" t="s">
        <v>917</v>
      </c>
      <c r="N46" s="15"/>
      <c r="O46" s="15" t="s">
        <v>897</v>
      </c>
      <c r="P46" s="19" t="s">
        <v>1886</v>
      </c>
    </row>
    <row r="47" spans="1:16" ht="15" hidden="1" customHeight="1" outlineLevel="1" x14ac:dyDescent="0.3">
      <c r="A47" s="13" t="s">
        <v>2144</v>
      </c>
      <c r="B47" s="15" t="s">
        <v>1002</v>
      </c>
      <c r="C47" s="15" t="s">
        <v>1003</v>
      </c>
      <c r="D47" s="15" t="s">
        <v>914</v>
      </c>
      <c r="E47" s="15" t="s">
        <v>609</v>
      </c>
      <c r="F47" s="15" t="s">
        <v>995</v>
      </c>
      <c r="G47" s="15" t="s">
        <v>900</v>
      </c>
      <c r="H47" s="15" t="s">
        <v>996</v>
      </c>
      <c r="I47" s="15" t="s">
        <v>1001</v>
      </c>
      <c r="J47" s="15"/>
      <c r="K47" s="15" t="str">
        <f t="shared" si="0"/>
        <v>CTA6_CTE Storage JPN</v>
      </c>
      <c r="L47" s="15"/>
      <c r="M47" s="15" t="s">
        <v>917</v>
      </c>
      <c r="N47" s="15"/>
      <c r="O47" s="15" t="s">
        <v>897</v>
      </c>
      <c r="P47" s="19" t="s">
        <v>1886</v>
      </c>
    </row>
    <row r="48" spans="1:16" ht="15" hidden="1" customHeight="1" outlineLevel="1" x14ac:dyDescent="0.3">
      <c r="A48" s="13" t="s">
        <v>2144</v>
      </c>
      <c r="B48" s="15" t="s">
        <v>1004</v>
      </c>
      <c r="C48" s="15" t="s">
        <v>1005</v>
      </c>
      <c r="D48" s="15" t="s">
        <v>892</v>
      </c>
      <c r="E48" s="15" t="s">
        <v>440</v>
      </c>
      <c r="F48" s="15" t="s">
        <v>995</v>
      </c>
      <c r="G48" s="15" t="s">
        <v>900</v>
      </c>
      <c r="H48" s="15" t="s">
        <v>996</v>
      </c>
      <c r="I48" s="15" t="s">
        <v>1001</v>
      </c>
      <c r="J48" s="15"/>
      <c r="K48" s="15" t="str">
        <f t="shared" si="0"/>
        <v>CTA7_CTE Enterprise KOR</v>
      </c>
      <c r="L48" s="15"/>
      <c r="M48" s="15" t="s">
        <v>917</v>
      </c>
      <c r="N48" s="15"/>
      <c r="O48" s="15" t="s">
        <v>897</v>
      </c>
      <c r="P48" s="19" t="s">
        <v>1886</v>
      </c>
    </row>
    <row r="49" spans="1:16" ht="13" hidden="1" outlineLevel="1" x14ac:dyDescent="0.3">
      <c r="A49" s="13" t="s">
        <v>2144</v>
      </c>
      <c r="B49" s="15" t="s">
        <v>30</v>
      </c>
      <c r="C49" s="15" t="s">
        <v>31</v>
      </c>
      <c r="D49" s="15" t="s">
        <v>928</v>
      </c>
      <c r="E49" s="20" t="s">
        <v>13</v>
      </c>
      <c r="F49" s="20" t="s">
        <v>13</v>
      </c>
      <c r="G49" s="15" t="s">
        <v>8</v>
      </c>
      <c r="H49" s="15" t="s">
        <v>893</v>
      </c>
      <c r="I49" s="15" t="s">
        <v>894</v>
      </c>
      <c r="J49" s="17">
        <v>0.64800000000000002</v>
      </c>
      <c r="K49" s="15" t="str">
        <f t="shared" si="0"/>
        <v>CTE2_NA CTE Server</v>
      </c>
      <c r="L49" s="15"/>
      <c r="M49" s="15" t="s">
        <v>1810</v>
      </c>
      <c r="N49" s="15">
        <v>8</v>
      </c>
      <c r="O49" s="15" t="s">
        <v>897</v>
      </c>
      <c r="P49" s="19" t="s">
        <v>1886</v>
      </c>
    </row>
    <row r="50" spans="1:16" ht="15" hidden="1" customHeight="1" outlineLevel="1" x14ac:dyDescent="0.3">
      <c r="A50" s="13" t="s">
        <v>2144</v>
      </c>
      <c r="B50" s="15" t="s">
        <v>32</v>
      </c>
      <c r="C50" s="15" t="s">
        <v>33</v>
      </c>
      <c r="D50" s="15" t="s">
        <v>892</v>
      </c>
      <c r="E50" s="20" t="s">
        <v>13</v>
      </c>
      <c r="F50" s="20" t="s">
        <v>13</v>
      </c>
      <c r="G50" s="15" t="s">
        <v>8</v>
      </c>
      <c r="H50" s="15" t="s">
        <v>912</v>
      </c>
      <c r="I50" s="15" t="s">
        <v>1006</v>
      </c>
      <c r="J50" s="17">
        <v>0.61699999999999999</v>
      </c>
      <c r="K50" s="15" t="str">
        <f t="shared" si="0"/>
        <v>CTE3_EMEA SERVER CTE</v>
      </c>
      <c r="L50" s="15"/>
      <c r="M50" s="15" t="s">
        <v>930</v>
      </c>
      <c r="N50" s="15">
        <v>8</v>
      </c>
      <c r="O50" s="15" t="s">
        <v>897</v>
      </c>
      <c r="P50" s="19" t="s">
        <v>1886</v>
      </c>
    </row>
    <row r="51" spans="1:16" ht="15" hidden="1" customHeight="1" outlineLevel="1" x14ac:dyDescent="0.3">
      <c r="A51" s="13" t="s">
        <v>2144</v>
      </c>
      <c r="B51" s="15" t="s">
        <v>34</v>
      </c>
      <c r="C51" s="15" t="s">
        <v>35</v>
      </c>
      <c r="D51" s="15" t="s">
        <v>892</v>
      </c>
      <c r="E51" s="20" t="s">
        <v>13</v>
      </c>
      <c r="F51" s="20" t="s">
        <v>13</v>
      </c>
      <c r="G51" s="15" t="s">
        <v>8</v>
      </c>
      <c r="H51" s="15" t="s">
        <v>912</v>
      </c>
      <c r="I51" s="15" t="s">
        <v>1006</v>
      </c>
      <c r="J51" s="17">
        <v>0.61699999999999999</v>
      </c>
      <c r="K51" s="15" t="str">
        <f t="shared" si="0"/>
        <v>CTE4_EMEA MODULAR CTE</v>
      </c>
      <c r="L51" s="15"/>
      <c r="M51" s="15" t="s">
        <v>930</v>
      </c>
      <c r="N51" s="15">
        <v>8</v>
      </c>
      <c r="O51" s="15" t="s">
        <v>897</v>
      </c>
      <c r="P51" s="19" t="s">
        <v>1886</v>
      </c>
    </row>
    <row r="52" spans="1:16" ht="15" hidden="1" customHeight="1" outlineLevel="1" x14ac:dyDescent="0.3">
      <c r="A52" s="13" t="s">
        <v>2144</v>
      </c>
      <c r="B52" s="15" t="s">
        <v>36</v>
      </c>
      <c r="C52" s="15" t="s">
        <v>37</v>
      </c>
      <c r="D52" s="15" t="s">
        <v>892</v>
      </c>
      <c r="E52" s="20" t="s">
        <v>13</v>
      </c>
      <c r="F52" s="20" t="s">
        <v>13</v>
      </c>
      <c r="G52" s="15" t="s">
        <v>8</v>
      </c>
      <c r="H52" s="15" t="s">
        <v>893</v>
      </c>
      <c r="I52" s="15" t="s">
        <v>894</v>
      </c>
      <c r="J52" s="17">
        <v>0.64800000000000002</v>
      </c>
      <c r="K52" s="15" t="str">
        <f t="shared" si="0"/>
        <v>CTE6_NA CTE Storage</v>
      </c>
      <c r="L52" s="15"/>
      <c r="M52" s="15" t="s">
        <v>930</v>
      </c>
      <c r="N52" s="15">
        <v>8</v>
      </c>
      <c r="O52" s="15" t="s">
        <v>897</v>
      </c>
      <c r="P52" s="19" t="s">
        <v>1886</v>
      </c>
    </row>
    <row r="53" spans="1:16" ht="15" hidden="1" customHeight="1" outlineLevel="1" x14ac:dyDescent="0.3">
      <c r="A53" s="13" t="s">
        <v>2144</v>
      </c>
      <c r="B53" s="15" t="s">
        <v>812</v>
      </c>
      <c r="C53" s="15" t="s">
        <v>813</v>
      </c>
      <c r="D53" s="15" t="s">
        <v>1845</v>
      </c>
      <c r="E53" s="15" t="s">
        <v>439</v>
      </c>
      <c r="F53" s="15"/>
      <c r="G53" s="15" t="s">
        <v>8</v>
      </c>
      <c r="H53" s="15"/>
      <c r="I53" s="15"/>
      <c r="J53" s="15"/>
      <c r="K53" s="15" t="str">
        <f t="shared" si="0"/>
        <v>CX01_NA Server Basic (Concentrix)</v>
      </c>
      <c r="L53" s="15"/>
      <c r="M53" s="15" t="s">
        <v>896</v>
      </c>
      <c r="N53" s="15"/>
      <c r="O53" s="15" t="s">
        <v>897</v>
      </c>
      <c r="P53" s="19" t="s">
        <v>1886</v>
      </c>
    </row>
    <row r="54" spans="1:16" ht="15" hidden="1" customHeight="1" outlineLevel="1" x14ac:dyDescent="0.3">
      <c r="A54" s="13" t="s">
        <v>2144</v>
      </c>
      <c r="B54" s="15" t="s">
        <v>814</v>
      </c>
      <c r="C54" s="15" t="s">
        <v>815</v>
      </c>
      <c r="D54" s="15" t="s">
        <v>1845</v>
      </c>
      <c r="E54" s="15" t="s">
        <v>439</v>
      </c>
      <c r="F54" s="15"/>
      <c r="G54" s="15" t="s">
        <v>8</v>
      </c>
      <c r="H54" s="15"/>
      <c r="I54" s="15"/>
      <c r="J54" s="15"/>
      <c r="K54" s="15" t="str">
        <f t="shared" si="0"/>
        <v>CX02_Server Core IND CNX</v>
      </c>
      <c r="L54" s="15"/>
      <c r="M54" s="15" t="s">
        <v>896</v>
      </c>
      <c r="N54" s="15"/>
      <c r="O54" s="15" t="s">
        <v>897</v>
      </c>
      <c r="P54" s="19" t="s">
        <v>1886</v>
      </c>
    </row>
    <row r="55" spans="1:16" ht="13" hidden="1" outlineLevel="1" x14ac:dyDescent="0.3">
      <c r="A55" s="13" t="s">
        <v>2144</v>
      </c>
      <c r="B55" s="15" t="s">
        <v>816</v>
      </c>
      <c r="C55" s="15" t="s">
        <v>817</v>
      </c>
      <c r="D55" s="15" t="s">
        <v>1845</v>
      </c>
      <c r="E55" s="15" t="s">
        <v>439</v>
      </c>
      <c r="F55" s="15"/>
      <c r="G55" s="15" t="s">
        <v>8</v>
      </c>
      <c r="H55" s="15"/>
      <c r="I55" s="15"/>
      <c r="J55" s="15"/>
      <c r="K55" s="15" t="str">
        <f t="shared" si="0"/>
        <v>CX04_Server Core SA CNX</v>
      </c>
      <c r="L55" s="15"/>
      <c r="M55" s="15" t="s">
        <v>896</v>
      </c>
      <c r="N55" s="15"/>
      <c r="O55" s="15" t="s">
        <v>897</v>
      </c>
      <c r="P55" s="19" t="s">
        <v>1886</v>
      </c>
    </row>
    <row r="56" spans="1:16" ht="15" hidden="1" customHeight="1" outlineLevel="1" x14ac:dyDescent="0.3">
      <c r="A56" s="13" t="s">
        <v>2144</v>
      </c>
      <c r="B56" s="15" t="s">
        <v>818</v>
      </c>
      <c r="C56" s="15" t="s">
        <v>819</v>
      </c>
      <c r="D56" s="15" t="s">
        <v>1845</v>
      </c>
      <c r="E56" s="15" t="s">
        <v>439</v>
      </c>
      <c r="F56" s="15"/>
      <c r="G56" s="15" t="s">
        <v>8</v>
      </c>
      <c r="H56" s="15"/>
      <c r="I56" s="15"/>
      <c r="J56" s="15"/>
      <c r="K56" s="15" t="str">
        <f t="shared" si="0"/>
        <v>CX05_NA Server Basic Chat (CNX)</v>
      </c>
      <c r="L56" s="15"/>
      <c r="M56" s="15" t="s">
        <v>896</v>
      </c>
      <c r="N56" s="15"/>
      <c r="O56" s="15" t="s">
        <v>897</v>
      </c>
      <c r="P56" s="19" t="s">
        <v>1886</v>
      </c>
    </row>
    <row r="57" spans="1:16" ht="15" hidden="1" customHeight="1" outlineLevel="1" x14ac:dyDescent="0.3">
      <c r="A57" s="13" t="s">
        <v>2144</v>
      </c>
      <c r="B57" s="15" t="s">
        <v>477</v>
      </c>
      <c r="C57" s="15" t="s">
        <v>478</v>
      </c>
      <c r="D57" s="15" t="s">
        <v>928</v>
      </c>
      <c r="E57" s="15" t="s">
        <v>439</v>
      </c>
      <c r="F57" s="15" t="s">
        <v>439</v>
      </c>
      <c r="G57" s="15" t="s">
        <v>8</v>
      </c>
      <c r="H57" s="15" t="s">
        <v>912</v>
      </c>
      <c r="I57" s="15" t="s">
        <v>1008</v>
      </c>
      <c r="J57" s="17">
        <v>0.61699999999999999</v>
      </c>
      <c r="K57" s="15" t="str">
        <f t="shared" si="0"/>
        <v>DE07_GER ProSupp Server Email (HAL)</v>
      </c>
      <c r="L57" s="15"/>
      <c r="M57" s="15" t="s">
        <v>1810</v>
      </c>
      <c r="N57" s="15">
        <v>7</v>
      </c>
      <c r="O57" s="15" t="s">
        <v>897</v>
      </c>
      <c r="P57" s="19" t="s">
        <v>1886</v>
      </c>
    </row>
    <row r="58" spans="1:16" ht="15" hidden="1" customHeight="1" outlineLevel="1" x14ac:dyDescent="0.3">
      <c r="A58" s="13" t="s">
        <v>2144</v>
      </c>
      <c r="B58" s="15" t="s">
        <v>479</v>
      </c>
      <c r="C58" s="15" t="s">
        <v>480</v>
      </c>
      <c r="D58" s="15" t="s">
        <v>928</v>
      </c>
      <c r="E58" s="15" t="s">
        <v>439</v>
      </c>
      <c r="F58" s="15" t="s">
        <v>439</v>
      </c>
      <c r="G58" s="15" t="s">
        <v>8</v>
      </c>
      <c r="H58" s="15" t="s">
        <v>912</v>
      </c>
      <c r="I58" s="15" t="s">
        <v>1008</v>
      </c>
      <c r="J58" s="17">
        <v>0.61699999999999999</v>
      </c>
      <c r="K58" s="15" t="str">
        <f t="shared" si="0"/>
        <v>DE08_GER Modular (HAL)</v>
      </c>
      <c r="L58" s="15"/>
      <c r="M58" s="15" t="s">
        <v>1810</v>
      </c>
      <c r="N58" s="15">
        <v>7</v>
      </c>
      <c r="O58" s="15" t="s">
        <v>897</v>
      </c>
      <c r="P58" s="19" t="s">
        <v>1886</v>
      </c>
    </row>
    <row r="59" spans="1:16" ht="15" hidden="1" customHeight="1" outlineLevel="1" x14ac:dyDescent="0.3">
      <c r="A59" s="13" t="s">
        <v>2144</v>
      </c>
      <c r="B59" s="15" t="s">
        <v>483</v>
      </c>
      <c r="C59" s="15" t="s">
        <v>484</v>
      </c>
      <c r="D59" s="15" t="s">
        <v>892</v>
      </c>
      <c r="E59" s="15" t="s">
        <v>439</v>
      </c>
      <c r="F59" s="15" t="s">
        <v>439</v>
      </c>
      <c r="G59" s="15" t="s">
        <v>8</v>
      </c>
      <c r="H59" s="15" t="s">
        <v>912</v>
      </c>
      <c r="I59" s="15" t="s">
        <v>1009</v>
      </c>
      <c r="J59" s="17">
        <v>0.61699999999999999</v>
      </c>
      <c r="K59" s="15" t="str">
        <f t="shared" si="0"/>
        <v>DE12_GER Solutions (HAL)</v>
      </c>
      <c r="L59" s="15"/>
      <c r="M59" s="15" t="s">
        <v>896</v>
      </c>
      <c r="N59" s="15">
        <v>14</v>
      </c>
      <c r="O59" s="15" t="s">
        <v>897</v>
      </c>
      <c r="P59" s="19" t="s">
        <v>1886</v>
      </c>
    </row>
    <row r="60" spans="1:16" ht="15" hidden="1" customHeight="1" outlineLevel="1" x14ac:dyDescent="0.3">
      <c r="A60" s="13" t="s">
        <v>2144</v>
      </c>
      <c r="B60" s="15" t="s">
        <v>485</v>
      </c>
      <c r="C60" s="15" t="s">
        <v>1865</v>
      </c>
      <c r="D60" s="15" t="s">
        <v>928</v>
      </c>
      <c r="E60" s="15" t="s">
        <v>439</v>
      </c>
      <c r="F60" s="15" t="s">
        <v>439</v>
      </c>
      <c r="G60" s="15" t="s">
        <v>8</v>
      </c>
      <c r="H60" s="15" t="s">
        <v>912</v>
      </c>
      <c r="I60" s="15" t="s">
        <v>1008</v>
      </c>
      <c r="J60" s="17">
        <v>0.61699999999999999</v>
      </c>
      <c r="K60" s="15" t="str">
        <f t="shared" si="0"/>
        <v>DE13_GER Enterprise (HAL)</v>
      </c>
      <c r="L60" s="15"/>
      <c r="M60" s="15" t="s">
        <v>1810</v>
      </c>
      <c r="N60" s="15">
        <v>7</v>
      </c>
      <c r="O60" s="15" t="s">
        <v>897</v>
      </c>
      <c r="P60" s="19" t="s">
        <v>1886</v>
      </c>
    </row>
    <row r="61" spans="1:16" ht="15" hidden="1" customHeight="1" outlineLevel="1" x14ac:dyDescent="0.3">
      <c r="A61" s="13" t="s">
        <v>2144</v>
      </c>
      <c r="B61" s="15" t="s">
        <v>487</v>
      </c>
      <c r="C61" s="15" t="s">
        <v>488</v>
      </c>
      <c r="D61" s="15" t="s">
        <v>914</v>
      </c>
      <c r="E61" s="15" t="s">
        <v>439</v>
      </c>
      <c r="F61" s="15" t="s">
        <v>439</v>
      </c>
      <c r="G61" s="15" t="s">
        <v>8</v>
      </c>
      <c r="H61" s="15" t="s">
        <v>903</v>
      </c>
      <c r="I61" s="15" t="s">
        <v>906</v>
      </c>
      <c r="J61" s="17">
        <v>0.629</v>
      </c>
      <c r="K61" s="15" t="str">
        <f t="shared" si="0"/>
        <v>DP01_DSP OEM</v>
      </c>
      <c r="L61" s="15"/>
      <c r="M61" s="15" t="s">
        <v>917</v>
      </c>
      <c r="N61" s="15">
        <v>10</v>
      </c>
      <c r="O61" s="15" t="s">
        <v>897</v>
      </c>
      <c r="P61" s="19" t="s">
        <v>1886</v>
      </c>
    </row>
    <row r="62" spans="1:16" ht="15" hidden="1" customHeight="1" outlineLevel="1" x14ac:dyDescent="0.3">
      <c r="A62" s="13" t="s">
        <v>2144</v>
      </c>
      <c r="B62" s="15" t="s">
        <v>491</v>
      </c>
      <c r="C62" s="15" t="s">
        <v>492</v>
      </c>
      <c r="D62" s="15" t="s">
        <v>892</v>
      </c>
      <c r="E62" s="15" t="s">
        <v>439</v>
      </c>
      <c r="F62" s="15" t="s">
        <v>439</v>
      </c>
      <c r="G62" s="15" t="s">
        <v>8</v>
      </c>
      <c r="H62" s="15" t="s">
        <v>912</v>
      </c>
      <c r="I62" s="15" t="s">
        <v>1013</v>
      </c>
      <c r="J62" s="17">
        <v>0.61699999999999999</v>
      </c>
      <c r="K62" s="15" t="str">
        <f t="shared" si="0"/>
        <v>EC06_EC Server Basic Hebrew (CGS) NET</v>
      </c>
      <c r="L62" s="15"/>
      <c r="M62" s="15" t="s">
        <v>896</v>
      </c>
      <c r="N62" s="15">
        <v>14</v>
      </c>
      <c r="O62" s="15" t="s">
        <v>897</v>
      </c>
      <c r="P62" s="19" t="s">
        <v>1886</v>
      </c>
    </row>
    <row r="63" spans="1:16" ht="13" hidden="1" outlineLevel="1" x14ac:dyDescent="0.3">
      <c r="A63" s="13" t="s">
        <v>2144</v>
      </c>
      <c r="B63" s="15" t="s">
        <v>493</v>
      </c>
      <c r="C63" s="15" t="s">
        <v>494</v>
      </c>
      <c r="D63" s="15" t="s">
        <v>1843</v>
      </c>
      <c r="E63" s="15" t="s">
        <v>439</v>
      </c>
      <c r="F63" s="15" t="s">
        <v>439</v>
      </c>
      <c r="G63" s="15" t="s">
        <v>8</v>
      </c>
      <c r="H63" s="15" t="s">
        <v>912</v>
      </c>
      <c r="I63" s="15" t="s">
        <v>1013</v>
      </c>
      <c r="J63" s="17">
        <v>0.61699999999999999</v>
      </c>
      <c r="K63" s="15" t="str">
        <f t="shared" si="0"/>
        <v>EC07_EC ProSupp Server Hebrew (CGS)</v>
      </c>
      <c r="L63" s="15"/>
      <c r="M63" s="15" t="s">
        <v>896</v>
      </c>
      <c r="N63" s="15">
        <v>14</v>
      </c>
      <c r="O63" s="15" t="s">
        <v>897</v>
      </c>
      <c r="P63" s="19" t="s">
        <v>1886</v>
      </c>
    </row>
    <row r="64" spans="1:16" ht="15" hidden="1" customHeight="1" outlineLevel="1" x14ac:dyDescent="0.3">
      <c r="A64" s="13" t="s">
        <v>2144</v>
      </c>
      <c r="B64" s="15" t="s">
        <v>497</v>
      </c>
      <c r="C64" s="15" t="s">
        <v>498</v>
      </c>
      <c r="D64" s="15" t="s">
        <v>892</v>
      </c>
      <c r="E64" s="15" t="s">
        <v>439</v>
      </c>
      <c r="F64" s="15" t="s">
        <v>439</v>
      </c>
      <c r="G64" s="15" t="s">
        <v>8</v>
      </c>
      <c r="H64" s="15" t="s">
        <v>912</v>
      </c>
      <c r="I64" s="15" t="s">
        <v>1008</v>
      </c>
      <c r="J64" s="17">
        <v>0.61699999999999999</v>
      </c>
      <c r="K64" s="15" t="str">
        <f t="shared" si="0"/>
        <v>EC21_EC RUS Enterprise (HAL)</v>
      </c>
      <c r="L64" s="15"/>
      <c r="M64" s="15" t="s">
        <v>930</v>
      </c>
      <c r="N64" s="15">
        <v>7</v>
      </c>
      <c r="O64" s="15" t="s">
        <v>897</v>
      </c>
      <c r="P64" s="19" t="s">
        <v>1886</v>
      </c>
    </row>
    <row r="65" spans="1:16" ht="13" hidden="1" outlineLevel="1" x14ac:dyDescent="0.3">
      <c r="A65" s="13" t="s">
        <v>2144</v>
      </c>
      <c r="B65" s="15" t="s">
        <v>499</v>
      </c>
      <c r="C65" s="15" t="s">
        <v>500</v>
      </c>
      <c r="D65" s="15" t="s">
        <v>928</v>
      </c>
      <c r="E65" s="15" t="s">
        <v>439</v>
      </c>
      <c r="F65" s="15" t="s">
        <v>439</v>
      </c>
      <c r="G65" s="15" t="s">
        <v>8</v>
      </c>
      <c r="H65" s="15" t="s">
        <v>912</v>
      </c>
      <c r="I65" s="15" t="s">
        <v>1006</v>
      </c>
      <c r="J65" s="17">
        <v>0.61699999999999999</v>
      </c>
      <c r="K65" s="15" t="str">
        <f t="shared" si="0"/>
        <v>EC30_EC Basic Enterprise (CAS)</v>
      </c>
      <c r="L65" s="15"/>
      <c r="M65" s="15" t="s">
        <v>1810</v>
      </c>
      <c r="N65" s="15">
        <v>10</v>
      </c>
      <c r="O65" s="15" t="s">
        <v>897</v>
      </c>
      <c r="P65" s="19" t="s">
        <v>1886</v>
      </c>
    </row>
    <row r="66" spans="1:16" ht="15" hidden="1" customHeight="1" outlineLevel="1" x14ac:dyDescent="0.3">
      <c r="A66" s="13" t="s">
        <v>2144</v>
      </c>
      <c r="B66" s="15" t="s">
        <v>501</v>
      </c>
      <c r="C66" s="15" t="s">
        <v>502</v>
      </c>
      <c r="D66" s="15" t="s">
        <v>928</v>
      </c>
      <c r="E66" s="15" t="s">
        <v>439</v>
      </c>
      <c r="F66" s="15" t="s">
        <v>439</v>
      </c>
      <c r="G66" s="15" t="s">
        <v>8</v>
      </c>
      <c r="H66" s="15" t="s">
        <v>912</v>
      </c>
      <c r="I66" s="15" t="s">
        <v>1006</v>
      </c>
      <c r="J66" s="17">
        <v>0.61699999999999999</v>
      </c>
      <c r="K66" s="15" t="str">
        <f t="shared" ref="K66:K129" si="1">B66&amp;"_"&amp;C66</f>
        <v>EC32_EC ProSupp Server Arabic (CAS)</v>
      </c>
      <c r="L66" s="15"/>
      <c r="M66" s="15" t="s">
        <v>1810</v>
      </c>
      <c r="N66" s="15">
        <v>10</v>
      </c>
      <c r="O66" s="15" t="s">
        <v>897</v>
      </c>
      <c r="P66" s="19" t="s">
        <v>1886</v>
      </c>
    </row>
    <row r="67" spans="1:16" s="11" customFormat="1" ht="13" hidden="1" outlineLevel="1" x14ac:dyDescent="0.3">
      <c r="A67" s="13" t="s">
        <v>2144</v>
      </c>
      <c r="B67" s="15" t="s">
        <v>505</v>
      </c>
      <c r="C67" s="15" t="s">
        <v>506</v>
      </c>
      <c r="D67" s="15" t="s">
        <v>892</v>
      </c>
      <c r="E67" s="15" t="s">
        <v>439</v>
      </c>
      <c r="F67" s="15" t="s">
        <v>439</v>
      </c>
      <c r="G67" s="15" t="s">
        <v>8</v>
      </c>
      <c r="H67" s="15" t="s">
        <v>912</v>
      </c>
      <c r="I67" s="15" t="s">
        <v>1008</v>
      </c>
      <c r="J67" s="17">
        <v>0.61699999999999999</v>
      </c>
      <c r="K67" s="15" t="str">
        <f t="shared" si="1"/>
        <v>EC34_EC ProSupp Server CEE (HAL)</v>
      </c>
      <c r="L67" s="15"/>
      <c r="M67" s="15" t="s">
        <v>930</v>
      </c>
      <c r="N67" s="15">
        <v>8</v>
      </c>
      <c r="O67" s="15" t="s">
        <v>897</v>
      </c>
      <c r="P67" s="19" t="s">
        <v>1886</v>
      </c>
    </row>
    <row r="68" spans="1:16" s="11" customFormat="1" ht="13" hidden="1" outlineLevel="1" x14ac:dyDescent="0.3">
      <c r="A68" s="13" t="s">
        <v>2144</v>
      </c>
      <c r="B68" s="15" t="s">
        <v>624</v>
      </c>
      <c r="C68" s="15" t="s">
        <v>625</v>
      </c>
      <c r="D68" s="15" t="s">
        <v>892</v>
      </c>
      <c r="E68" s="15" t="s">
        <v>609</v>
      </c>
      <c r="F68" s="15" t="s">
        <v>609</v>
      </c>
      <c r="G68" s="15" t="s">
        <v>8</v>
      </c>
      <c r="H68" s="15" t="s">
        <v>912</v>
      </c>
      <c r="I68" s="15" t="s">
        <v>1006</v>
      </c>
      <c r="J68" s="17">
        <v>0.61699999999999999</v>
      </c>
      <c r="K68" s="15" t="str">
        <f t="shared" si="1"/>
        <v>EC39_EC ProSupp Storage</v>
      </c>
      <c r="L68" s="15"/>
      <c r="M68" s="15" t="s">
        <v>972</v>
      </c>
      <c r="N68" s="15">
        <v>7</v>
      </c>
      <c r="O68" s="15" t="s">
        <v>897</v>
      </c>
      <c r="P68" s="19" t="s">
        <v>1886</v>
      </c>
    </row>
    <row r="69" spans="1:16" ht="15" hidden="1" customHeight="1" outlineLevel="1" x14ac:dyDescent="0.3">
      <c r="A69" s="13" t="s">
        <v>2144</v>
      </c>
      <c r="B69" s="15" t="s">
        <v>726</v>
      </c>
      <c r="C69" s="15" t="s">
        <v>727</v>
      </c>
      <c r="D69" s="15" t="s">
        <v>892</v>
      </c>
      <c r="E69" s="15"/>
      <c r="F69" s="15" t="s">
        <v>440</v>
      </c>
      <c r="G69" s="15" t="s">
        <v>8</v>
      </c>
      <c r="H69" s="15" t="s">
        <v>893</v>
      </c>
      <c r="I69" s="15" t="s">
        <v>894</v>
      </c>
      <c r="J69" s="17">
        <v>0.64800000000000002</v>
      </c>
      <c r="K69" s="15" t="str">
        <f t="shared" si="1"/>
        <v>FD01_Federal Support NA</v>
      </c>
      <c r="L69" s="15"/>
      <c r="M69" s="15" t="s">
        <v>896</v>
      </c>
      <c r="N69" s="15">
        <v>14</v>
      </c>
      <c r="O69" s="15" t="s">
        <v>897</v>
      </c>
      <c r="P69" s="19" t="s">
        <v>1886</v>
      </c>
    </row>
    <row r="70" spans="1:16" ht="13" hidden="1" outlineLevel="1" x14ac:dyDescent="0.3">
      <c r="A70" s="13" t="s">
        <v>2144</v>
      </c>
      <c r="B70" s="15" t="s">
        <v>507</v>
      </c>
      <c r="C70" s="15" t="s">
        <v>508</v>
      </c>
      <c r="D70" s="15" t="s">
        <v>892</v>
      </c>
      <c r="E70" s="15" t="s">
        <v>439</v>
      </c>
      <c r="F70" s="15" t="s">
        <v>439</v>
      </c>
      <c r="G70" s="15" t="s">
        <v>8</v>
      </c>
      <c r="H70" s="15" t="s">
        <v>893</v>
      </c>
      <c r="I70" s="15" t="s">
        <v>894</v>
      </c>
      <c r="J70" s="17">
        <v>0.64800000000000002</v>
      </c>
      <c r="K70" s="15" t="str">
        <f t="shared" si="1"/>
        <v>FED4_Federal Server US</v>
      </c>
      <c r="L70" s="15"/>
      <c r="M70" s="15" t="s">
        <v>896</v>
      </c>
      <c r="N70" s="15">
        <v>8</v>
      </c>
      <c r="O70" s="15" t="s">
        <v>897</v>
      </c>
      <c r="P70" s="19" t="s">
        <v>1886</v>
      </c>
    </row>
    <row r="71" spans="1:16" ht="15" hidden="1" customHeight="1" outlineLevel="1" x14ac:dyDescent="0.3">
      <c r="A71" s="13" t="s">
        <v>2144</v>
      </c>
      <c r="B71" s="15" t="s">
        <v>626</v>
      </c>
      <c r="C71" s="15" t="s">
        <v>627</v>
      </c>
      <c r="D71" s="15" t="s">
        <v>892</v>
      </c>
      <c r="E71" s="15" t="s">
        <v>609</v>
      </c>
      <c r="F71" s="15" t="s">
        <v>609</v>
      </c>
      <c r="G71" s="15" t="s">
        <v>8</v>
      </c>
      <c r="H71" s="15" t="s">
        <v>893</v>
      </c>
      <c r="I71" s="15" t="s">
        <v>894</v>
      </c>
      <c r="J71" s="17">
        <v>0.64800000000000002</v>
      </c>
      <c r="K71" s="15" t="str">
        <f t="shared" si="1"/>
        <v>FED6_US Federal Support Storage</v>
      </c>
      <c r="L71" s="15"/>
      <c r="M71" s="15" t="s">
        <v>896</v>
      </c>
      <c r="N71" s="15">
        <v>8</v>
      </c>
      <c r="O71" s="15" t="s">
        <v>897</v>
      </c>
      <c r="P71" s="19" t="s">
        <v>1886</v>
      </c>
    </row>
    <row r="72" spans="1:16" ht="15" hidden="1" customHeight="1" outlineLevel="1" x14ac:dyDescent="0.3">
      <c r="A72" s="13" t="s">
        <v>2144</v>
      </c>
      <c r="B72" s="15" t="s">
        <v>509</v>
      </c>
      <c r="C72" s="15" t="s">
        <v>510</v>
      </c>
      <c r="D72" s="15" t="s">
        <v>928</v>
      </c>
      <c r="E72" s="15" t="s">
        <v>439</v>
      </c>
      <c r="F72" s="15" t="s">
        <v>439</v>
      </c>
      <c r="G72" s="15" t="s">
        <v>8</v>
      </c>
      <c r="H72" s="15" t="s">
        <v>912</v>
      </c>
      <c r="I72" s="15" t="s">
        <v>1006</v>
      </c>
      <c r="J72" s="17">
        <v>0.61699999999999999</v>
      </c>
      <c r="K72" s="15" t="str">
        <f t="shared" si="1"/>
        <v>FR05_FRA Basic Enterprise (CAS)</v>
      </c>
      <c r="L72" s="15"/>
      <c r="M72" s="15" t="s">
        <v>1810</v>
      </c>
      <c r="N72" s="15">
        <v>4</v>
      </c>
      <c r="O72" s="15" t="s">
        <v>897</v>
      </c>
      <c r="P72" s="19" t="s">
        <v>1886</v>
      </c>
    </row>
    <row r="73" spans="1:16" ht="15" hidden="1" customHeight="1" outlineLevel="1" x14ac:dyDescent="0.3">
      <c r="A73" s="13" t="s">
        <v>2144</v>
      </c>
      <c r="B73" s="15" t="s">
        <v>511</v>
      </c>
      <c r="C73" s="15" t="s">
        <v>512</v>
      </c>
      <c r="D73" s="15" t="s">
        <v>928</v>
      </c>
      <c r="E73" s="15" t="s">
        <v>439</v>
      </c>
      <c r="F73" s="15" t="s">
        <v>439</v>
      </c>
      <c r="G73" s="15" t="s">
        <v>8</v>
      </c>
      <c r="H73" s="15" t="s">
        <v>912</v>
      </c>
      <c r="I73" s="15" t="s">
        <v>1006</v>
      </c>
      <c r="J73" s="17">
        <v>0.61699999999999999</v>
      </c>
      <c r="K73" s="15" t="str">
        <f t="shared" si="1"/>
        <v>FR06_FRA Modular (MTP)</v>
      </c>
      <c r="L73" s="15"/>
      <c r="M73" s="15" t="s">
        <v>1810</v>
      </c>
      <c r="N73" s="15">
        <v>7</v>
      </c>
      <c r="O73" s="15" t="s">
        <v>897</v>
      </c>
      <c r="P73" s="19" t="s">
        <v>1886</v>
      </c>
    </row>
    <row r="74" spans="1:16" ht="15" hidden="1" customHeight="1" outlineLevel="1" x14ac:dyDescent="0.3">
      <c r="A74" s="13" t="s">
        <v>2144</v>
      </c>
      <c r="B74" s="15" t="s">
        <v>513</v>
      </c>
      <c r="C74" s="15" t="s">
        <v>514</v>
      </c>
      <c r="D74" s="15" t="s">
        <v>892</v>
      </c>
      <c r="E74" s="15" t="s">
        <v>439</v>
      </c>
      <c r="F74" s="15" t="s">
        <v>439</v>
      </c>
      <c r="G74" s="15" t="s">
        <v>8</v>
      </c>
      <c r="H74" s="15" t="s">
        <v>912</v>
      </c>
      <c r="I74" s="15" t="s">
        <v>1026</v>
      </c>
      <c r="J74" s="17">
        <v>0.61699999999999999</v>
      </c>
      <c r="K74" s="15" t="str">
        <f t="shared" si="1"/>
        <v>FR08_FRA Solutions (MTP)</v>
      </c>
      <c r="L74" s="15"/>
      <c r="M74" s="15" t="s">
        <v>896</v>
      </c>
      <c r="N74" s="15">
        <v>14</v>
      </c>
      <c r="O74" s="15" t="s">
        <v>897</v>
      </c>
      <c r="P74" s="19" t="s">
        <v>1886</v>
      </c>
    </row>
    <row r="75" spans="1:16" ht="13" hidden="1" outlineLevel="1" x14ac:dyDescent="0.3">
      <c r="A75" s="13" t="s">
        <v>2144</v>
      </c>
      <c r="B75" s="15" t="s">
        <v>515</v>
      </c>
      <c r="C75" s="15" t="s">
        <v>516</v>
      </c>
      <c r="D75" s="15" t="s">
        <v>892</v>
      </c>
      <c r="E75" s="15" t="s">
        <v>439</v>
      </c>
      <c r="F75" s="15" t="s">
        <v>439</v>
      </c>
      <c r="G75" s="15" t="s">
        <v>8</v>
      </c>
      <c r="H75" s="15" t="s">
        <v>912</v>
      </c>
      <c r="I75" s="15" t="s">
        <v>1006</v>
      </c>
      <c r="J75" s="17">
        <v>0.61699999999999999</v>
      </c>
      <c r="K75" s="15" t="str">
        <f t="shared" si="1"/>
        <v>FR09_FRA ProSupport Server (CAS)</v>
      </c>
      <c r="L75" s="15"/>
      <c r="M75" s="15" t="s">
        <v>930</v>
      </c>
      <c r="N75" s="15">
        <v>7</v>
      </c>
      <c r="O75" s="15" t="s">
        <v>897</v>
      </c>
      <c r="P75" s="19" t="s">
        <v>1886</v>
      </c>
    </row>
    <row r="76" spans="1:16" ht="15" hidden="1" customHeight="1" outlineLevel="1" x14ac:dyDescent="0.3">
      <c r="A76" s="13" t="s">
        <v>2144</v>
      </c>
      <c r="B76" s="15" t="s">
        <v>517</v>
      </c>
      <c r="C76" s="15" t="s">
        <v>518</v>
      </c>
      <c r="D76" s="15" t="s">
        <v>892</v>
      </c>
      <c r="E76" s="15" t="s">
        <v>439</v>
      </c>
      <c r="F76" s="15" t="s">
        <v>439</v>
      </c>
      <c r="G76" s="15" t="s">
        <v>8</v>
      </c>
      <c r="H76" s="15" t="s">
        <v>912</v>
      </c>
      <c r="I76" s="15" t="s">
        <v>1006</v>
      </c>
      <c r="J76" s="17">
        <v>0.61699999999999999</v>
      </c>
      <c r="K76" s="15" t="str">
        <f t="shared" si="1"/>
        <v>FR11_FRA ProSupport Plus Server (MTP)</v>
      </c>
      <c r="L76" s="15"/>
      <c r="M76" s="15" t="s">
        <v>930</v>
      </c>
      <c r="N76" s="15">
        <v>7</v>
      </c>
      <c r="O76" s="15" t="s">
        <v>897</v>
      </c>
      <c r="P76" s="19" t="s">
        <v>1886</v>
      </c>
    </row>
    <row r="77" spans="1:16" ht="15" hidden="1" customHeight="1" outlineLevel="1" x14ac:dyDescent="0.3">
      <c r="A77" s="13" t="s">
        <v>2144</v>
      </c>
      <c r="B77" s="15" t="s">
        <v>519</v>
      </c>
      <c r="C77" s="15" t="s">
        <v>520</v>
      </c>
      <c r="D77" s="15" t="s">
        <v>892</v>
      </c>
      <c r="E77" s="15" t="s">
        <v>439</v>
      </c>
      <c r="F77" s="15" t="s">
        <v>439</v>
      </c>
      <c r="G77" s="15" t="s">
        <v>8</v>
      </c>
      <c r="H77" s="15" t="s">
        <v>912</v>
      </c>
      <c r="I77" s="15" t="s">
        <v>1006</v>
      </c>
      <c r="J77" s="17">
        <v>0.61699999999999999</v>
      </c>
      <c r="K77" s="15" t="str">
        <f t="shared" si="1"/>
        <v>FR12_FRA ProSupp Server Alternate</v>
      </c>
      <c r="L77" s="15"/>
      <c r="M77" s="15" t="s">
        <v>896</v>
      </c>
      <c r="N77" s="15">
        <v>7</v>
      </c>
      <c r="O77" s="15" t="s">
        <v>897</v>
      </c>
      <c r="P77" s="19" t="s">
        <v>1886</v>
      </c>
    </row>
    <row r="78" spans="1:16" ht="15" hidden="1" customHeight="1" outlineLevel="1" x14ac:dyDescent="0.3">
      <c r="A78" s="13" t="s">
        <v>2144</v>
      </c>
      <c r="B78" s="15" t="s">
        <v>628</v>
      </c>
      <c r="C78" s="15" t="s">
        <v>629</v>
      </c>
      <c r="D78" s="15" t="s">
        <v>892</v>
      </c>
      <c r="E78" s="15" t="s">
        <v>609</v>
      </c>
      <c r="F78" s="15" t="s">
        <v>609</v>
      </c>
      <c r="G78" s="15" t="s">
        <v>8</v>
      </c>
      <c r="H78" s="15" t="s">
        <v>912</v>
      </c>
      <c r="I78" s="15" t="e">
        <v>#N/A</v>
      </c>
      <c r="J78" s="17">
        <v>0.61699999999999999</v>
      </c>
      <c r="K78" s="15" t="str">
        <f t="shared" si="1"/>
        <v>FR13_ProSupp EQL (MTP)</v>
      </c>
      <c r="L78" s="15"/>
      <c r="M78" s="15" t="s">
        <v>896</v>
      </c>
      <c r="N78" s="15">
        <v>7</v>
      </c>
      <c r="O78" s="15" t="s">
        <v>897</v>
      </c>
      <c r="P78" s="19" t="s">
        <v>1886</v>
      </c>
    </row>
    <row r="79" spans="1:16" ht="15" hidden="1" customHeight="1" outlineLevel="1" x14ac:dyDescent="0.3">
      <c r="A79" s="13" t="s">
        <v>2144</v>
      </c>
      <c r="B79" s="15" t="s">
        <v>630</v>
      </c>
      <c r="C79" s="15" t="s">
        <v>631</v>
      </c>
      <c r="D79" s="15" t="s">
        <v>892</v>
      </c>
      <c r="E79" s="15" t="s">
        <v>609</v>
      </c>
      <c r="F79" s="15" t="s">
        <v>609</v>
      </c>
      <c r="G79" s="15" t="s">
        <v>8</v>
      </c>
      <c r="H79" s="15" t="s">
        <v>912</v>
      </c>
      <c r="I79" s="15" t="s">
        <v>1026</v>
      </c>
      <c r="J79" s="17">
        <v>0.61699999999999999</v>
      </c>
      <c r="K79" s="15" t="str">
        <f t="shared" si="1"/>
        <v>FR23_FRA ProSupp Storage (MTP)</v>
      </c>
      <c r="L79" s="15"/>
      <c r="M79" s="15" t="s">
        <v>896</v>
      </c>
      <c r="N79" s="15">
        <v>14</v>
      </c>
      <c r="O79" s="15" t="s">
        <v>897</v>
      </c>
      <c r="P79" s="19" t="s">
        <v>1886</v>
      </c>
    </row>
    <row r="80" spans="1:16" ht="13" hidden="1" outlineLevel="1" x14ac:dyDescent="0.3">
      <c r="A80" s="13" t="s">
        <v>2144</v>
      </c>
      <c r="B80" s="15" t="s">
        <v>521</v>
      </c>
      <c r="C80" s="15" t="s">
        <v>522</v>
      </c>
      <c r="D80" s="15" t="s">
        <v>892</v>
      </c>
      <c r="E80" s="15" t="s">
        <v>439</v>
      </c>
      <c r="F80" s="15" t="s">
        <v>439</v>
      </c>
      <c r="G80" s="15" t="s">
        <v>8</v>
      </c>
      <c r="H80" s="15" t="s">
        <v>912</v>
      </c>
      <c r="I80" s="15" t="s">
        <v>913</v>
      </c>
      <c r="J80" s="17">
        <v>0.61699999999999999</v>
      </c>
      <c r="K80" s="15" t="str">
        <f t="shared" si="1"/>
        <v>GB08_UKISA Basic Enterprise (BGL)</v>
      </c>
      <c r="L80" s="15"/>
      <c r="M80" s="15" t="s">
        <v>896</v>
      </c>
      <c r="N80" s="15">
        <v>10</v>
      </c>
      <c r="O80" s="15" t="s">
        <v>897</v>
      </c>
      <c r="P80" s="19" t="s">
        <v>1886</v>
      </c>
    </row>
    <row r="81" spans="1:16" ht="15" hidden="1" customHeight="1" outlineLevel="1" x14ac:dyDescent="0.3">
      <c r="A81" s="13" t="s">
        <v>2144</v>
      </c>
      <c r="B81" s="15" t="s">
        <v>634</v>
      </c>
      <c r="C81" s="15" t="s">
        <v>635</v>
      </c>
      <c r="D81" s="15" t="s">
        <v>892</v>
      </c>
      <c r="E81" s="15" t="s">
        <v>609</v>
      </c>
      <c r="F81" s="15" t="s">
        <v>609</v>
      </c>
      <c r="G81" s="15" t="s">
        <v>8</v>
      </c>
      <c r="H81" s="15" t="s">
        <v>912</v>
      </c>
      <c r="I81" s="15" t="s">
        <v>913</v>
      </c>
      <c r="J81" s="17">
        <v>0.61699999999999999</v>
      </c>
      <c r="K81" s="15" t="str">
        <f t="shared" si="1"/>
        <v>GB09_ProSupp Storage Co Pilot (CWD)</v>
      </c>
      <c r="L81" s="15"/>
      <c r="M81" s="15" t="s">
        <v>896</v>
      </c>
      <c r="N81" s="15">
        <v>14</v>
      </c>
      <c r="O81" s="15" t="s">
        <v>897</v>
      </c>
      <c r="P81" s="19" t="s">
        <v>1886</v>
      </c>
    </row>
    <row r="82" spans="1:16" ht="15" hidden="1" customHeight="1" outlineLevel="1" x14ac:dyDescent="0.3">
      <c r="A82" s="13" t="s">
        <v>2144</v>
      </c>
      <c r="B82" s="15" t="s">
        <v>636</v>
      </c>
      <c r="C82" s="15" t="s">
        <v>637</v>
      </c>
      <c r="D82" s="15" t="s">
        <v>892</v>
      </c>
      <c r="E82" s="15" t="s">
        <v>609</v>
      </c>
      <c r="F82" s="15" t="s">
        <v>609</v>
      </c>
      <c r="G82" s="15" t="s">
        <v>8</v>
      </c>
      <c r="H82" s="15" t="s">
        <v>912</v>
      </c>
      <c r="I82" s="15" t="e">
        <v>#N/A</v>
      </c>
      <c r="J82" s="17">
        <v>0.61699999999999999</v>
      </c>
      <c r="K82" s="15" t="str">
        <f t="shared" si="1"/>
        <v>GB10_ProSupp EQL (CWD)</v>
      </c>
      <c r="L82" s="15"/>
      <c r="M82" s="15" t="s">
        <v>896</v>
      </c>
      <c r="N82" s="15">
        <v>7</v>
      </c>
      <c r="O82" s="15" t="s">
        <v>897</v>
      </c>
      <c r="P82" s="19" t="s">
        <v>1886</v>
      </c>
    </row>
    <row r="83" spans="1:16" ht="15" hidden="1" customHeight="1" outlineLevel="1" x14ac:dyDescent="0.3">
      <c r="A83" s="13" t="s">
        <v>2144</v>
      </c>
      <c r="B83" s="15" t="s">
        <v>283</v>
      </c>
      <c r="C83" s="15" t="s">
        <v>284</v>
      </c>
      <c r="D83" s="15" t="s">
        <v>928</v>
      </c>
      <c r="E83" s="15" t="s">
        <v>266</v>
      </c>
      <c r="F83" s="15" t="s">
        <v>266</v>
      </c>
      <c r="G83" s="15" t="s">
        <v>8</v>
      </c>
      <c r="H83" s="15" t="s">
        <v>912</v>
      </c>
      <c r="I83" s="15" t="s">
        <v>938</v>
      </c>
      <c r="J83" s="17">
        <v>0.61699999999999999</v>
      </c>
      <c r="K83" s="15" t="str">
        <f t="shared" si="1"/>
        <v>GB13_UKI Networking (CWD)</v>
      </c>
      <c r="L83" s="15"/>
      <c r="M83" s="15" t="s">
        <v>1810</v>
      </c>
      <c r="N83" s="15">
        <v>7</v>
      </c>
      <c r="O83" s="15" t="s">
        <v>897</v>
      </c>
      <c r="P83" s="19" t="s">
        <v>1886</v>
      </c>
    </row>
    <row r="84" spans="1:16" ht="15" hidden="1" customHeight="1" outlineLevel="1" x14ac:dyDescent="0.3">
      <c r="A84" s="13" t="s">
        <v>2144</v>
      </c>
      <c r="B84" s="15" t="s">
        <v>525</v>
      </c>
      <c r="C84" s="15" t="s">
        <v>526</v>
      </c>
      <c r="D84" s="15" t="s">
        <v>892</v>
      </c>
      <c r="E84" s="15" t="s">
        <v>439</v>
      </c>
      <c r="F84" s="15" t="s">
        <v>439</v>
      </c>
      <c r="G84" s="15" t="s">
        <v>8</v>
      </c>
      <c r="H84" s="15" t="s">
        <v>912</v>
      </c>
      <c r="I84" s="15" t="s">
        <v>913</v>
      </c>
      <c r="J84" s="17">
        <v>0.61699999999999999</v>
      </c>
      <c r="K84" s="15" t="str">
        <f t="shared" si="1"/>
        <v>GB14_ENG Solutions (CWD)</v>
      </c>
      <c r="L84" s="15"/>
      <c r="M84" s="15" t="s">
        <v>896</v>
      </c>
      <c r="N84" s="15">
        <v>14</v>
      </c>
      <c r="O84" s="15" t="s">
        <v>897</v>
      </c>
      <c r="P84" s="19" t="s">
        <v>1886</v>
      </c>
    </row>
    <row r="85" spans="1:16" ht="15" hidden="1" customHeight="1" outlineLevel="1" x14ac:dyDescent="0.3">
      <c r="A85" s="13" t="s">
        <v>2144</v>
      </c>
      <c r="B85" s="15" t="s">
        <v>529</v>
      </c>
      <c r="C85" s="15" t="s">
        <v>530</v>
      </c>
      <c r="D85" s="15" t="s">
        <v>892</v>
      </c>
      <c r="E85" s="15" t="s">
        <v>439</v>
      </c>
      <c r="F85" s="15" t="s">
        <v>439</v>
      </c>
      <c r="G85" s="15" t="s">
        <v>8</v>
      </c>
      <c r="H85" s="15" t="s">
        <v>912</v>
      </c>
      <c r="I85" s="15" t="s">
        <v>1006</v>
      </c>
      <c r="J85" s="17">
        <v>0.61699999999999999</v>
      </c>
      <c r="K85" s="15" t="str">
        <f t="shared" si="1"/>
        <v>GB18_ENG ProSupp Server</v>
      </c>
      <c r="L85" s="15"/>
      <c r="M85" s="15" t="s">
        <v>930</v>
      </c>
      <c r="N85" s="15">
        <v>8</v>
      </c>
      <c r="O85" s="15" t="s">
        <v>897</v>
      </c>
      <c r="P85" s="19" t="s">
        <v>1886</v>
      </c>
    </row>
    <row r="86" spans="1:16" ht="13" hidden="1" outlineLevel="1" x14ac:dyDescent="0.3">
      <c r="A86" s="13" t="s">
        <v>2144</v>
      </c>
      <c r="B86" s="15" t="s">
        <v>638</v>
      </c>
      <c r="C86" s="15" t="s">
        <v>639</v>
      </c>
      <c r="D86" s="15" t="s">
        <v>973</v>
      </c>
      <c r="E86" s="15" t="s">
        <v>609</v>
      </c>
      <c r="F86" s="15" t="s">
        <v>609</v>
      </c>
      <c r="G86" s="15" t="s">
        <v>8</v>
      </c>
      <c r="H86" s="15" t="s">
        <v>912</v>
      </c>
      <c r="I86" s="15" t="s">
        <v>938</v>
      </c>
      <c r="J86" s="17">
        <v>0.61699999999999999</v>
      </c>
      <c r="K86" s="15" t="str">
        <f t="shared" si="1"/>
        <v>GB21_ProSupp Storage 247 (CWD)</v>
      </c>
      <c r="L86" s="15"/>
      <c r="M86" s="15" t="s">
        <v>972</v>
      </c>
      <c r="N86" s="15">
        <v>8</v>
      </c>
      <c r="O86" s="15" t="s">
        <v>897</v>
      </c>
      <c r="P86" s="19" t="s">
        <v>1886</v>
      </c>
    </row>
    <row r="87" spans="1:16" ht="13" hidden="1" outlineLevel="1" x14ac:dyDescent="0.3">
      <c r="A87" s="13" t="s">
        <v>2144</v>
      </c>
      <c r="B87" s="15" t="s">
        <v>640</v>
      </c>
      <c r="C87" s="15" t="s">
        <v>641</v>
      </c>
      <c r="D87" s="15" t="s">
        <v>892</v>
      </c>
      <c r="E87" s="15" t="s">
        <v>609</v>
      </c>
      <c r="F87" s="15" t="s">
        <v>609</v>
      </c>
      <c r="G87" s="15" t="s">
        <v>8</v>
      </c>
      <c r="H87" s="15" t="s">
        <v>912</v>
      </c>
      <c r="I87" s="15" t="s">
        <v>1006</v>
      </c>
      <c r="J87" s="17">
        <v>0.61699999999999999</v>
      </c>
      <c r="K87" s="15" t="str">
        <f t="shared" si="1"/>
        <v>GB29_EMEA ProSupport Powerstore</v>
      </c>
      <c r="L87" s="15"/>
      <c r="M87" s="15" t="s">
        <v>896</v>
      </c>
      <c r="N87" s="15">
        <v>8</v>
      </c>
      <c r="O87" s="15" t="s">
        <v>897</v>
      </c>
      <c r="P87" s="19" t="s">
        <v>1886</v>
      </c>
    </row>
    <row r="88" spans="1:16" ht="13" hidden="1" outlineLevel="1" x14ac:dyDescent="0.3">
      <c r="A88" s="13" t="s">
        <v>2144</v>
      </c>
      <c r="B88" s="15" t="s">
        <v>642</v>
      </c>
      <c r="C88" s="15" t="s">
        <v>643</v>
      </c>
      <c r="D88" s="15" t="s">
        <v>892</v>
      </c>
      <c r="E88" s="15" t="s">
        <v>609</v>
      </c>
      <c r="F88" s="15" t="s">
        <v>609</v>
      </c>
      <c r="G88" s="15" t="s">
        <v>8</v>
      </c>
      <c r="H88" s="15" t="s">
        <v>912</v>
      </c>
      <c r="I88" s="15" t="s">
        <v>938</v>
      </c>
      <c r="J88" s="17">
        <v>0.61699999999999999</v>
      </c>
      <c r="K88" s="15" t="str">
        <f t="shared" si="1"/>
        <v>GB31_UKI Storage</v>
      </c>
      <c r="L88" s="15"/>
      <c r="M88" s="15" t="s">
        <v>972</v>
      </c>
      <c r="N88" s="15">
        <v>8</v>
      </c>
      <c r="O88" s="15" t="s">
        <v>897</v>
      </c>
      <c r="P88" s="19" t="s">
        <v>1886</v>
      </c>
    </row>
    <row r="89" spans="1:16" ht="15" hidden="1" customHeight="1" outlineLevel="1" x14ac:dyDescent="0.3">
      <c r="A89" s="13" t="s">
        <v>2144</v>
      </c>
      <c r="B89" s="15" t="s">
        <v>38</v>
      </c>
      <c r="C89" s="15" t="s">
        <v>39</v>
      </c>
      <c r="D89" s="15" t="s">
        <v>1847</v>
      </c>
      <c r="E89" s="15" t="s">
        <v>13</v>
      </c>
      <c r="F89" s="15" t="s">
        <v>13</v>
      </c>
      <c r="G89" s="15" t="s">
        <v>8</v>
      </c>
      <c r="H89" s="15" t="s">
        <v>903</v>
      </c>
      <c r="I89" s="15" t="s">
        <v>906</v>
      </c>
      <c r="J89" s="18"/>
      <c r="K89" s="15" t="str">
        <f t="shared" si="1"/>
        <v>GCTE_CTE Global English</v>
      </c>
      <c r="L89" s="15"/>
      <c r="M89" s="15"/>
      <c r="N89" s="15"/>
      <c r="O89" s="15" t="s">
        <v>897</v>
      </c>
      <c r="P89" s="19" t="s">
        <v>1886</v>
      </c>
    </row>
    <row r="90" spans="1:16" ht="13" hidden="1" outlineLevel="1" x14ac:dyDescent="0.3">
      <c r="A90" s="13" t="s">
        <v>2144</v>
      </c>
      <c r="B90" s="15" t="s">
        <v>644</v>
      </c>
      <c r="C90" s="15" t="s">
        <v>645</v>
      </c>
      <c r="D90" s="15" t="s">
        <v>892</v>
      </c>
      <c r="E90" s="15" t="s">
        <v>609</v>
      </c>
      <c r="F90" s="15" t="s">
        <v>609</v>
      </c>
      <c r="G90" s="15" t="s">
        <v>8</v>
      </c>
      <c r="H90" s="15" t="s">
        <v>912</v>
      </c>
      <c r="I90" s="15" t="s">
        <v>1009</v>
      </c>
      <c r="J90" s="17">
        <v>0.61699999999999999</v>
      </c>
      <c r="K90" s="15" t="str">
        <f t="shared" si="1"/>
        <v>GG01_GER ProSupp Storage Co Pilot</v>
      </c>
      <c r="L90" s="15"/>
      <c r="M90" s="15" t="s">
        <v>896</v>
      </c>
      <c r="N90" s="15">
        <v>14</v>
      </c>
      <c r="O90" s="15" t="s">
        <v>897</v>
      </c>
      <c r="P90" s="19" t="s">
        <v>1886</v>
      </c>
    </row>
    <row r="91" spans="1:16" ht="15" hidden="1" customHeight="1" outlineLevel="1" x14ac:dyDescent="0.3">
      <c r="A91" s="13" t="s">
        <v>2144</v>
      </c>
      <c r="B91" s="15" t="s">
        <v>646</v>
      </c>
      <c r="C91" s="15" t="s">
        <v>646</v>
      </c>
      <c r="D91" s="15" t="s">
        <v>892</v>
      </c>
      <c r="E91" s="15" t="s">
        <v>609</v>
      </c>
      <c r="F91" s="15" t="s">
        <v>609</v>
      </c>
      <c r="G91" s="15" t="s">
        <v>900</v>
      </c>
      <c r="H91" s="15" t="s">
        <v>929</v>
      </c>
      <c r="I91" s="15" t="s">
        <v>929</v>
      </c>
      <c r="J91" s="17">
        <v>0.63300000000000001</v>
      </c>
      <c r="K91" s="15" t="str">
        <f t="shared" si="1"/>
        <v>Global Powerstore_Global Powerstore</v>
      </c>
      <c r="L91" s="15"/>
      <c r="M91" s="15" t="s">
        <v>972</v>
      </c>
      <c r="N91" s="15">
        <v>24</v>
      </c>
      <c r="O91" s="15" t="s">
        <v>897</v>
      </c>
      <c r="P91" s="19" t="s">
        <v>1886</v>
      </c>
    </row>
    <row r="92" spans="1:16" ht="13" hidden="1" outlineLevel="1" x14ac:dyDescent="0.3">
      <c r="A92" s="13" t="s">
        <v>2144</v>
      </c>
      <c r="B92" s="15" t="s">
        <v>1059</v>
      </c>
      <c r="C92" s="15" t="s">
        <v>1060</v>
      </c>
      <c r="D92" s="15" t="s">
        <v>914</v>
      </c>
      <c r="E92" s="15" t="s">
        <v>947</v>
      </c>
      <c r="F92" s="15" t="s">
        <v>960</v>
      </c>
      <c r="G92" s="15" t="s">
        <v>900</v>
      </c>
      <c r="H92" s="15" t="s">
        <v>929</v>
      </c>
      <c r="I92" s="15" t="s">
        <v>929</v>
      </c>
      <c r="J92" s="17">
        <v>0.63300000000000001</v>
      </c>
      <c r="K92" s="15" t="str">
        <f t="shared" si="1"/>
        <v>HE17_HES Global Operations</v>
      </c>
      <c r="L92" s="15"/>
      <c r="M92" s="15" t="s">
        <v>896</v>
      </c>
      <c r="N92" s="15">
        <v>14</v>
      </c>
      <c r="O92" s="15" t="s">
        <v>897</v>
      </c>
      <c r="P92" s="19" t="s">
        <v>1886</v>
      </c>
    </row>
    <row r="93" spans="1:16" ht="15" hidden="1" customHeight="1" outlineLevel="1" x14ac:dyDescent="0.3">
      <c r="A93" s="13" t="s">
        <v>2144</v>
      </c>
      <c r="B93" s="15" t="s">
        <v>822</v>
      </c>
      <c r="C93" s="15" t="s">
        <v>823</v>
      </c>
      <c r="D93" s="15" t="s">
        <v>892</v>
      </c>
      <c r="E93" s="15"/>
      <c r="F93" s="15"/>
      <c r="G93" s="15" t="s">
        <v>8</v>
      </c>
      <c r="H93" s="15"/>
      <c r="I93" s="15"/>
      <c r="J93" s="15"/>
      <c r="K93" s="15" t="str">
        <f t="shared" si="1"/>
        <v>HWPA_Honeywell Panama</v>
      </c>
      <c r="L93" s="15"/>
      <c r="M93" s="15" t="s">
        <v>896</v>
      </c>
      <c r="N93" s="15"/>
      <c r="O93" s="15" t="s">
        <v>897</v>
      </c>
      <c r="P93" s="19" t="s">
        <v>1886</v>
      </c>
    </row>
    <row r="94" spans="1:16" ht="15" hidden="1" customHeight="1" outlineLevel="1" x14ac:dyDescent="0.3">
      <c r="A94" s="13" t="s">
        <v>2144</v>
      </c>
      <c r="B94" s="15" t="s">
        <v>535</v>
      </c>
      <c r="C94" s="15" t="s">
        <v>536</v>
      </c>
      <c r="D94" s="15" t="s">
        <v>892</v>
      </c>
      <c r="E94" s="15" t="s">
        <v>439</v>
      </c>
      <c r="F94" s="15" t="s">
        <v>439</v>
      </c>
      <c r="G94" s="15" t="s">
        <v>8</v>
      </c>
      <c r="H94" s="15" t="s">
        <v>906</v>
      </c>
      <c r="I94" s="15" t="s">
        <v>906</v>
      </c>
      <c r="J94" s="17">
        <v>0.629</v>
      </c>
      <c r="K94" s="15" t="str">
        <f t="shared" si="1"/>
        <v>IN15_Server Core IND</v>
      </c>
      <c r="L94" s="15"/>
      <c r="M94" s="15" t="s">
        <v>896</v>
      </c>
      <c r="N94" s="15">
        <v>14</v>
      </c>
      <c r="O94" s="15" t="s">
        <v>897</v>
      </c>
      <c r="P94" s="19" t="s">
        <v>1886</v>
      </c>
    </row>
    <row r="95" spans="1:16" ht="15" hidden="1" customHeight="1" outlineLevel="1" x14ac:dyDescent="0.3">
      <c r="A95" s="13" t="s">
        <v>2144</v>
      </c>
      <c r="B95" s="15" t="s">
        <v>1065</v>
      </c>
      <c r="C95" s="15" t="s">
        <v>1066</v>
      </c>
      <c r="D95" s="15" t="s">
        <v>1843</v>
      </c>
      <c r="E95" s="15" t="s">
        <v>934</v>
      </c>
      <c r="F95" s="15" t="s">
        <v>1067</v>
      </c>
      <c r="G95" s="15" t="s">
        <v>900</v>
      </c>
      <c r="H95" s="15" t="s">
        <v>903</v>
      </c>
      <c r="I95" s="15" t="s">
        <v>906</v>
      </c>
      <c r="J95" s="17">
        <v>0.629</v>
      </c>
      <c r="K95" s="15" t="str">
        <f t="shared" si="1"/>
        <v>IN19_Wyse IND</v>
      </c>
      <c r="L95" s="15"/>
      <c r="M95" s="15" t="s">
        <v>896</v>
      </c>
      <c r="N95" s="15">
        <v>14</v>
      </c>
      <c r="O95" s="15" t="s">
        <v>897</v>
      </c>
      <c r="P95" s="19" t="s">
        <v>1886</v>
      </c>
    </row>
    <row r="96" spans="1:16" ht="15" hidden="1" customHeight="1" outlineLevel="1" x14ac:dyDescent="0.3">
      <c r="A96" s="13" t="s">
        <v>2144</v>
      </c>
      <c r="B96" s="15" t="s">
        <v>539</v>
      </c>
      <c r="C96" s="15" t="s">
        <v>540</v>
      </c>
      <c r="D96" s="15" t="s">
        <v>928</v>
      </c>
      <c r="E96" s="15" t="s">
        <v>439</v>
      </c>
      <c r="F96" s="15" t="s">
        <v>439</v>
      </c>
      <c r="G96" s="15" t="s">
        <v>8</v>
      </c>
      <c r="H96" s="15" t="s">
        <v>912</v>
      </c>
      <c r="I96" s="15" t="s">
        <v>1006</v>
      </c>
      <c r="J96" s="17">
        <v>0.61699999999999999</v>
      </c>
      <c r="K96" s="15" t="str">
        <f t="shared" si="1"/>
        <v>IT04_ITA Basic Enterprise (CAS)</v>
      </c>
      <c r="L96" s="15"/>
      <c r="M96" s="15" t="s">
        <v>1810</v>
      </c>
      <c r="N96" s="15">
        <v>4</v>
      </c>
      <c r="O96" s="15" t="s">
        <v>897</v>
      </c>
      <c r="P96" s="19" t="s">
        <v>1886</v>
      </c>
    </row>
    <row r="97" spans="1:16" ht="15" hidden="1" customHeight="1" outlineLevel="1" x14ac:dyDescent="0.3">
      <c r="A97" s="13" t="s">
        <v>2144</v>
      </c>
      <c r="B97" s="15" t="s">
        <v>541</v>
      </c>
      <c r="C97" s="15" t="s">
        <v>542</v>
      </c>
      <c r="D97" s="15" t="s">
        <v>928</v>
      </c>
      <c r="E97" s="15" t="s">
        <v>439</v>
      </c>
      <c r="F97" s="15" t="s">
        <v>439</v>
      </c>
      <c r="G97" s="15" t="s">
        <v>8</v>
      </c>
      <c r="H97" s="15" t="s">
        <v>912</v>
      </c>
      <c r="I97" s="15" t="s">
        <v>1006</v>
      </c>
      <c r="J97" s="17">
        <v>0.61699999999999999</v>
      </c>
      <c r="K97" s="15" t="str">
        <f t="shared" si="1"/>
        <v>IT08_ITA ProSupp Server (MTP)</v>
      </c>
      <c r="L97" s="15"/>
      <c r="M97" s="15" t="s">
        <v>1810</v>
      </c>
      <c r="N97" s="15">
        <v>4</v>
      </c>
      <c r="O97" s="15" t="s">
        <v>897</v>
      </c>
      <c r="P97" s="19" t="s">
        <v>1886</v>
      </c>
    </row>
    <row r="98" spans="1:16" ht="15" hidden="1" customHeight="1" outlineLevel="1" x14ac:dyDescent="0.3">
      <c r="A98" s="13" t="s">
        <v>2144</v>
      </c>
      <c r="B98" s="15" t="s">
        <v>830</v>
      </c>
      <c r="C98" s="15" t="s">
        <v>831</v>
      </c>
      <c r="D98" s="15" t="s">
        <v>892</v>
      </c>
      <c r="E98" s="15"/>
      <c r="F98" s="15"/>
      <c r="G98" s="15" t="s">
        <v>8</v>
      </c>
      <c r="H98" s="15"/>
      <c r="I98" s="15"/>
      <c r="J98" s="15"/>
      <c r="K98" s="15" t="str">
        <f t="shared" si="1"/>
        <v>IU56_APJ GNCS Hyperconverged Wipro</v>
      </c>
      <c r="L98" s="15"/>
      <c r="M98" s="15" t="s">
        <v>896</v>
      </c>
      <c r="N98" s="15"/>
      <c r="O98" s="15" t="s">
        <v>897</v>
      </c>
      <c r="P98" s="19" t="s">
        <v>1886</v>
      </c>
    </row>
    <row r="99" spans="1:16" ht="13" hidden="1" outlineLevel="1" x14ac:dyDescent="0.3">
      <c r="A99" s="13" t="s">
        <v>2144</v>
      </c>
      <c r="B99" s="15" t="s">
        <v>785</v>
      </c>
      <c r="C99" s="15" t="s">
        <v>786</v>
      </c>
      <c r="D99" s="15" t="s">
        <v>892</v>
      </c>
      <c r="E99" s="15"/>
      <c r="F99" s="20" t="s">
        <v>609</v>
      </c>
      <c r="G99" s="15" t="s">
        <v>8</v>
      </c>
      <c r="H99" s="15" t="s">
        <v>906</v>
      </c>
      <c r="I99" s="15" t="e">
        <v>#N/A</v>
      </c>
      <c r="J99" s="17">
        <v>0.629</v>
      </c>
      <c r="K99" s="15" t="str">
        <f t="shared" si="1"/>
        <v>IV01_IND VX Rail Storage</v>
      </c>
      <c r="L99" s="15"/>
      <c r="M99" s="15" t="s">
        <v>896</v>
      </c>
      <c r="N99" s="15"/>
      <c r="O99" s="15" t="s">
        <v>897</v>
      </c>
      <c r="P99" s="19" t="s">
        <v>1886</v>
      </c>
    </row>
    <row r="100" spans="1:16" ht="13" hidden="1" outlineLevel="1" x14ac:dyDescent="0.3">
      <c r="A100" s="13" t="s">
        <v>2144</v>
      </c>
      <c r="B100" s="15" t="s">
        <v>767</v>
      </c>
      <c r="C100" s="15" t="s">
        <v>768</v>
      </c>
      <c r="D100" s="15" t="s">
        <v>892</v>
      </c>
      <c r="E100" s="15"/>
      <c r="F100" s="15" t="s">
        <v>439</v>
      </c>
      <c r="G100" s="15" t="s">
        <v>8</v>
      </c>
      <c r="H100" s="15" t="s">
        <v>903</v>
      </c>
      <c r="I100" s="15" t="s">
        <v>918</v>
      </c>
      <c r="J100" s="17">
        <v>0.629</v>
      </c>
      <c r="K100" s="15" t="str">
        <f t="shared" si="1"/>
        <v>JP11_Enterprise Core/ProSupport MIY</v>
      </c>
      <c r="L100" s="15"/>
      <c r="M100" s="15" t="s">
        <v>896</v>
      </c>
      <c r="N100" s="15">
        <v>14</v>
      </c>
      <c r="O100" s="15" t="s">
        <v>897</v>
      </c>
      <c r="P100" s="19" t="s">
        <v>1886</v>
      </c>
    </row>
    <row r="101" spans="1:16" s="11" customFormat="1" ht="13" hidden="1" outlineLevel="1" x14ac:dyDescent="0.3">
      <c r="A101" s="13" t="s">
        <v>2144</v>
      </c>
      <c r="B101" s="15" t="s">
        <v>769</v>
      </c>
      <c r="C101" s="15" t="s">
        <v>770</v>
      </c>
      <c r="D101" s="15" t="s">
        <v>892</v>
      </c>
      <c r="E101" s="15"/>
      <c r="F101" s="15" t="s">
        <v>439</v>
      </c>
      <c r="G101" s="15" t="s">
        <v>8</v>
      </c>
      <c r="H101" s="15" t="s">
        <v>903</v>
      </c>
      <c r="I101" s="15" t="s">
        <v>918</v>
      </c>
      <c r="J101" s="17">
        <v>0.629</v>
      </c>
      <c r="K101" s="15" t="str">
        <f t="shared" si="1"/>
        <v>JP13_Japan Storage ProSupport KAW</v>
      </c>
      <c r="L101" s="15"/>
      <c r="M101" s="15" t="s">
        <v>896</v>
      </c>
      <c r="N101" s="15">
        <v>14</v>
      </c>
      <c r="O101" s="15" t="s">
        <v>897</v>
      </c>
      <c r="P101" s="19" t="s">
        <v>1886</v>
      </c>
    </row>
    <row r="102" spans="1:16" ht="13" hidden="1" outlineLevel="1" x14ac:dyDescent="0.3">
      <c r="A102" s="13" t="s">
        <v>2144</v>
      </c>
      <c r="B102" s="15" t="s">
        <v>763</v>
      </c>
      <c r="C102" s="15" t="s">
        <v>764</v>
      </c>
      <c r="D102" s="15" t="s">
        <v>892</v>
      </c>
      <c r="E102" s="15"/>
      <c r="F102" s="15" t="s">
        <v>266</v>
      </c>
      <c r="G102" s="15" t="s">
        <v>8</v>
      </c>
      <c r="H102" s="15" t="s">
        <v>903</v>
      </c>
      <c r="I102" s="15" t="s">
        <v>918</v>
      </c>
      <c r="J102" s="17">
        <v>0.629</v>
      </c>
      <c r="K102" s="15" t="str">
        <f t="shared" si="1"/>
        <v>JP19_Japan Enterprise SW-NWK</v>
      </c>
      <c r="L102" s="15"/>
      <c r="M102" s="15" t="s">
        <v>896</v>
      </c>
      <c r="N102" s="15">
        <v>14</v>
      </c>
      <c r="O102" s="15" t="s">
        <v>897</v>
      </c>
      <c r="P102" s="19" t="s">
        <v>1886</v>
      </c>
    </row>
    <row r="103" spans="1:16" ht="13" hidden="1" outlineLevel="1" x14ac:dyDescent="0.3">
      <c r="A103" s="13" t="s">
        <v>2144</v>
      </c>
      <c r="B103" s="15" t="s">
        <v>771</v>
      </c>
      <c r="C103" s="15" t="s">
        <v>772</v>
      </c>
      <c r="D103" s="15" t="s">
        <v>892</v>
      </c>
      <c r="E103" s="15"/>
      <c r="F103" s="15" t="s">
        <v>439</v>
      </c>
      <c r="G103" s="15" t="s">
        <v>8</v>
      </c>
      <c r="H103" s="15" t="s">
        <v>903</v>
      </c>
      <c r="I103" s="15" t="s">
        <v>918</v>
      </c>
      <c r="J103" s="17">
        <v>0.629</v>
      </c>
      <c r="K103" s="15" t="str">
        <f t="shared" si="1"/>
        <v>JP22_Enterprise Echannel Core/Pro MIY</v>
      </c>
      <c r="L103" s="15"/>
      <c r="M103" s="15" t="s">
        <v>896</v>
      </c>
      <c r="N103" s="15">
        <v>14</v>
      </c>
      <c r="O103" s="15" t="s">
        <v>897</v>
      </c>
      <c r="P103" s="19" t="s">
        <v>1886</v>
      </c>
    </row>
    <row r="104" spans="1:16" ht="15" hidden="1" customHeight="1" outlineLevel="1" x14ac:dyDescent="0.3">
      <c r="A104" s="13" t="s">
        <v>2144</v>
      </c>
      <c r="B104" s="15" t="s">
        <v>832</v>
      </c>
      <c r="C104" s="15" t="s">
        <v>833</v>
      </c>
      <c r="D104" s="15" t="s">
        <v>892</v>
      </c>
      <c r="E104" s="15"/>
      <c r="F104" s="15"/>
      <c r="G104" s="15" t="s">
        <v>8</v>
      </c>
      <c r="H104" s="15"/>
      <c r="I104" s="15"/>
      <c r="J104" s="15"/>
      <c r="K104" s="15" t="str">
        <f t="shared" si="1"/>
        <v>JP27_Enterprise Alt-channel JPN</v>
      </c>
      <c r="L104" s="15"/>
      <c r="M104" s="15" t="s">
        <v>896</v>
      </c>
      <c r="N104" s="15"/>
      <c r="O104" s="15" t="s">
        <v>897</v>
      </c>
      <c r="P104" s="19" t="s">
        <v>1886</v>
      </c>
    </row>
    <row r="105" spans="1:16" ht="15" hidden="1" customHeight="1" outlineLevel="1" x14ac:dyDescent="0.3">
      <c r="A105" s="13" t="s">
        <v>2144</v>
      </c>
      <c r="B105" s="15" t="s">
        <v>773</v>
      </c>
      <c r="C105" s="15" t="s">
        <v>774</v>
      </c>
      <c r="D105" s="15" t="s">
        <v>892</v>
      </c>
      <c r="E105" s="15"/>
      <c r="F105" s="15" t="s">
        <v>439</v>
      </c>
      <c r="G105" s="15" t="s">
        <v>8</v>
      </c>
      <c r="H105" s="15" t="s">
        <v>903</v>
      </c>
      <c r="I105" s="15" t="s">
        <v>1063</v>
      </c>
      <c r="J105" s="17">
        <v>0.629</v>
      </c>
      <c r="K105" s="15" t="str">
        <f t="shared" si="1"/>
        <v>KR06_Enterprise ProSupport KOR</v>
      </c>
      <c r="L105" s="15"/>
      <c r="M105" s="15" t="s">
        <v>896</v>
      </c>
      <c r="N105" s="15">
        <v>14</v>
      </c>
      <c r="O105" s="15" t="s">
        <v>897</v>
      </c>
      <c r="P105" s="19" t="s">
        <v>1886</v>
      </c>
    </row>
    <row r="106" spans="1:16" ht="15" hidden="1" customHeight="1" outlineLevel="1" x14ac:dyDescent="0.3">
      <c r="A106" s="13" t="s">
        <v>2144</v>
      </c>
      <c r="B106" s="15" t="s">
        <v>1079</v>
      </c>
      <c r="C106" s="15" t="s">
        <v>1080</v>
      </c>
      <c r="D106" s="15" t="s">
        <v>1843</v>
      </c>
      <c r="E106" s="15" t="s">
        <v>934</v>
      </c>
      <c r="F106" s="15" t="s">
        <v>934</v>
      </c>
      <c r="G106" s="15" t="s">
        <v>900</v>
      </c>
      <c r="H106" s="15" t="s">
        <v>929</v>
      </c>
      <c r="I106" s="15" t="s">
        <v>929</v>
      </c>
      <c r="J106" s="17">
        <v>0.63300000000000001</v>
      </c>
      <c r="K106" s="15" t="str">
        <f t="shared" si="1"/>
        <v>L2G4_ARS System Exchange</v>
      </c>
      <c r="L106" s="15"/>
      <c r="M106" s="15" t="s">
        <v>896</v>
      </c>
      <c r="N106" s="15">
        <v>14</v>
      </c>
      <c r="O106" s="15" t="s">
        <v>897</v>
      </c>
      <c r="P106" s="19" t="s">
        <v>1886</v>
      </c>
    </row>
    <row r="107" spans="1:16" ht="15" hidden="1" customHeight="1" outlineLevel="1" x14ac:dyDescent="0.3">
      <c r="A107" s="13" t="s">
        <v>2144</v>
      </c>
      <c r="B107" s="15" t="s">
        <v>728</v>
      </c>
      <c r="C107" s="15" t="s">
        <v>729</v>
      </c>
      <c r="D107" s="15" t="s">
        <v>1851</v>
      </c>
      <c r="E107" s="15"/>
      <c r="F107" s="15" t="s">
        <v>440</v>
      </c>
      <c r="G107" s="15" t="s">
        <v>8</v>
      </c>
      <c r="H107" s="15" t="s">
        <v>929</v>
      </c>
      <c r="I107" s="15" t="s">
        <v>929</v>
      </c>
      <c r="J107" s="17">
        <v>0.63300000000000001</v>
      </c>
      <c r="K107" s="15" t="str">
        <f t="shared" si="1"/>
        <v>LFT1_SSO Quality Lets Fix It</v>
      </c>
      <c r="L107" s="15"/>
      <c r="M107" s="15" t="s">
        <v>896</v>
      </c>
      <c r="N107" s="15">
        <v>14</v>
      </c>
      <c r="O107" s="15" t="s">
        <v>897</v>
      </c>
      <c r="P107" s="19" t="s">
        <v>1886</v>
      </c>
    </row>
    <row r="108" spans="1:16" ht="15" hidden="1" customHeight="1" outlineLevel="1" x14ac:dyDescent="0.3">
      <c r="A108" s="13" t="s">
        <v>2144</v>
      </c>
      <c r="B108" s="15" t="s">
        <v>291</v>
      </c>
      <c r="C108" s="15" t="s">
        <v>292</v>
      </c>
      <c r="D108" s="15" t="s">
        <v>914</v>
      </c>
      <c r="E108" s="15" t="s">
        <v>266</v>
      </c>
      <c r="F108" s="15" t="s">
        <v>266</v>
      </c>
      <c r="G108" s="15" t="s">
        <v>8</v>
      </c>
      <c r="H108" s="15" t="s">
        <v>903</v>
      </c>
      <c r="I108" s="15" t="s">
        <v>1064</v>
      </c>
      <c r="J108" s="17">
        <v>0.629</v>
      </c>
      <c r="K108" s="15" t="str">
        <f t="shared" si="1"/>
        <v>MY11_Networking Pro Core SA</v>
      </c>
      <c r="L108" s="15"/>
      <c r="M108" s="15" t="s">
        <v>917</v>
      </c>
      <c r="N108" s="15">
        <v>8</v>
      </c>
      <c r="O108" s="15" t="s">
        <v>897</v>
      </c>
      <c r="P108" s="19" t="s">
        <v>1886</v>
      </c>
    </row>
    <row r="109" spans="1:16" ht="15" hidden="1" customHeight="1" outlineLevel="1" x14ac:dyDescent="0.3">
      <c r="A109" s="13" t="s">
        <v>2144</v>
      </c>
      <c r="B109" s="15" t="s">
        <v>834</v>
      </c>
      <c r="C109" s="15" t="s">
        <v>835</v>
      </c>
      <c r="D109" s="15" t="s">
        <v>892</v>
      </c>
      <c r="E109" s="15"/>
      <c r="F109" s="15"/>
      <c r="G109" s="15" t="s">
        <v>8</v>
      </c>
      <c r="H109" s="15"/>
      <c r="I109" s="15"/>
      <c r="J109" s="15"/>
      <c r="K109" s="15" t="str">
        <f t="shared" si="1"/>
        <v>MY13_Enterprise ProSupport ANZ/SA</v>
      </c>
      <c r="L109" s="15"/>
      <c r="M109" s="15" t="s">
        <v>896</v>
      </c>
      <c r="N109" s="15"/>
      <c r="O109" s="15" t="s">
        <v>897</v>
      </c>
      <c r="P109" s="19" t="s">
        <v>1886</v>
      </c>
    </row>
    <row r="110" spans="1:16" ht="15" hidden="1" customHeight="1" outlineLevel="1" x14ac:dyDescent="0.3">
      <c r="A110" s="13" t="s">
        <v>2144</v>
      </c>
      <c r="B110" s="15" t="s">
        <v>555</v>
      </c>
      <c r="C110" s="15" t="s">
        <v>1924</v>
      </c>
      <c r="D110" s="15" t="s">
        <v>1843</v>
      </c>
      <c r="E110" s="15" t="s">
        <v>439</v>
      </c>
      <c r="F110" s="15" t="s">
        <v>439</v>
      </c>
      <c r="G110" s="15" t="s">
        <v>8</v>
      </c>
      <c r="H110" s="15" t="s">
        <v>912</v>
      </c>
      <c r="I110" s="15" t="s">
        <v>1086</v>
      </c>
      <c r="J110" s="17">
        <v>0.61699999999999999</v>
      </c>
      <c r="K110" s="15" t="str">
        <f t="shared" si="1"/>
        <v>ND03_Nordics Server Core (TUR)</v>
      </c>
      <c r="L110" s="15"/>
      <c r="M110" s="15" t="s">
        <v>896</v>
      </c>
      <c r="N110" s="15">
        <v>14</v>
      </c>
      <c r="O110" s="15" t="s">
        <v>897</v>
      </c>
      <c r="P110" s="19" t="s">
        <v>1886</v>
      </c>
    </row>
    <row r="111" spans="1:16" ht="15" hidden="1" customHeight="1" outlineLevel="1" x14ac:dyDescent="0.3">
      <c r="A111" s="13" t="s">
        <v>2144</v>
      </c>
      <c r="B111" s="15" t="s">
        <v>559</v>
      </c>
      <c r="C111" s="15" t="s">
        <v>560</v>
      </c>
      <c r="D111" s="15" t="s">
        <v>892</v>
      </c>
      <c r="E111" s="15" t="s">
        <v>439</v>
      </c>
      <c r="F111" s="15" t="s">
        <v>439</v>
      </c>
      <c r="G111" s="15" t="s">
        <v>8</v>
      </c>
      <c r="H111" s="15" t="s">
        <v>893</v>
      </c>
      <c r="I111" s="15" t="s">
        <v>894</v>
      </c>
      <c r="J111" s="17">
        <v>0.64800000000000002</v>
      </c>
      <c r="K111" s="15" t="str">
        <f t="shared" si="1"/>
        <v>NE04_Enterprise Triage Queue US</v>
      </c>
      <c r="L111" s="15"/>
      <c r="M111" s="15" t="s">
        <v>896</v>
      </c>
      <c r="N111" s="15">
        <v>8</v>
      </c>
      <c r="O111" s="15" t="s">
        <v>897</v>
      </c>
      <c r="P111" s="19" t="s">
        <v>1886</v>
      </c>
    </row>
    <row r="112" spans="1:16" ht="15" hidden="1" customHeight="1" outlineLevel="1" x14ac:dyDescent="0.3">
      <c r="A112" s="13" t="s">
        <v>2144</v>
      </c>
      <c r="B112" s="15" t="s">
        <v>656</v>
      </c>
      <c r="C112" s="15" t="s">
        <v>657</v>
      </c>
      <c r="D112" s="15" t="s">
        <v>973</v>
      </c>
      <c r="E112" s="15" t="s">
        <v>609</v>
      </c>
      <c r="F112" s="15" t="s">
        <v>609</v>
      </c>
      <c r="G112" s="15" t="s">
        <v>8</v>
      </c>
      <c r="H112" s="15" t="s">
        <v>893</v>
      </c>
      <c r="I112" s="15" t="s">
        <v>894</v>
      </c>
      <c r="J112" s="17">
        <v>0.64800000000000002</v>
      </c>
      <c r="K112" s="15" t="str">
        <f t="shared" si="1"/>
        <v>NE05_Storage PS MD US</v>
      </c>
      <c r="L112" s="15"/>
      <c r="M112" s="15" t="s">
        <v>972</v>
      </c>
      <c r="N112" s="15">
        <v>8</v>
      </c>
      <c r="O112" s="15" t="s">
        <v>897</v>
      </c>
      <c r="P112" s="19" t="s">
        <v>1886</v>
      </c>
    </row>
    <row r="113" spans="1:16" ht="15" hidden="1" customHeight="1" outlineLevel="1" x14ac:dyDescent="0.3">
      <c r="A113" s="13" t="s">
        <v>2144</v>
      </c>
      <c r="B113" s="15" t="s">
        <v>293</v>
      </c>
      <c r="C113" s="15" t="s">
        <v>294</v>
      </c>
      <c r="D113" s="15" t="s">
        <v>914</v>
      </c>
      <c r="E113" s="15" t="s">
        <v>266</v>
      </c>
      <c r="F113" s="15" t="s">
        <v>266</v>
      </c>
      <c r="G113" s="15" t="s">
        <v>8</v>
      </c>
      <c r="H113" s="15" t="s">
        <v>903</v>
      </c>
      <c r="I113" s="15" t="s">
        <v>906</v>
      </c>
      <c r="J113" s="17">
        <v>0.629</v>
      </c>
      <c r="K113" s="15" t="str">
        <f t="shared" si="1"/>
        <v>NE07_Networking Basic US</v>
      </c>
      <c r="L113" s="15"/>
      <c r="M113" s="15" t="s">
        <v>917</v>
      </c>
      <c r="N113" s="15">
        <v>12</v>
      </c>
      <c r="O113" s="15" t="s">
        <v>897</v>
      </c>
      <c r="P113" s="19" t="s">
        <v>1886</v>
      </c>
    </row>
    <row r="114" spans="1:16" s="15" customFormat="1" ht="15" hidden="1" customHeight="1" outlineLevel="1" x14ac:dyDescent="0.3">
      <c r="A114" s="13" t="s">
        <v>2144</v>
      </c>
      <c r="B114" s="15" t="s">
        <v>563</v>
      </c>
      <c r="C114" s="15" t="s">
        <v>564</v>
      </c>
      <c r="D114" s="15" t="s">
        <v>892</v>
      </c>
      <c r="E114" s="15" t="s">
        <v>439</v>
      </c>
      <c r="F114" s="15" t="s">
        <v>439</v>
      </c>
      <c r="G114" s="15" t="s">
        <v>8</v>
      </c>
      <c r="H114" s="15" t="s">
        <v>893</v>
      </c>
      <c r="I114" s="15" t="s">
        <v>894</v>
      </c>
      <c r="J114" s="17">
        <v>0.64800000000000002</v>
      </c>
      <c r="K114" s="15" t="str">
        <f t="shared" si="1"/>
        <v>NE08_NA Server Basic Chat (BNG)</v>
      </c>
      <c r="M114" s="15" t="s">
        <v>896</v>
      </c>
      <c r="N114" s="15">
        <v>8</v>
      </c>
      <c r="O114" s="15" t="s">
        <v>897</v>
      </c>
      <c r="P114" s="19" t="s">
        <v>1886</v>
      </c>
    </row>
    <row r="115" spans="1:16" ht="15" hidden="1" customHeight="1" outlineLevel="1" x14ac:dyDescent="0.3">
      <c r="A115" s="13" t="s">
        <v>2144</v>
      </c>
      <c r="B115" s="15" t="s">
        <v>565</v>
      </c>
      <c r="C115" s="15" t="s">
        <v>566</v>
      </c>
      <c r="D115" s="15" t="s">
        <v>1853</v>
      </c>
      <c r="E115" s="15" t="s">
        <v>439</v>
      </c>
      <c r="F115" s="15" t="s">
        <v>439</v>
      </c>
      <c r="G115" s="15" t="s">
        <v>8</v>
      </c>
      <c r="H115" s="15" t="s">
        <v>893</v>
      </c>
      <c r="I115" s="15" t="s">
        <v>894</v>
      </c>
      <c r="J115" s="17">
        <v>0.64800000000000002</v>
      </c>
      <c r="K115" s="15" t="str">
        <f t="shared" si="1"/>
        <v>NE09_NA Server Basic (BNG)</v>
      </c>
      <c r="L115" s="15"/>
      <c r="M115" s="15" t="s">
        <v>896</v>
      </c>
      <c r="N115" s="15">
        <v>8</v>
      </c>
      <c r="O115" s="15" t="s">
        <v>897</v>
      </c>
      <c r="P115" s="19" t="s">
        <v>1886</v>
      </c>
    </row>
    <row r="116" spans="1:16" ht="15" hidden="1" customHeight="1" outlineLevel="1" x14ac:dyDescent="0.3">
      <c r="A116" s="13" t="s">
        <v>2144</v>
      </c>
      <c r="B116" s="15" t="s">
        <v>567</v>
      </c>
      <c r="C116" s="15" t="s">
        <v>568</v>
      </c>
      <c r="D116" s="15" t="s">
        <v>892</v>
      </c>
      <c r="E116" s="15" t="s">
        <v>439</v>
      </c>
      <c r="F116" s="15" t="s">
        <v>439</v>
      </c>
      <c r="G116" s="15" t="s">
        <v>8</v>
      </c>
      <c r="H116" s="15" t="s">
        <v>893</v>
      </c>
      <c r="I116" s="15" t="s">
        <v>894</v>
      </c>
      <c r="J116" s="17">
        <v>0.64800000000000002</v>
      </c>
      <c r="K116" s="15" t="str">
        <f t="shared" si="1"/>
        <v>NE13_PowerEdge Alternate Channel US</v>
      </c>
      <c r="L116" s="15"/>
      <c r="M116" s="15" t="s">
        <v>917</v>
      </c>
      <c r="N116" s="15">
        <v>8</v>
      </c>
      <c r="O116" s="15" t="s">
        <v>897</v>
      </c>
      <c r="P116" s="19" t="s">
        <v>1886</v>
      </c>
    </row>
    <row r="117" spans="1:16" ht="15" hidden="1" customHeight="1" outlineLevel="1" x14ac:dyDescent="0.3">
      <c r="A117" s="13" t="s">
        <v>2144</v>
      </c>
      <c r="B117" s="15" t="s">
        <v>658</v>
      </c>
      <c r="C117" s="15" t="s">
        <v>659</v>
      </c>
      <c r="D117" s="15" t="s">
        <v>973</v>
      </c>
      <c r="E117" s="15" t="s">
        <v>609</v>
      </c>
      <c r="F117" s="15" t="s">
        <v>609</v>
      </c>
      <c r="G117" s="15" t="s">
        <v>8</v>
      </c>
      <c r="H117" s="15" t="s">
        <v>893</v>
      </c>
      <c r="I117" s="15" t="s">
        <v>894</v>
      </c>
      <c r="J117" s="17">
        <v>0.64800000000000002</v>
      </c>
      <c r="K117" s="15" t="str">
        <f t="shared" si="1"/>
        <v>NE14_Compellent Copilot US</v>
      </c>
      <c r="L117" s="15"/>
      <c r="M117" s="15" t="s">
        <v>972</v>
      </c>
      <c r="N117" s="15">
        <v>8</v>
      </c>
      <c r="O117" s="15" t="s">
        <v>897</v>
      </c>
      <c r="P117" s="19" t="s">
        <v>1886</v>
      </c>
    </row>
    <row r="118" spans="1:16" ht="15" hidden="1" customHeight="1" outlineLevel="1" x14ac:dyDescent="0.3">
      <c r="A118" s="13" t="s">
        <v>2144</v>
      </c>
      <c r="B118" s="15" t="s">
        <v>295</v>
      </c>
      <c r="C118" s="15" t="s">
        <v>296</v>
      </c>
      <c r="D118" s="15" t="s">
        <v>928</v>
      </c>
      <c r="E118" s="15" t="s">
        <v>266</v>
      </c>
      <c r="F118" s="15" t="s">
        <v>266</v>
      </c>
      <c r="G118" s="15" t="s">
        <v>8</v>
      </c>
      <c r="H118" s="15" t="s">
        <v>893</v>
      </c>
      <c r="I118" s="15" t="s">
        <v>894</v>
      </c>
      <c r="J118" s="17">
        <v>0.64800000000000002</v>
      </c>
      <c r="K118" s="15" t="str">
        <f t="shared" si="1"/>
        <v>NE20_Networking ProSupport US</v>
      </c>
      <c r="L118" s="15"/>
      <c r="M118" s="15" t="s">
        <v>1810</v>
      </c>
      <c r="N118" s="15">
        <v>8</v>
      </c>
      <c r="O118" s="15" t="s">
        <v>897</v>
      </c>
      <c r="P118" s="19" t="s">
        <v>1886</v>
      </c>
    </row>
    <row r="119" spans="1:16" ht="13" hidden="1" outlineLevel="1" x14ac:dyDescent="0.3">
      <c r="A119" s="13" t="s">
        <v>2144</v>
      </c>
      <c r="B119" s="15" t="s">
        <v>569</v>
      </c>
      <c r="C119" s="15" t="s">
        <v>570</v>
      </c>
      <c r="D119" s="15" t="s">
        <v>892</v>
      </c>
      <c r="E119" s="15" t="s">
        <v>439</v>
      </c>
      <c r="F119" s="15" t="s">
        <v>439</v>
      </c>
      <c r="G119" s="15" t="s">
        <v>8</v>
      </c>
      <c r="H119" s="15" t="s">
        <v>893</v>
      </c>
      <c r="I119" s="15" t="s">
        <v>894</v>
      </c>
      <c r="J119" s="17">
        <v>0.64800000000000002</v>
      </c>
      <c r="K119" s="15" t="str">
        <f t="shared" si="1"/>
        <v>NE25_Server ProSupport Chat US</v>
      </c>
      <c r="L119" s="15"/>
      <c r="M119" s="15" t="s">
        <v>930</v>
      </c>
      <c r="N119" s="15">
        <v>10</v>
      </c>
      <c r="O119" s="15" t="s">
        <v>897</v>
      </c>
      <c r="P119" s="19" t="s">
        <v>1886</v>
      </c>
    </row>
    <row r="120" spans="1:16" ht="15" hidden="1" customHeight="1" outlineLevel="1" x14ac:dyDescent="0.3">
      <c r="A120" s="13" t="s">
        <v>2144</v>
      </c>
      <c r="B120" s="15" t="s">
        <v>660</v>
      </c>
      <c r="C120" s="15" t="s">
        <v>661</v>
      </c>
      <c r="D120" s="15" t="s">
        <v>973</v>
      </c>
      <c r="E120" s="15" t="s">
        <v>609</v>
      </c>
      <c r="F120" s="15" t="s">
        <v>609</v>
      </c>
      <c r="G120" s="15" t="s">
        <v>8</v>
      </c>
      <c r="H120" s="15" t="s">
        <v>893</v>
      </c>
      <c r="I120" s="15" t="s">
        <v>894</v>
      </c>
      <c r="J120" s="17">
        <v>0.64800000000000002</v>
      </c>
      <c r="K120" s="15" t="str">
        <f t="shared" si="1"/>
        <v>NE27_NA ProSupp Storage eSupport</v>
      </c>
      <c r="L120" s="15"/>
      <c r="M120" s="15" t="s">
        <v>972</v>
      </c>
      <c r="N120" s="15">
        <v>8</v>
      </c>
      <c r="O120" s="15" t="s">
        <v>897</v>
      </c>
      <c r="P120" s="19" t="s">
        <v>1886</v>
      </c>
    </row>
    <row r="121" spans="1:16" ht="15" hidden="1" customHeight="1" outlineLevel="1" x14ac:dyDescent="0.3">
      <c r="A121" s="13" t="s">
        <v>2144</v>
      </c>
      <c r="B121" s="15" t="s">
        <v>573</v>
      </c>
      <c r="C121" s="15" t="s">
        <v>574</v>
      </c>
      <c r="D121" s="15" t="s">
        <v>892</v>
      </c>
      <c r="E121" s="15" t="s">
        <v>439</v>
      </c>
      <c r="F121" s="15" t="s">
        <v>439</v>
      </c>
      <c r="G121" s="15" t="s">
        <v>8</v>
      </c>
      <c r="H121" s="15" t="s">
        <v>893</v>
      </c>
      <c r="I121" s="15" t="s">
        <v>894</v>
      </c>
      <c r="J121" s="17">
        <v>0.64800000000000002</v>
      </c>
      <c r="K121" s="15" t="str">
        <f t="shared" si="1"/>
        <v>NE33_Modular US</v>
      </c>
      <c r="L121" s="15"/>
      <c r="M121" s="15" t="s">
        <v>930</v>
      </c>
      <c r="N121" s="15">
        <v>8</v>
      </c>
      <c r="O121" s="15" t="s">
        <v>897</v>
      </c>
      <c r="P121" s="19" t="s">
        <v>1886</v>
      </c>
    </row>
    <row r="122" spans="1:16" ht="15" hidden="1" customHeight="1" outlineLevel="1" x14ac:dyDescent="0.3">
      <c r="A122" s="13" t="s">
        <v>2144</v>
      </c>
      <c r="B122" s="15" t="s">
        <v>575</v>
      </c>
      <c r="C122" s="15" t="s">
        <v>576</v>
      </c>
      <c r="D122" s="15" t="s">
        <v>892</v>
      </c>
      <c r="E122" s="15" t="s">
        <v>439</v>
      </c>
      <c r="F122" s="15" t="s">
        <v>439</v>
      </c>
      <c r="G122" s="15" t="s">
        <v>8</v>
      </c>
      <c r="H122" s="15" t="s">
        <v>893</v>
      </c>
      <c r="I122" s="15" t="s">
        <v>894</v>
      </c>
      <c r="J122" s="17">
        <v>0.64800000000000002</v>
      </c>
      <c r="K122" s="15" t="str">
        <f t="shared" si="1"/>
        <v>NE35_RT Linux / Virtualization US</v>
      </c>
      <c r="L122" s="15"/>
      <c r="M122" s="15" t="s">
        <v>930</v>
      </c>
      <c r="N122" s="15">
        <v>8</v>
      </c>
      <c r="O122" s="15" t="s">
        <v>897</v>
      </c>
      <c r="P122" s="19" t="s">
        <v>1886</v>
      </c>
    </row>
    <row r="123" spans="1:16" ht="15" hidden="1" customHeight="1" outlineLevel="1" x14ac:dyDescent="0.3">
      <c r="A123" s="13" t="s">
        <v>2144</v>
      </c>
      <c r="B123" s="15" t="s">
        <v>577</v>
      </c>
      <c r="C123" s="15" t="s">
        <v>578</v>
      </c>
      <c r="D123" s="15" t="s">
        <v>928</v>
      </c>
      <c r="E123" s="15" t="s">
        <v>439</v>
      </c>
      <c r="F123" s="15" t="s">
        <v>439</v>
      </c>
      <c r="G123" s="15" t="s">
        <v>8</v>
      </c>
      <c r="H123" s="15" t="s">
        <v>893</v>
      </c>
      <c r="I123" s="15" t="s">
        <v>894</v>
      </c>
      <c r="J123" s="17">
        <v>0.64800000000000002</v>
      </c>
      <c r="K123" s="15" t="str">
        <f t="shared" si="1"/>
        <v>NE36_RT Microsoft US</v>
      </c>
      <c r="L123" s="15"/>
      <c r="M123" s="15" t="s">
        <v>1810</v>
      </c>
      <c r="N123" s="15">
        <v>8</v>
      </c>
      <c r="O123" s="15" t="s">
        <v>897</v>
      </c>
      <c r="P123" s="19" t="s">
        <v>1886</v>
      </c>
    </row>
    <row r="124" spans="1:16" ht="15" hidden="1" customHeight="1" outlineLevel="1" x14ac:dyDescent="0.3">
      <c r="A124" s="13" t="s">
        <v>2144</v>
      </c>
      <c r="B124" s="15" t="s">
        <v>1096</v>
      </c>
      <c r="C124" s="15" t="s">
        <v>1097</v>
      </c>
      <c r="D124" s="15" t="s">
        <v>892</v>
      </c>
      <c r="E124" s="15"/>
      <c r="F124" s="15" t="s">
        <v>440</v>
      </c>
      <c r="G124" s="15" t="s">
        <v>900</v>
      </c>
      <c r="H124" s="15" t="s">
        <v>929</v>
      </c>
      <c r="I124" s="15" t="s">
        <v>929</v>
      </c>
      <c r="J124" s="17">
        <v>0.63300000000000001</v>
      </c>
      <c r="K124" s="15" t="str">
        <f t="shared" si="1"/>
        <v>NF03_APJ NR-FLS</v>
      </c>
      <c r="L124" s="15"/>
      <c r="M124" s="15" t="s">
        <v>896</v>
      </c>
      <c r="N124" s="15">
        <v>14</v>
      </c>
      <c r="O124" s="15" t="s">
        <v>897</v>
      </c>
      <c r="P124" s="19" t="s">
        <v>1886</v>
      </c>
    </row>
    <row r="125" spans="1:16" ht="15" hidden="1" customHeight="1" outlineLevel="1" x14ac:dyDescent="0.3">
      <c r="A125" s="13" t="s">
        <v>2144</v>
      </c>
      <c r="B125" s="15" t="s">
        <v>583</v>
      </c>
      <c r="C125" s="15" t="s">
        <v>584</v>
      </c>
      <c r="D125" s="15" t="s">
        <v>892</v>
      </c>
      <c r="E125" s="15" t="s">
        <v>439</v>
      </c>
      <c r="F125" s="15" t="s">
        <v>439</v>
      </c>
      <c r="G125" s="15" t="s">
        <v>8</v>
      </c>
      <c r="H125" s="15" t="s">
        <v>912</v>
      </c>
      <c r="I125" s="15" t="s">
        <v>1006</v>
      </c>
      <c r="J125" s="17">
        <v>0.61699999999999999</v>
      </c>
      <c r="K125" s="15" t="str">
        <f t="shared" si="1"/>
        <v>PG01_POR ProSupp Server (MTP)</v>
      </c>
      <c r="L125" s="15"/>
      <c r="M125" s="15" t="s">
        <v>930</v>
      </c>
      <c r="N125" s="15">
        <v>4</v>
      </c>
      <c r="O125" s="15" t="s">
        <v>897</v>
      </c>
      <c r="P125" s="19" t="s">
        <v>1886</v>
      </c>
    </row>
    <row r="126" spans="1:16" ht="15" hidden="1" customHeight="1" outlineLevel="1" x14ac:dyDescent="0.3">
      <c r="A126" s="13" t="s">
        <v>2144</v>
      </c>
      <c r="B126" s="15" t="s">
        <v>40</v>
      </c>
      <c r="C126" s="15" t="s">
        <v>41</v>
      </c>
      <c r="D126" s="15" t="s">
        <v>892</v>
      </c>
      <c r="E126" s="15" t="s">
        <v>13</v>
      </c>
      <c r="F126" s="15" t="s">
        <v>13</v>
      </c>
      <c r="G126" s="15" t="s">
        <v>8</v>
      </c>
      <c r="H126" s="15" t="s">
        <v>935</v>
      </c>
      <c r="I126" s="15" t="s">
        <v>936</v>
      </c>
      <c r="J126" s="17">
        <v>0.57099999999999995</v>
      </c>
      <c r="K126" s="15" t="str">
        <f t="shared" si="1"/>
        <v>PS03_Brazil ESG CTE</v>
      </c>
      <c r="L126" s="15"/>
      <c r="M126" s="15" t="s">
        <v>937</v>
      </c>
      <c r="N126" s="15">
        <v>10</v>
      </c>
      <c r="O126" s="15" t="s">
        <v>897</v>
      </c>
      <c r="P126" s="19" t="s">
        <v>1886</v>
      </c>
    </row>
    <row r="127" spans="1:16" ht="15" hidden="1" customHeight="1" outlineLevel="1" x14ac:dyDescent="0.3">
      <c r="A127" s="13" t="s">
        <v>2144</v>
      </c>
      <c r="B127" s="15" t="s">
        <v>662</v>
      </c>
      <c r="C127" s="15" t="s">
        <v>663</v>
      </c>
      <c r="D127" s="15" t="s">
        <v>892</v>
      </c>
      <c r="E127" s="15" t="s">
        <v>609</v>
      </c>
      <c r="F127" s="15" t="s">
        <v>609</v>
      </c>
      <c r="G127" s="15" t="s">
        <v>8</v>
      </c>
      <c r="H127" s="15" t="s">
        <v>893</v>
      </c>
      <c r="I127" s="15" t="s">
        <v>894</v>
      </c>
      <c r="J127" s="17">
        <v>0.64800000000000002</v>
      </c>
      <c r="K127" s="15" t="str">
        <f t="shared" si="1"/>
        <v>PS10_Powerstore US</v>
      </c>
      <c r="L127" s="15"/>
      <c r="M127" s="15" t="s">
        <v>896</v>
      </c>
      <c r="N127" s="15">
        <v>8</v>
      </c>
      <c r="O127" s="15" t="s">
        <v>897</v>
      </c>
      <c r="P127" s="19" t="s">
        <v>1886</v>
      </c>
    </row>
    <row r="128" spans="1:16" ht="15" hidden="1" customHeight="1" outlineLevel="1" x14ac:dyDescent="0.3">
      <c r="A128" s="13" t="s">
        <v>2144</v>
      </c>
      <c r="B128" s="15" t="s">
        <v>842</v>
      </c>
      <c r="C128" s="15" t="s">
        <v>843</v>
      </c>
      <c r="D128" s="15" t="s">
        <v>892</v>
      </c>
      <c r="E128" s="15"/>
      <c r="F128" s="15"/>
      <c r="G128" s="15" t="s">
        <v>8</v>
      </c>
      <c r="H128" s="15"/>
      <c r="I128" s="15"/>
      <c r="J128" s="15"/>
      <c r="K128" s="15" t="str">
        <f t="shared" si="1"/>
        <v>RL02_CPS Chat ROLA</v>
      </c>
      <c r="L128" s="15"/>
      <c r="M128" s="15" t="s">
        <v>896</v>
      </c>
      <c r="N128" s="15"/>
      <c r="O128" s="15" t="s">
        <v>897</v>
      </c>
      <c r="P128" s="19" t="s">
        <v>1886</v>
      </c>
    </row>
    <row r="129" spans="1:16" ht="15" hidden="1" customHeight="1" outlineLevel="1" x14ac:dyDescent="0.3">
      <c r="A129" s="13" t="s">
        <v>2144</v>
      </c>
      <c r="B129" s="15" t="s">
        <v>664</v>
      </c>
      <c r="C129" s="15" t="s">
        <v>665</v>
      </c>
      <c r="D129" s="15" t="s">
        <v>973</v>
      </c>
      <c r="E129" s="15" t="s">
        <v>609</v>
      </c>
      <c r="F129" s="15" t="s">
        <v>609</v>
      </c>
      <c r="G129" s="15" t="s">
        <v>8</v>
      </c>
      <c r="H129" s="15" t="s">
        <v>935</v>
      </c>
      <c r="I129" s="15" t="s">
        <v>1076</v>
      </c>
      <c r="J129" s="17">
        <v>0.626</v>
      </c>
      <c r="K129" s="15" t="str">
        <f t="shared" si="1"/>
        <v>RL05_Storage ROLA</v>
      </c>
      <c r="L129" s="15"/>
      <c r="M129" s="15" t="s">
        <v>1885</v>
      </c>
      <c r="N129" s="15">
        <v>8</v>
      </c>
      <c r="O129" s="15" t="s">
        <v>897</v>
      </c>
      <c r="P129" s="19" t="s">
        <v>1886</v>
      </c>
    </row>
    <row r="130" spans="1:16" ht="13" hidden="1" outlineLevel="1" x14ac:dyDescent="0.3">
      <c r="A130" s="13" t="s">
        <v>2144</v>
      </c>
      <c r="B130" s="15" t="s">
        <v>775</v>
      </c>
      <c r="C130" s="15" t="s">
        <v>776</v>
      </c>
      <c r="D130" s="15" t="s">
        <v>892</v>
      </c>
      <c r="E130" s="15"/>
      <c r="F130" s="15" t="s">
        <v>439</v>
      </c>
      <c r="G130" s="15" t="s">
        <v>8</v>
      </c>
      <c r="H130" s="15" t="s">
        <v>935</v>
      </c>
      <c r="I130" s="15" t="s">
        <v>1076</v>
      </c>
      <c r="J130" s="17">
        <v>0.626</v>
      </c>
      <c r="K130" s="15" t="str">
        <f t="shared" ref="K130:K193" si="2">B130&amp;"_"&amp;C130</f>
        <v>RL09_Server ProSupport ROLA</v>
      </c>
      <c r="L130" s="15"/>
      <c r="M130" s="15" t="s">
        <v>896</v>
      </c>
      <c r="N130" s="15"/>
      <c r="O130" s="15" t="s">
        <v>897</v>
      </c>
      <c r="P130" s="19" t="s">
        <v>1886</v>
      </c>
    </row>
    <row r="131" spans="1:16" ht="13" hidden="1" outlineLevel="1" x14ac:dyDescent="0.3">
      <c r="A131" s="13" t="s">
        <v>2144</v>
      </c>
      <c r="B131" s="15" t="s">
        <v>844</v>
      </c>
      <c r="C131" s="15" t="s">
        <v>845</v>
      </c>
      <c r="D131" s="15" t="s">
        <v>892</v>
      </c>
      <c r="E131" s="15"/>
      <c r="F131" s="15"/>
      <c r="G131" s="15" t="s">
        <v>8</v>
      </c>
      <c r="H131" s="15"/>
      <c r="I131" s="15"/>
      <c r="J131" s="15"/>
      <c r="K131" s="15" t="str">
        <f t="shared" si="2"/>
        <v>RL11_Proactive Systems Maintenance ROLA</v>
      </c>
      <c r="L131" s="15"/>
      <c r="M131" s="15" t="s">
        <v>896</v>
      </c>
      <c r="N131" s="15"/>
      <c r="O131" s="15" t="s">
        <v>897</v>
      </c>
      <c r="P131" s="19" t="s">
        <v>1886</v>
      </c>
    </row>
    <row r="132" spans="1:16" ht="15" hidden="1" customHeight="1" outlineLevel="1" x14ac:dyDescent="0.3">
      <c r="A132" s="13" t="s">
        <v>2144</v>
      </c>
      <c r="B132" s="15" t="s">
        <v>589</v>
      </c>
      <c r="C132" s="15" t="s">
        <v>590</v>
      </c>
      <c r="D132" s="15" t="s">
        <v>892</v>
      </c>
      <c r="E132" s="15" t="s">
        <v>439</v>
      </c>
      <c r="F132" s="15" t="s">
        <v>439</v>
      </c>
      <c r="G132" s="15" t="s">
        <v>8</v>
      </c>
      <c r="H132" s="15" t="s">
        <v>935</v>
      </c>
      <c r="I132" s="15" t="s">
        <v>1076</v>
      </c>
      <c r="J132" s="17">
        <v>0.626</v>
      </c>
      <c r="K132" s="15" t="str">
        <f t="shared" si="2"/>
        <v>RL18_MMCLA LC Server Voice (PAN)</v>
      </c>
      <c r="L132" s="15"/>
      <c r="M132" s="15" t="s">
        <v>896</v>
      </c>
      <c r="N132" s="15">
        <v>12</v>
      </c>
      <c r="O132" s="15" t="s">
        <v>897</v>
      </c>
      <c r="P132" s="19" t="s">
        <v>1886</v>
      </c>
    </row>
    <row r="133" spans="1:16" ht="15" hidden="1" customHeight="1" outlineLevel="1" x14ac:dyDescent="0.3">
      <c r="A133" s="13" t="s">
        <v>2144</v>
      </c>
      <c r="B133" s="15" t="s">
        <v>591</v>
      </c>
      <c r="C133" s="15" t="s">
        <v>592</v>
      </c>
      <c r="D133" s="15" t="s">
        <v>892</v>
      </c>
      <c r="E133" s="15" t="s">
        <v>439</v>
      </c>
      <c r="F133" s="15" t="s">
        <v>439</v>
      </c>
      <c r="G133" s="15" t="s">
        <v>8</v>
      </c>
      <c r="H133" s="15" t="s">
        <v>935</v>
      </c>
      <c r="I133" s="15" t="s">
        <v>1076</v>
      </c>
      <c r="J133" s="17">
        <v>0.626</v>
      </c>
      <c r="K133" s="15" t="str">
        <f t="shared" si="2"/>
        <v>RL19_MMCLA HC Server Voice (PAN)</v>
      </c>
      <c r="L133" s="15"/>
      <c r="M133" s="15" t="s">
        <v>896</v>
      </c>
      <c r="N133" s="15">
        <v>12</v>
      </c>
      <c r="O133" s="15" t="s">
        <v>897</v>
      </c>
      <c r="P133" s="19" t="s">
        <v>1886</v>
      </c>
    </row>
    <row r="134" spans="1:16" ht="13" hidden="1" outlineLevel="1" x14ac:dyDescent="0.3">
      <c r="A134" s="13" t="s">
        <v>2144</v>
      </c>
      <c r="B134" s="15" t="s">
        <v>666</v>
      </c>
      <c r="C134" s="15" t="s">
        <v>667</v>
      </c>
      <c r="D134" s="15" t="s">
        <v>892</v>
      </c>
      <c r="E134" s="15" t="s">
        <v>609</v>
      </c>
      <c r="F134" s="15" t="s">
        <v>609</v>
      </c>
      <c r="G134" s="15" t="s">
        <v>8</v>
      </c>
      <c r="H134" s="15" t="s">
        <v>935</v>
      </c>
      <c r="I134" s="15" t="s">
        <v>1076</v>
      </c>
      <c r="J134" s="17">
        <v>0.626</v>
      </c>
      <c r="K134" s="15" t="str">
        <f t="shared" si="2"/>
        <v>RPS1_MMCLA Powerstore</v>
      </c>
      <c r="L134" s="15"/>
      <c r="M134" s="15" t="s">
        <v>937</v>
      </c>
      <c r="N134" s="15">
        <v>8</v>
      </c>
      <c r="O134" s="15" t="s">
        <v>897</v>
      </c>
      <c r="P134" s="19" t="s">
        <v>1886</v>
      </c>
    </row>
    <row r="135" spans="1:16" ht="13" hidden="1" outlineLevel="1" x14ac:dyDescent="0.3">
      <c r="A135" s="13" t="s">
        <v>2144</v>
      </c>
      <c r="B135" s="15" t="s">
        <v>736</v>
      </c>
      <c r="C135" s="15" t="s">
        <v>737</v>
      </c>
      <c r="D135" s="15" t="s">
        <v>892</v>
      </c>
      <c r="E135" s="15"/>
      <c r="F135" s="15" t="s">
        <v>440</v>
      </c>
      <c r="G135" s="15" t="s">
        <v>8</v>
      </c>
      <c r="H135" s="15" t="s">
        <v>935</v>
      </c>
      <c r="I135" s="15" t="s">
        <v>1076</v>
      </c>
      <c r="J135" s="17">
        <v>0.626</v>
      </c>
      <c r="K135" s="15" t="str">
        <f t="shared" si="2"/>
        <v>RR02_ROLA Senior and Master Engineer</v>
      </c>
      <c r="L135" s="15"/>
      <c r="M135" s="15" t="s">
        <v>896</v>
      </c>
      <c r="N135" s="15"/>
      <c r="O135" s="15" t="s">
        <v>897</v>
      </c>
      <c r="P135" s="19" t="s">
        <v>1886</v>
      </c>
    </row>
    <row r="136" spans="1:16" ht="13" hidden="1" outlineLevel="1" x14ac:dyDescent="0.3">
      <c r="A136" s="13" t="s">
        <v>2144</v>
      </c>
      <c r="B136" s="15" t="s">
        <v>11</v>
      </c>
      <c r="C136" s="15" t="s">
        <v>12</v>
      </c>
      <c r="D136" s="15" t="s">
        <v>1843</v>
      </c>
      <c r="E136" s="15" t="s">
        <v>5</v>
      </c>
      <c r="F136" s="15" t="s">
        <v>5</v>
      </c>
      <c r="G136" s="15" t="s">
        <v>8</v>
      </c>
      <c r="H136" s="15" t="s">
        <v>935</v>
      </c>
      <c r="I136" s="15" t="s">
        <v>936</v>
      </c>
      <c r="J136" s="17">
        <v>0.57099999999999995</v>
      </c>
      <c r="K136" s="15" t="str">
        <f t="shared" si="2"/>
        <v>RR03_Support Ops ROLA</v>
      </c>
      <c r="L136" s="15"/>
      <c r="M136" s="15" t="s">
        <v>896</v>
      </c>
      <c r="N136" s="15">
        <v>14</v>
      </c>
      <c r="O136" s="15" t="s">
        <v>897</v>
      </c>
      <c r="P136" s="19" t="s">
        <v>1886</v>
      </c>
    </row>
    <row r="137" spans="1:16" ht="15" hidden="1" customHeight="1" outlineLevel="1" x14ac:dyDescent="0.3">
      <c r="A137" s="13" t="s">
        <v>2144</v>
      </c>
      <c r="B137" s="15" t="s">
        <v>777</v>
      </c>
      <c r="C137" s="15" t="s">
        <v>778</v>
      </c>
      <c r="D137" s="15" t="s">
        <v>892</v>
      </c>
      <c r="E137" s="15"/>
      <c r="F137" s="15" t="s">
        <v>439</v>
      </c>
      <c r="G137" s="15" t="s">
        <v>8</v>
      </c>
      <c r="H137" s="15" t="s">
        <v>903</v>
      </c>
      <c r="I137" s="15" t="s">
        <v>1083</v>
      </c>
      <c r="J137" s="17">
        <v>0.629</v>
      </c>
      <c r="K137" s="15" t="str">
        <f t="shared" si="2"/>
        <v>SE02_Enterprise SA Email</v>
      </c>
      <c r="L137" s="15"/>
      <c r="M137" s="15" t="s">
        <v>896</v>
      </c>
      <c r="N137" s="15"/>
      <c r="O137" s="15" t="s">
        <v>897</v>
      </c>
      <c r="P137" s="19" t="s">
        <v>1886</v>
      </c>
    </row>
    <row r="138" spans="1:16" ht="15" hidden="1" customHeight="1" outlineLevel="1" x14ac:dyDescent="0.3">
      <c r="A138" s="13" t="s">
        <v>2144</v>
      </c>
      <c r="B138" s="15" t="s">
        <v>597</v>
      </c>
      <c r="C138" s="15" t="s">
        <v>598</v>
      </c>
      <c r="D138" s="15" t="s">
        <v>892</v>
      </c>
      <c r="E138" s="15" t="s">
        <v>439</v>
      </c>
      <c r="F138" s="15" t="s">
        <v>439</v>
      </c>
      <c r="G138" s="15" t="s">
        <v>8</v>
      </c>
      <c r="H138" s="15" t="s">
        <v>912</v>
      </c>
      <c r="I138" s="15" t="s">
        <v>1006</v>
      </c>
      <c r="J138" s="17">
        <v>0.61699999999999999</v>
      </c>
      <c r="K138" s="15" t="str">
        <f t="shared" si="2"/>
        <v>SP04_SPA Basic Enterprise (CAS)</v>
      </c>
      <c r="L138" s="15"/>
      <c r="M138" s="15" t="s">
        <v>930</v>
      </c>
      <c r="N138" s="15">
        <v>4</v>
      </c>
      <c r="O138" s="15" t="s">
        <v>897</v>
      </c>
      <c r="P138" s="19" t="s">
        <v>1886</v>
      </c>
    </row>
    <row r="139" spans="1:16" ht="15" hidden="1" customHeight="1" outlineLevel="1" x14ac:dyDescent="0.3">
      <c r="A139" s="13" t="s">
        <v>2144</v>
      </c>
      <c r="B139" s="15" t="s">
        <v>599</v>
      </c>
      <c r="C139" s="15" t="s">
        <v>600</v>
      </c>
      <c r="D139" s="15" t="s">
        <v>892</v>
      </c>
      <c r="E139" s="15" t="s">
        <v>439</v>
      </c>
      <c r="F139" s="15" t="s">
        <v>439</v>
      </c>
      <c r="G139" s="15" t="s">
        <v>8</v>
      </c>
      <c r="H139" s="15" t="s">
        <v>912</v>
      </c>
      <c r="I139" s="15" t="s">
        <v>1006</v>
      </c>
      <c r="J139" s="17">
        <v>0.61699999999999999</v>
      </c>
      <c r="K139" s="15" t="str">
        <f t="shared" si="2"/>
        <v>SP09_SPA ProSupp Server (MTP)</v>
      </c>
      <c r="L139" s="15"/>
      <c r="M139" s="15" t="s">
        <v>930</v>
      </c>
      <c r="N139" s="15">
        <v>4</v>
      </c>
      <c r="O139" s="15" t="s">
        <v>897</v>
      </c>
      <c r="P139" s="19" t="s">
        <v>1886</v>
      </c>
    </row>
    <row r="140" spans="1:16" ht="15" hidden="1" customHeight="1" outlineLevel="1" x14ac:dyDescent="0.3">
      <c r="A140" s="13" t="s">
        <v>2144</v>
      </c>
      <c r="B140" s="15" t="s">
        <v>42</v>
      </c>
      <c r="C140" s="15" t="s">
        <v>43</v>
      </c>
      <c r="D140" s="15" t="s">
        <v>892</v>
      </c>
      <c r="E140" s="15" t="s">
        <v>13</v>
      </c>
      <c r="F140" s="15" t="s">
        <v>13</v>
      </c>
      <c r="G140" s="15" t="s">
        <v>8</v>
      </c>
      <c r="H140" s="15" t="s">
        <v>935</v>
      </c>
      <c r="I140" s="15" t="s">
        <v>1076</v>
      </c>
      <c r="J140" s="17">
        <v>0.626</v>
      </c>
      <c r="K140" s="15" t="str">
        <f t="shared" si="2"/>
        <v>SS03_MMCLA ESG CTE</v>
      </c>
      <c r="L140" s="15"/>
      <c r="M140" s="15" t="s">
        <v>937</v>
      </c>
      <c r="N140" s="15">
        <v>10</v>
      </c>
      <c r="O140" s="15" t="s">
        <v>897</v>
      </c>
      <c r="P140" s="19" t="s">
        <v>1886</v>
      </c>
    </row>
    <row r="141" spans="1:16" ht="15" hidden="1" customHeight="1" outlineLevel="1" x14ac:dyDescent="0.3">
      <c r="A141" s="13" t="s">
        <v>2144</v>
      </c>
      <c r="B141" s="15" t="s">
        <v>846</v>
      </c>
      <c r="C141" s="15" t="s">
        <v>847</v>
      </c>
      <c r="D141" s="15" t="s">
        <v>1843</v>
      </c>
      <c r="E141" s="15"/>
      <c r="F141" s="15"/>
      <c r="G141" s="15" t="s">
        <v>8</v>
      </c>
      <c r="H141" s="15"/>
      <c r="I141" s="15"/>
      <c r="J141" s="15"/>
      <c r="K141" s="15" t="str">
        <f t="shared" si="2"/>
        <v>SW02_SWE Client ProSupp (TUR)</v>
      </c>
      <c r="L141" s="15"/>
      <c r="M141" s="15" t="s">
        <v>896</v>
      </c>
      <c r="N141" s="15"/>
      <c r="O141" s="15" t="s">
        <v>897</v>
      </c>
      <c r="P141" s="19" t="s">
        <v>1886</v>
      </c>
    </row>
    <row r="142" spans="1:16" ht="15" hidden="1" customHeight="1" outlineLevel="1" x14ac:dyDescent="0.3">
      <c r="A142" s="13" t="s">
        <v>2144</v>
      </c>
      <c r="B142" s="15" t="s">
        <v>738</v>
      </c>
      <c r="C142" s="15" t="s">
        <v>739</v>
      </c>
      <c r="D142" s="15" t="s">
        <v>892</v>
      </c>
      <c r="E142" s="15"/>
      <c r="F142" s="15" t="s">
        <v>440</v>
      </c>
      <c r="G142" s="15" t="s">
        <v>8</v>
      </c>
      <c r="H142" s="15" t="s">
        <v>903</v>
      </c>
      <c r="I142" s="15" t="s">
        <v>1232</v>
      </c>
      <c r="J142" s="17">
        <v>0.629</v>
      </c>
      <c r="K142" s="15" t="str">
        <f t="shared" si="2"/>
        <v>SY01_Skytech Enterprise SA</v>
      </c>
      <c r="L142" s="15"/>
      <c r="M142" s="15" t="s">
        <v>917</v>
      </c>
      <c r="N142" s="15">
        <v>14</v>
      </c>
      <c r="O142" s="15" t="s">
        <v>897</v>
      </c>
      <c r="P142" s="19" t="s">
        <v>1886</v>
      </c>
    </row>
    <row r="143" spans="1:16" ht="15" hidden="1" customHeight="1" outlineLevel="1" x14ac:dyDescent="0.3">
      <c r="A143" s="13" t="s">
        <v>2144</v>
      </c>
      <c r="B143" s="15" t="s">
        <v>848</v>
      </c>
      <c r="C143" s="15" t="s">
        <v>849</v>
      </c>
      <c r="D143" s="15" t="s">
        <v>1845</v>
      </c>
      <c r="E143" s="15" t="s">
        <v>439</v>
      </c>
      <c r="F143" s="15"/>
      <c r="G143" s="15" t="s">
        <v>8</v>
      </c>
      <c r="H143" s="15"/>
      <c r="I143" s="15"/>
      <c r="J143" s="15"/>
      <c r="K143" s="15" t="str">
        <f t="shared" si="2"/>
        <v>UK05_UKISA Basic Enterprise (Concentrix)</v>
      </c>
      <c r="L143" s="15"/>
      <c r="M143" s="15" t="s">
        <v>896</v>
      </c>
      <c r="N143" s="15"/>
      <c r="O143" s="15" t="s">
        <v>897</v>
      </c>
      <c r="P143" s="19" t="s">
        <v>1886</v>
      </c>
    </row>
    <row r="144" spans="1:16" ht="15" hidden="1" customHeight="1" outlineLevel="1" x14ac:dyDescent="0.3">
      <c r="A144" s="13" t="s">
        <v>2144</v>
      </c>
      <c r="B144" s="15" t="s">
        <v>668</v>
      </c>
      <c r="C144" s="15" t="s">
        <v>669</v>
      </c>
      <c r="D144" s="15" t="s">
        <v>973</v>
      </c>
      <c r="E144" s="15" t="s">
        <v>609</v>
      </c>
      <c r="F144" s="15" t="s">
        <v>609</v>
      </c>
      <c r="G144" s="15" t="s">
        <v>8</v>
      </c>
      <c r="H144" s="15" t="s">
        <v>912</v>
      </c>
      <c r="I144" s="15" t="s">
        <v>938</v>
      </c>
      <c r="J144" s="17">
        <v>0.61699999999999999</v>
      </c>
      <c r="K144" s="15" t="str">
        <f t="shared" si="2"/>
        <v>UK06_EMEA ProSupport Compellent</v>
      </c>
      <c r="L144" s="15"/>
      <c r="M144" s="15" t="s">
        <v>972</v>
      </c>
      <c r="N144" s="15"/>
      <c r="O144" s="15" t="s">
        <v>897</v>
      </c>
      <c r="P144" s="19" t="s">
        <v>1886</v>
      </c>
    </row>
    <row r="145" spans="1:16" ht="15" hidden="1" customHeight="1" outlineLevel="1" x14ac:dyDescent="0.3">
      <c r="A145" s="13" t="s">
        <v>2144</v>
      </c>
      <c r="B145" s="15" t="s">
        <v>670</v>
      </c>
      <c r="C145" s="15" t="s">
        <v>671</v>
      </c>
      <c r="D145" s="15" t="s">
        <v>973</v>
      </c>
      <c r="E145" s="15" t="s">
        <v>609</v>
      </c>
      <c r="F145" s="15" t="s">
        <v>609</v>
      </c>
      <c r="G145" s="15" t="s">
        <v>8</v>
      </c>
      <c r="H145" s="15" t="s">
        <v>912</v>
      </c>
      <c r="I145" s="15" t="s">
        <v>938</v>
      </c>
      <c r="J145" s="17">
        <v>0.61699999999999999</v>
      </c>
      <c r="K145" s="15" t="str">
        <f t="shared" si="2"/>
        <v>UK07_EMEA ProSupport Powervault</v>
      </c>
      <c r="L145" s="15"/>
      <c r="M145" s="15" t="s">
        <v>972</v>
      </c>
      <c r="N145" s="15"/>
      <c r="O145" s="15" t="s">
        <v>897</v>
      </c>
      <c r="P145" s="19" t="s">
        <v>1886</v>
      </c>
    </row>
    <row r="146" spans="1:16" ht="15" hidden="1" customHeight="1" outlineLevel="1" x14ac:dyDescent="0.3">
      <c r="A146" s="13" t="s">
        <v>2144</v>
      </c>
      <c r="B146" s="15" t="s">
        <v>605</v>
      </c>
      <c r="C146" s="15" t="s">
        <v>606</v>
      </c>
      <c r="D146" s="15" t="s">
        <v>892</v>
      </c>
      <c r="E146" s="15" t="s">
        <v>439</v>
      </c>
      <c r="F146" s="15" t="s">
        <v>439</v>
      </c>
      <c r="G146" s="15" t="s">
        <v>8</v>
      </c>
      <c r="H146" s="15" t="s">
        <v>912</v>
      </c>
      <c r="I146" s="15" t="s">
        <v>938</v>
      </c>
      <c r="J146" s="17">
        <v>0.61699999999999999</v>
      </c>
      <c r="K146" s="15" t="str">
        <f t="shared" si="2"/>
        <v>UPP1_ENG ProSupport Plus Server</v>
      </c>
      <c r="L146" s="15"/>
      <c r="M146" s="15" t="s">
        <v>930</v>
      </c>
      <c r="N146" s="15">
        <v>8</v>
      </c>
      <c r="O146" s="15" t="s">
        <v>897</v>
      </c>
      <c r="P146" s="19" t="s">
        <v>1886</v>
      </c>
    </row>
    <row r="147" spans="1:16" ht="15" hidden="1" customHeight="1" outlineLevel="1" x14ac:dyDescent="0.3">
      <c r="A147" s="13" t="s">
        <v>2144</v>
      </c>
      <c r="B147" s="15" t="s">
        <v>751</v>
      </c>
      <c r="C147" s="15" t="s">
        <v>752</v>
      </c>
      <c r="D147" s="15" t="s">
        <v>892</v>
      </c>
      <c r="E147" s="15"/>
      <c r="F147" s="20" t="s">
        <v>229</v>
      </c>
      <c r="G147" s="15" t="s">
        <v>8</v>
      </c>
      <c r="H147" s="15" t="s">
        <v>903</v>
      </c>
      <c r="I147" s="15" t="s">
        <v>904</v>
      </c>
      <c r="J147" s="17">
        <v>0.629</v>
      </c>
      <c r="K147" s="15" t="str">
        <f t="shared" si="2"/>
        <v>AN02_ANZ Midrange Storage VNX/e</v>
      </c>
      <c r="L147" s="15"/>
      <c r="M147" s="15" t="s">
        <v>896</v>
      </c>
      <c r="N147" s="15">
        <v>14</v>
      </c>
      <c r="O147" s="15" t="s">
        <v>905</v>
      </c>
      <c r="P147" s="19" t="s">
        <v>1886</v>
      </c>
    </row>
    <row r="148" spans="1:16" ht="15" hidden="1" customHeight="1" outlineLevel="1" x14ac:dyDescent="0.3">
      <c r="A148" s="13" t="s">
        <v>2144</v>
      </c>
      <c r="B148" s="15" t="s">
        <v>741</v>
      </c>
      <c r="C148" s="15" t="s">
        <v>742</v>
      </c>
      <c r="D148" s="15" t="s">
        <v>892</v>
      </c>
      <c r="E148" s="15"/>
      <c r="F148" s="15" t="s">
        <v>740</v>
      </c>
      <c r="G148" s="15" t="s">
        <v>8</v>
      </c>
      <c r="H148" s="15" t="s">
        <v>903</v>
      </c>
      <c r="I148" s="15" t="s">
        <v>904</v>
      </c>
      <c r="J148" s="15"/>
      <c r="K148" s="15" t="str">
        <f t="shared" si="2"/>
        <v>AN03_ANZ VX Rail Storage</v>
      </c>
      <c r="L148" s="15"/>
      <c r="M148" s="15" t="s">
        <v>896</v>
      </c>
      <c r="N148" s="15">
        <v>14</v>
      </c>
      <c r="O148" s="15" t="s">
        <v>905</v>
      </c>
      <c r="P148" s="19" t="s">
        <v>1886</v>
      </c>
    </row>
    <row r="149" spans="1:16" ht="15" hidden="1" customHeight="1" outlineLevel="1" x14ac:dyDescent="0.3">
      <c r="A149" s="13" t="s">
        <v>2144</v>
      </c>
      <c r="B149" s="15" t="s">
        <v>103</v>
      </c>
      <c r="C149" s="15" t="s">
        <v>104</v>
      </c>
      <c r="D149" s="15" t="s">
        <v>892</v>
      </c>
      <c r="E149" s="20" t="s">
        <v>44</v>
      </c>
      <c r="F149" s="20" t="s">
        <v>102</v>
      </c>
      <c r="G149" s="15" t="s">
        <v>8</v>
      </c>
      <c r="H149" s="15" t="s">
        <v>903</v>
      </c>
      <c r="I149" s="15" t="s">
        <v>909</v>
      </c>
      <c r="J149" s="17">
        <v>0.629</v>
      </c>
      <c r="K149" s="15" t="str">
        <f t="shared" si="2"/>
        <v>AP26_APJ DPD DPSolutions Chinese</v>
      </c>
      <c r="L149" s="15"/>
      <c r="M149" s="15" t="s">
        <v>2120</v>
      </c>
      <c r="N149" s="15">
        <v>12</v>
      </c>
      <c r="O149" s="15" t="s">
        <v>905</v>
      </c>
      <c r="P149" s="19" t="s">
        <v>1886</v>
      </c>
    </row>
    <row r="150" spans="1:16" ht="15" hidden="1" customHeight="1" outlineLevel="1" x14ac:dyDescent="0.3">
      <c r="A150" s="13" t="s">
        <v>2144</v>
      </c>
      <c r="B150" s="15" t="s">
        <v>160</v>
      </c>
      <c r="C150" s="15" t="s">
        <v>161</v>
      </c>
      <c r="D150" s="15" t="s">
        <v>1044</v>
      </c>
      <c r="E150" s="20" t="s">
        <v>158</v>
      </c>
      <c r="F150" s="15" t="s">
        <v>159</v>
      </c>
      <c r="G150" s="15" t="s">
        <v>8</v>
      </c>
      <c r="H150" s="15" t="s">
        <v>929</v>
      </c>
      <c r="I150" s="15" t="s">
        <v>929</v>
      </c>
      <c r="J150" s="17">
        <v>0.63300000000000001</v>
      </c>
      <c r="K150" s="15" t="str">
        <f t="shared" si="2"/>
        <v>AX01_HCS Global APEX</v>
      </c>
      <c r="L150" s="15"/>
      <c r="M150" s="15" t="s">
        <v>1883</v>
      </c>
      <c r="N150" s="15">
        <v>14</v>
      </c>
      <c r="O150" s="15" t="s">
        <v>905</v>
      </c>
      <c r="P150" s="19" t="s">
        <v>1886</v>
      </c>
    </row>
    <row r="151" spans="1:16" ht="15" hidden="1" customHeight="1" outlineLevel="1" x14ac:dyDescent="0.3">
      <c r="A151" s="13" t="s">
        <v>2144</v>
      </c>
      <c r="B151" s="15" t="s">
        <v>753</v>
      </c>
      <c r="C151" s="15" t="s">
        <v>754</v>
      </c>
      <c r="D151" s="15" t="s">
        <v>892</v>
      </c>
      <c r="E151" s="15"/>
      <c r="F151" s="20" t="s">
        <v>229</v>
      </c>
      <c r="G151" s="15" t="s">
        <v>8</v>
      </c>
      <c r="H151" s="15" t="s">
        <v>935</v>
      </c>
      <c r="I151" s="15" t="e">
        <v>#N/A</v>
      </c>
      <c r="J151" s="17">
        <v>0.626</v>
      </c>
      <c r="K151" s="15" t="str">
        <f t="shared" si="2"/>
        <v>BZ21_POR Midrange Storage VNX/e</v>
      </c>
      <c r="L151" s="15"/>
      <c r="M151" s="15" t="s">
        <v>896</v>
      </c>
      <c r="N151" s="15"/>
      <c r="O151" s="15" t="s">
        <v>905</v>
      </c>
      <c r="P151" s="19" t="s">
        <v>1886</v>
      </c>
    </row>
    <row r="152" spans="1:16" ht="15" hidden="1" customHeight="1" outlineLevel="1" x14ac:dyDescent="0.3">
      <c r="A152" s="13" t="s">
        <v>2144</v>
      </c>
      <c r="B152" s="15" t="s">
        <v>804</v>
      </c>
      <c r="C152" s="15" t="s">
        <v>805</v>
      </c>
      <c r="D152" s="15" t="s">
        <v>1845</v>
      </c>
      <c r="E152" s="15"/>
      <c r="F152" s="15"/>
      <c r="G152" s="15" t="s">
        <v>8</v>
      </c>
      <c r="H152" s="15"/>
      <c r="I152" s="15"/>
      <c r="J152" s="15"/>
      <c r="K152" s="15" t="str">
        <f t="shared" si="2"/>
        <v>CGVX_GLOBAL VNX Capgemini</v>
      </c>
      <c r="L152" s="15"/>
      <c r="M152" s="15" t="s">
        <v>896</v>
      </c>
      <c r="N152" s="15"/>
      <c r="O152" s="15" t="s">
        <v>905</v>
      </c>
      <c r="P152" s="19" t="s">
        <v>1886</v>
      </c>
    </row>
    <row r="153" spans="1:16" ht="15" hidden="1" customHeight="1" outlineLevel="1" x14ac:dyDescent="0.3">
      <c r="A153" s="13" t="s">
        <v>2144</v>
      </c>
      <c r="B153" s="15" t="s">
        <v>755</v>
      </c>
      <c r="C153" s="15" t="s">
        <v>756</v>
      </c>
      <c r="D153" s="15" t="s">
        <v>892</v>
      </c>
      <c r="E153" s="15"/>
      <c r="F153" s="20" t="s">
        <v>229</v>
      </c>
      <c r="G153" s="15" t="s">
        <v>8</v>
      </c>
      <c r="H153" s="15" t="s">
        <v>903</v>
      </c>
      <c r="I153" s="15" t="s">
        <v>909</v>
      </c>
      <c r="J153" s="17">
        <v>0.629</v>
      </c>
      <c r="K153" s="15" t="str">
        <f t="shared" si="2"/>
        <v>CM01_CCC Midrange Storage VNX/e</v>
      </c>
      <c r="L153" s="15"/>
      <c r="M153" s="15" t="s">
        <v>896</v>
      </c>
      <c r="N153" s="15"/>
      <c r="O153" s="15" t="s">
        <v>905</v>
      </c>
      <c r="P153" s="19" t="s">
        <v>1886</v>
      </c>
    </row>
    <row r="154" spans="1:16" ht="15" hidden="1" customHeight="1" outlineLevel="1" x14ac:dyDescent="0.3">
      <c r="A154" s="13" t="s">
        <v>2144</v>
      </c>
      <c r="B154" s="15" t="s">
        <v>808</v>
      </c>
      <c r="C154" s="15" t="s">
        <v>809</v>
      </c>
      <c r="D154" s="15" t="s">
        <v>892</v>
      </c>
      <c r="E154" s="15"/>
      <c r="F154" s="15"/>
      <c r="G154" s="15" t="s">
        <v>8</v>
      </c>
      <c r="H154" s="15" t="s">
        <v>903</v>
      </c>
      <c r="I154" s="15" t="s">
        <v>909</v>
      </c>
      <c r="J154" s="17">
        <v>0.629</v>
      </c>
      <c r="K154" s="15" t="str">
        <f t="shared" si="2"/>
        <v>CM04_CCC HES VXRail Hyperconverged</v>
      </c>
      <c r="L154" s="15"/>
      <c r="M154" s="15" t="s">
        <v>917</v>
      </c>
      <c r="N154" s="15"/>
      <c r="O154" s="15" t="s">
        <v>905</v>
      </c>
      <c r="P154" s="19" t="s">
        <v>1886</v>
      </c>
    </row>
    <row r="155" spans="1:16" ht="15" hidden="1" customHeight="1" outlineLevel="1" x14ac:dyDescent="0.3">
      <c r="A155" s="13" t="s">
        <v>2144</v>
      </c>
      <c r="B155" s="15" t="s">
        <v>958</v>
      </c>
      <c r="C155" s="15" t="s">
        <v>959</v>
      </c>
      <c r="D155" s="15" t="s">
        <v>914</v>
      </c>
      <c r="E155" s="15" t="s">
        <v>952</v>
      </c>
      <c r="F155" s="15" t="s">
        <v>960</v>
      </c>
      <c r="G155" s="15" t="s">
        <v>900</v>
      </c>
      <c r="H155" s="15" t="s">
        <v>903</v>
      </c>
      <c r="I155" s="15" t="s">
        <v>909</v>
      </c>
      <c r="J155" s="17">
        <v>0.63900000000000001</v>
      </c>
      <c r="K155" s="15" t="str">
        <f t="shared" si="2"/>
        <v>CSS1_APJ HES CST Chinese</v>
      </c>
      <c r="L155" s="15"/>
      <c r="M155" s="15" t="s">
        <v>1810</v>
      </c>
      <c r="N155" s="15">
        <v>14</v>
      </c>
      <c r="O155" s="15" t="s">
        <v>905</v>
      </c>
      <c r="P155" s="19" t="s">
        <v>1886</v>
      </c>
    </row>
    <row r="156" spans="1:16" ht="15" hidden="1" customHeight="1" outlineLevel="1" x14ac:dyDescent="0.3">
      <c r="A156" s="13" t="s">
        <v>2144</v>
      </c>
      <c r="B156" s="15" t="s">
        <v>163</v>
      </c>
      <c r="C156" s="15" t="s">
        <v>164</v>
      </c>
      <c r="D156" s="15" t="s">
        <v>892</v>
      </c>
      <c r="E156" s="20" t="s">
        <v>158</v>
      </c>
      <c r="F156" s="15" t="s">
        <v>162</v>
      </c>
      <c r="G156" s="15" t="s">
        <v>8</v>
      </c>
      <c r="H156" s="15" t="s">
        <v>929</v>
      </c>
      <c r="I156" s="15" t="s">
        <v>929</v>
      </c>
      <c r="J156" s="17">
        <v>0.63300000000000001</v>
      </c>
      <c r="K156" s="15" t="str">
        <f t="shared" si="2"/>
        <v>CT19_HCS Global Converged</v>
      </c>
      <c r="L156" s="15"/>
      <c r="M156" s="15" t="s">
        <v>896</v>
      </c>
      <c r="N156" s="15">
        <v>14</v>
      </c>
      <c r="O156" s="15" t="s">
        <v>905</v>
      </c>
      <c r="P156" s="19" t="s">
        <v>1886</v>
      </c>
    </row>
    <row r="157" spans="1:16" ht="15" hidden="1" customHeight="1" outlineLevel="1" x14ac:dyDescent="0.3">
      <c r="A157" s="13" t="s">
        <v>2144</v>
      </c>
      <c r="B157" s="15" t="s">
        <v>180</v>
      </c>
      <c r="C157" s="15" t="s">
        <v>181</v>
      </c>
      <c r="D157" s="15" t="s">
        <v>928</v>
      </c>
      <c r="E157" s="20" t="s">
        <v>158</v>
      </c>
      <c r="F157" s="20" t="s">
        <v>173</v>
      </c>
      <c r="G157" s="15" t="s">
        <v>8</v>
      </c>
      <c r="H157" s="15" t="s">
        <v>912</v>
      </c>
      <c r="I157" s="15" t="s">
        <v>966</v>
      </c>
      <c r="J157" s="17">
        <v>0.61699999999999999</v>
      </c>
      <c r="K157" s="15" t="str">
        <f t="shared" si="2"/>
        <v>CT76_GLOBAL VxRail CTE</v>
      </c>
      <c r="L157" s="15"/>
      <c r="M157" s="15" t="s">
        <v>1810</v>
      </c>
      <c r="N157" s="15">
        <v>4</v>
      </c>
      <c r="O157" s="15" t="s">
        <v>905</v>
      </c>
      <c r="P157" s="19" t="s">
        <v>1886</v>
      </c>
    </row>
    <row r="158" spans="1:16" ht="13" hidden="1" outlineLevel="1" x14ac:dyDescent="0.3">
      <c r="A158" s="13" t="s">
        <v>2144</v>
      </c>
      <c r="B158" s="15" t="s">
        <v>678</v>
      </c>
      <c r="C158" s="15" t="s">
        <v>1900</v>
      </c>
      <c r="D158" s="15" t="s">
        <v>892</v>
      </c>
      <c r="E158" s="20" t="s">
        <v>672</v>
      </c>
      <c r="F158" s="20" t="s">
        <v>673</v>
      </c>
      <c r="G158" s="15" t="s">
        <v>8</v>
      </c>
      <c r="H158" s="15" t="s">
        <v>912</v>
      </c>
      <c r="I158" s="15" t="s">
        <v>966</v>
      </c>
      <c r="J158" s="17">
        <v>0.61699999999999999</v>
      </c>
      <c r="K158" s="15" t="str">
        <f t="shared" si="2"/>
        <v>CT91_EMEA PowerScale CTE</v>
      </c>
      <c r="L158" s="15"/>
      <c r="M158" s="15" t="s">
        <v>896</v>
      </c>
      <c r="N158" s="15">
        <v>4</v>
      </c>
      <c r="O158" s="15" t="s">
        <v>905</v>
      </c>
      <c r="P158" s="19" t="s">
        <v>1886</v>
      </c>
    </row>
    <row r="159" spans="1:16" ht="15" hidden="1" customHeight="1" outlineLevel="1" x14ac:dyDescent="0.3">
      <c r="A159" s="13" t="s">
        <v>2144</v>
      </c>
      <c r="B159" s="15" t="s">
        <v>743</v>
      </c>
      <c r="C159" s="15" t="s">
        <v>744</v>
      </c>
      <c r="D159" s="15" t="s">
        <v>892</v>
      </c>
      <c r="E159" s="15"/>
      <c r="F159" s="20" t="s">
        <v>173</v>
      </c>
      <c r="G159" s="15" t="s">
        <v>8</v>
      </c>
      <c r="H159" s="15" t="s">
        <v>903</v>
      </c>
      <c r="I159" s="15" t="s">
        <v>909</v>
      </c>
      <c r="J159" s="17">
        <v>0.629</v>
      </c>
      <c r="K159" s="15" t="str">
        <f t="shared" si="2"/>
        <v>CV01_CCC VX Rail Storage</v>
      </c>
      <c r="L159" s="15"/>
      <c r="M159" s="15" t="s">
        <v>896</v>
      </c>
      <c r="N159" s="15"/>
      <c r="O159" s="15" t="s">
        <v>905</v>
      </c>
      <c r="P159" s="19" t="s">
        <v>1886</v>
      </c>
    </row>
    <row r="160" spans="1:16" ht="13" hidden="1" outlineLevel="1" x14ac:dyDescent="0.3">
      <c r="A160" s="13" t="s">
        <v>2144</v>
      </c>
      <c r="B160" s="15" t="s">
        <v>67</v>
      </c>
      <c r="C160" s="15" t="s">
        <v>68</v>
      </c>
      <c r="D160" s="15" t="s">
        <v>892</v>
      </c>
      <c r="E160" s="20" t="s">
        <v>44</v>
      </c>
      <c r="F160" s="20" t="s">
        <v>66</v>
      </c>
      <c r="G160" s="15" t="s">
        <v>8</v>
      </c>
      <c r="H160" s="15" t="s">
        <v>929</v>
      </c>
      <c r="I160" s="15" t="s">
        <v>1045</v>
      </c>
      <c r="J160" s="17">
        <v>0.63300000000000001</v>
      </c>
      <c r="K160" s="15" t="str">
        <f t="shared" si="2"/>
        <v>GH02_GLOBAL DPD Cloudboost</v>
      </c>
      <c r="L160" s="15"/>
      <c r="M160" s="15" t="s">
        <v>1884</v>
      </c>
      <c r="N160" s="15">
        <v>0</v>
      </c>
      <c r="O160" s="15" t="s">
        <v>905</v>
      </c>
      <c r="P160" s="19" t="s">
        <v>1886</v>
      </c>
    </row>
    <row r="161" spans="1:16" ht="15" hidden="1" customHeight="1" outlineLevel="1" x14ac:dyDescent="0.3">
      <c r="A161" s="13" t="s">
        <v>2144</v>
      </c>
      <c r="B161" s="15" t="s">
        <v>100</v>
      </c>
      <c r="C161" s="15" t="s">
        <v>101</v>
      </c>
      <c r="D161" s="15" t="s">
        <v>892</v>
      </c>
      <c r="E161" s="20" t="s">
        <v>44</v>
      </c>
      <c r="F161" s="20" t="s">
        <v>99</v>
      </c>
      <c r="G161" s="15" t="s">
        <v>8</v>
      </c>
      <c r="H161" s="15" t="s">
        <v>929</v>
      </c>
      <c r="I161" s="15" t="s">
        <v>909</v>
      </c>
      <c r="J161" s="17">
        <v>0.63300000000000001</v>
      </c>
      <c r="K161" s="15" t="str">
        <f t="shared" si="2"/>
        <v>GH05_GLOBAL DPD DPADSRT</v>
      </c>
      <c r="L161" s="15"/>
      <c r="M161" s="15" t="s">
        <v>896</v>
      </c>
      <c r="N161" s="15">
        <v>14</v>
      </c>
      <c r="O161" s="15" t="s">
        <v>905</v>
      </c>
      <c r="P161" s="19" t="s">
        <v>1886</v>
      </c>
    </row>
    <row r="162" spans="1:16" ht="15" hidden="1" customHeight="1" outlineLevel="1" x14ac:dyDescent="0.3">
      <c r="A162" s="13" t="s">
        <v>2144</v>
      </c>
      <c r="B162" s="15" t="s">
        <v>143</v>
      </c>
      <c r="C162" s="15" t="s">
        <v>144</v>
      </c>
      <c r="D162" s="15" t="s">
        <v>1044</v>
      </c>
      <c r="E162" s="15" t="s">
        <v>44</v>
      </c>
      <c r="F162" s="15" t="s">
        <v>142</v>
      </c>
      <c r="G162" s="15" t="s">
        <v>8</v>
      </c>
      <c r="H162" s="15" t="s">
        <v>929</v>
      </c>
      <c r="I162" s="15" t="s">
        <v>904</v>
      </c>
      <c r="J162" s="17">
        <v>0.63300000000000001</v>
      </c>
      <c r="K162" s="15" t="str">
        <f t="shared" si="2"/>
        <v>GH12_GLOBAL DPD SOURCEONE</v>
      </c>
      <c r="L162" s="15"/>
      <c r="M162" s="15" t="s">
        <v>1884</v>
      </c>
      <c r="N162" s="15">
        <v>12</v>
      </c>
      <c r="O162" s="15" t="s">
        <v>905</v>
      </c>
      <c r="P162" s="19" t="s">
        <v>1886</v>
      </c>
    </row>
    <row r="163" spans="1:16" s="32" customFormat="1" ht="15" hidden="1" customHeight="1" outlineLevel="1" x14ac:dyDescent="0.3">
      <c r="A163" s="13" t="s">
        <v>2144</v>
      </c>
      <c r="B163" s="15" t="s">
        <v>184</v>
      </c>
      <c r="C163" s="15" t="s">
        <v>185</v>
      </c>
      <c r="D163" s="15" t="s">
        <v>928</v>
      </c>
      <c r="E163" s="15" t="s">
        <v>158</v>
      </c>
      <c r="F163" s="15" t="s">
        <v>173</v>
      </c>
      <c r="G163" s="15" t="s">
        <v>8</v>
      </c>
      <c r="H163" s="15" t="s">
        <v>929</v>
      </c>
      <c r="I163" s="15" t="s">
        <v>904</v>
      </c>
      <c r="J163" s="17">
        <v>0.63300000000000001</v>
      </c>
      <c r="K163" s="15" t="str">
        <f t="shared" si="2"/>
        <v>GH13_HCS Global VxRail</v>
      </c>
      <c r="L163" s="15"/>
      <c r="M163" s="15" t="s">
        <v>1810</v>
      </c>
      <c r="N163" s="15">
        <v>24</v>
      </c>
      <c r="O163" s="15" t="s">
        <v>905</v>
      </c>
      <c r="P163" s="19" t="s">
        <v>1886</v>
      </c>
    </row>
    <row r="164" spans="1:16" ht="15" hidden="1" customHeight="1" outlineLevel="1" x14ac:dyDescent="0.3">
      <c r="A164" s="13" t="s">
        <v>2144</v>
      </c>
      <c r="B164" s="15" t="s">
        <v>219</v>
      </c>
      <c r="C164" s="15" t="s">
        <v>220</v>
      </c>
      <c r="D164" s="15" t="s">
        <v>892</v>
      </c>
      <c r="E164" s="20" t="s">
        <v>158</v>
      </c>
      <c r="F164" s="20" t="s">
        <v>218</v>
      </c>
      <c r="G164" s="15" t="s">
        <v>8</v>
      </c>
      <c r="H164" s="15" t="s">
        <v>929</v>
      </c>
      <c r="I164" s="15" t="s">
        <v>904</v>
      </c>
      <c r="J164" s="17">
        <v>0.63300000000000001</v>
      </c>
      <c r="K164" s="15" t="str">
        <f t="shared" si="2"/>
        <v>GH14_HCS Global PowerFlex</v>
      </c>
      <c r="L164" s="15"/>
      <c r="M164" s="15" t="s">
        <v>896</v>
      </c>
      <c r="N164" s="15">
        <v>24</v>
      </c>
      <c r="O164" s="15" t="s">
        <v>905</v>
      </c>
      <c r="P164" s="19" t="s">
        <v>1886</v>
      </c>
    </row>
    <row r="165" spans="1:16" ht="15" hidden="1" customHeight="1" outlineLevel="1" x14ac:dyDescent="0.3">
      <c r="A165" s="13" t="s">
        <v>2144</v>
      </c>
      <c r="B165" s="15" t="s">
        <v>337</v>
      </c>
      <c r="C165" s="15" t="s">
        <v>338</v>
      </c>
      <c r="D165" s="15" t="s">
        <v>973</v>
      </c>
      <c r="E165" s="20" t="s">
        <v>301</v>
      </c>
      <c r="F165" s="20" t="s">
        <v>334</v>
      </c>
      <c r="G165" s="15" t="s">
        <v>8</v>
      </c>
      <c r="H165" s="15" t="s">
        <v>929</v>
      </c>
      <c r="I165" s="15" t="s">
        <v>894</v>
      </c>
      <c r="J165" s="17">
        <v>0.63300000000000001</v>
      </c>
      <c r="K165" s="15" t="str">
        <f t="shared" si="2"/>
        <v>GH18_GLOBAL HES Integrated_Software</v>
      </c>
      <c r="L165" s="15"/>
      <c r="M165" s="15" t="s">
        <v>972</v>
      </c>
      <c r="N165" s="15">
        <v>4</v>
      </c>
      <c r="O165" s="15" t="s">
        <v>905</v>
      </c>
      <c r="P165" s="19" t="s">
        <v>1886</v>
      </c>
    </row>
    <row r="166" spans="1:16" ht="15" hidden="1" customHeight="1" outlineLevel="1" x14ac:dyDescent="0.3">
      <c r="A166" s="13" t="s">
        <v>2144</v>
      </c>
      <c r="B166" s="15" t="s">
        <v>868</v>
      </c>
      <c r="C166" s="15" t="s">
        <v>869</v>
      </c>
      <c r="D166" s="15" t="s">
        <v>892</v>
      </c>
      <c r="E166" s="15" t="s">
        <v>865</v>
      </c>
      <c r="F166" s="15" t="s">
        <v>865</v>
      </c>
      <c r="G166" s="15" t="s">
        <v>8</v>
      </c>
      <c r="H166" s="15" t="s">
        <v>912</v>
      </c>
      <c r="I166" s="15" t="s">
        <v>966</v>
      </c>
      <c r="J166" s="17">
        <v>0.61699999999999999</v>
      </c>
      <c r="K166" s="15" t="str">
        <f t="shared" si="2"/>
        <v>HE01_HES Global CST Chat</v>
      </c>
      <c r="L166" s="15"/>
      <c r="M166" s="15" t="s">
        <v>896</v>
      </c>
      <c r="N166" s="15">
        <v>14</v>
      </c>
      <c r="O166" s="15" t="s">
        <v>905</v>
      </c>
      <c r="P166" s="19" t="s">
        <v>1886</v>
      </c>
    </row>
    <row r="167" spans="1:16" ht="15" hidden="1" customHeight="1" outlineLevel="1" x14ac:dyDescent="0.3">
      <c r="A167" s="13" t="s">
        <v>2144</v>
      </c>
      <c r="B167" s="15" t="s">
        <v>682</v>
      </c>
      <c r="C167" s="15" t="s">
        <v>1904</v>
      </c>
      <c r="D167" s="15" t="s">
        <v>892</v>
      </c>
      <c r="E167" s="20" t="s">
        <v>672</v>
      </c>
      <c r="F167" s="20" t="s">
        <v>673</v>
      </c>
      <c r="G167" s="15" t="s">
        <v>8</v>
      </c>
      <c r="H167" s="15" t="s">
        <v>929</v>
      </c>
      <c r="I167" s="15"/>
      <c r="J167" s="17">
        <v>0.63300000000000001</v>
      </c>
      <c r="K167" s="15" t="str">
        <f t="shared" si="2"/>
        <v>HE06_HES Global PowerScale Support</v>
      </c>
      <c r="L167" s="15"/>
      <c r="M167" s="15" t="s">
        <v>896</v>
      </c>
      <c r="N167" s="15">
        <v>14</v>
      </c>
      <c r="O167" s="15" t="s">
        <v>905</v>
      </c>
      <c r="P167" s="19" t="s">
        <v>1886</v>
      </c>
    </row>
    <row r="168" spans="1:16" ht="15" hidden="1" customHeight="1" outlineLevel="1" x14ac:dyDescent="0.3">
      <c r="A168" s="13" t="s">
        <v>2144</v>
      </c>
      <c r="B168" s="15" t="s">
        <v>186</v>
      </c>
      <c r="C168" s="15" t="s">
        <v>187</v>
      </c>
      <c r="D168" s="15" t="s">
        <v>892</v>
      </c>
      <c r="E168" s="20" t="s">
        <v>158</v>
      </c>
      <c r="F168" s="20" t="s">
        <v>173</v>
      </c>
      <c r="G168" s="15" t="s">
        <v>8</v>
      </c>
      <c r="H168" s="15" t="s">
        <v>929</v>
      </c>
      <c r="I168" s="15" t="e">
        <v>#N/A</v>
      </c>
      <c r="J168" s="17">
        <v>0.63300000000000001</v>
      </c>
      <c r="K168" s="15" t="str">
        <f t="shared" si="2"/>
        <v>HE20_HES Global Hyperconverged</v>
      </c>
      <c r="L168" s="15"/>
      <c r="M168" s="15" t="s">
        <v>896</v>
      </c>
      <c r="N168" s="15">
        <v>14</v>
      </c>
      <c r="O168" s="15" t="s">
        <v>905</v>
      </c>
      <c r="P168" s="19" t="s">
        <v>1886</v>
      </c>
    </row>
    <row r="169" spans="1:16" ht="15" hidden="1" customHeight="1" outlineLevel="1" x14ac:dyDescent="0.3">
      <c r="A169" s="13" t="s">
        <v>2144</v>
      </c>
      <c r="B169" s="15" t="s">
        <v>364</v>
      </c>
      <c r="C169" s="15" t="s">
        <v>1905</v>
      </c>
      <c r="D169" s="15" t="s">
        <v>892</v>
      </c>
      <c r="E169" s="20" t="s">
        <v>301</v>
      </c>
      <c r="F169" s="20" t="s">
        <v>357</v>
      </c>
      <c r="G169" s="15" t="s">
        <v>8</v>
      </c>
      <c r="H169" s="15" t="s">
        <v>929</v>
      </c>
      <c r="I169" s="15" t="e">
        <v>#N/A</v>
      </c>
      <c r="J169" s="17">
        <v>0.63300000000000001</v>
      </c>
      <c r="K169" s="15" t="str">
        <f t="shared" si="2"/>
        <v>HE22_HES Global VMAX</v>
      </c>
      <c r="L169" s="15"/>
      <c r="M169" s="15" t="s">
        <v>896</v>
      </c>
      <c r="N169" s="15">
        <v>14</v>
      </c>
      <c r="O169" s="15" t="s">
        <v>905</v>
      </c>
      <c r="P169" s="19" t="s">
        <v>1886</v>
      </c>
    </row>
    <row r="170" spans="1:16" ht="15" hidden="1" customHeight="1" outlineLevel="1" x14ac:dyDescent="0.3">
      <c r="A170" s="13" t="s">
        <v>2144</v>
      </c>
      <c r="B170" s="15" t="s">
        <v>391</v>
      </c>
      <c r="C170" s="15" t="s">
        <v>392</v>
      </c>
      <c r="D170" s="15" t="s">
        <v>892</v>
      </c>
      <c r="E170" s="20" t="s">
        <v>301</v>
      </c>
      <c r="F170" s="20" t="s">
        <v>1047</v>
      </c>
      <c r="G170" s="15" t="s">
        <v>8</v>
      </c>
      <c r="H170" s="15" t="s">
        <v>929</v>
      </c>
      <c r="I170" s="15" t="e">
        <v>#N/A</v>
      </c>
      <c r="J170" s="17">
        <v>0.63300000000000001</v>
      </c>
      <c r="K170" s="15" t="str">
        <f t="shared" si="2"/>
        <v>HE23_HES Global SymmSW</v>
      </c>
      <c r="L170" s="15"/>
      <c r="M170" s="15" t="s">
        <v>896</v>
      </c>
      <c r="N170" s="15">
        <v>14</v>
      </c>
      <c r="O170" s="15" t="s">
        <v>905</v>
      </c>
      <c r="P170" s="19" t="s">
        <v>1886</v>
      </c>
    </row>
    <row r="171" spans="1:16" ht="15" hidden="1" customHeight="1" outlineLevel="1" x14ac:dyDescent="0.3">
      <c r="A171" s="13" t="s">
        <v>2144</v>
      </c>
      <c r="B171" s="15" t="s">
        <v>408</v>
      </c>
      <c r="C171" s="15" t="s">
        <v>409</v>
      </c>
      <c r="D171" s="15" t="s">
        <v>892</v>
      </c>
      <c r="E171" s="20" t="s">
        <v>301</v>
      </c>
      <c r="F171" s="20" t="s">
        <v>403</v>
      </c>
      <c r="G171" s="15" t="s">
        <v>8</v>
      </c>
      <c r="H171" s="15" t="s">
        <v>929</v>
      </c>
      <c r="I171" s="15" t="e">
        <v>#N/A</v>
      </c>
      <c r="J171" s="17">
        <v>0.63300000000000001</v>
      </c>
      <c r="K171" s="15" t="str">
        <f t="shared" si="2"/>
        <v>HE24_HES Global Vplex</v>
      </c>
      <c r="L171" s="15"/>
      <c r="M171" s="15" t="s">
        <v>896</v>
      </c>
      <c r="N171" s="15">
        <v>14</v>
      </c>
      <c r="O171" s="15" t="s">
        <v>905</v>
      </c>
      <c r="P171" s="19" t="s">
        <v>1886</v>
      </c>
    </row>
    <row r="172" spans="1:16" ht="15" hidden="1" customHeight="1" outlineLevel="1" x14ac:dyDescent="0.3">
      <c r="A172" s="13" t="s">
        <v>2144</v>
      </c>
      <c r="B172" s="15" t="s">
        <v>355</v>
      </c>
      <c r="C172" s="15" t="s">
        <v>356</v>
      </c>
      <c r="D172" s="15" t="s">
        <v>892</v>
      </c>
      <c r="E172" s="20" t="s">
        <v>301</v>
      </c>
      <c r="F172" s="20" t="s">
        <v>352</v>
      </c>
      <c r="G172" s="15" t="s">
        <v>8</v>
      </c>
      <c r="H172" s="15" t="s">
        <v>929</v>
      </c>
      <c r="I172" s="15" t="e">
        <v>#N/A</v>
      </c>
      <c r="J172" s="17">
        <v>0.63300000000000001</v>
      </c>
      <c r="K172" s="15" t="str">
        <f t="shared" si="2"/>
        <v>HE25_HES Global Mainframe</v>
      </c>
      <c r="L172" s="15"/>
      <c r="M172" s="15" t="s">
        <v>896</v>
      </c>
      <c r="N172" s="15">
        <v>14</v>
      </c>
      <c r="O172" s="15" t="s">
        <v>905</v>
      </c>
      <c r="P172" s="19" t="s">
        <v>1886</v>
      </c>
    </row>
    <row r="173" spans="1:16" ht="15" hidden="1" customHeight="1" outlineLevel="1" x14ac:dyDescent="0.3">
      <c r="A173" s="13" t="s">
        <v>2144</v>
      </c>
      <c r="B173" s="15" t="s">
        <v>328</v>
      </c>
      <c r="C173" s="15" t="s">
        <v>329</v>
      </c>
      <c r="D173" s="15" t="s">
        <v>892</v>
      </c>
      <c r="E173" s="20" t="s">
        <v>301</v>
      </c>
      <c r="F173" s="20" t="s">
        <v>325</v>
      </c>
      <c r="G173" s="15" t="s">
        <v>8</v>
      </c>
      <c r="H173" s="15" t="s">
        <v>929</v>
      </c>
      <c r="I173" s="15" t="e">
        <v>#N/A</v>
      </c>
      <c r="J173" s="17">
        <v>0.63300000000000001</v>
      </c>
      <c r="K173" s="15" t="str">
        <f t="shared" si="2"/>
        <v>HE26_HES Global DLM</v>
      </c>
      <c r="L173" s="15"/>
      <c r="M173" s="15" t="s">
        <v>896</v>
      </c>
      <c r="N173" s="15">
        <v>14</v>
      </c>
      <c r="O173" s="15" t="s">
        <v>905</v>
      </c>
      <c r="P173" s="19" t="s">
        <v>1886</v>
      </c>
    </row>
    <row r="174" spans="1:16" ht="15" hidden="1" customHeight="1" outlineLevel="1" x14ac:dyDescent="0.3">
      <c r="A174" s="13" t="s">
        <v>2144</v>
      </c>
      <c r="B174" s="15" t="s">
        <v>422</v>
      </c>
      <c r="C174" s="15" t="s">
        <v>423</v>
      </c>
      <c r="D174" s="15" t="s">
        <v>892</v>
      </c>
      <c r="E174" s="20" t="s">
        <v>301</v>
      </c>
      <c r="F174" s="20" t="s">
        <v>419</v>
      </c>
      <c r="G174" s="15" t="s">
        <v>8</v>
      </c>
      <c r="H174" s="15" t="s">
        <v>929</v>
      </c>
      <c r="I174" s="15" t="e">
        <v>#N/A</v>
      </c>
      <c r="J174" s="17">
        <v>0.63300000000000001</v>
      </c>
      <c r="K174" s="15" t="str">
        <f t="shared" si="2"/>
        <v>HE28_HES Global XtremIO</v>
      </c>
      <c r="L174" s="15"/>
      <c r="M174" s="15" t="s">
        <v>896</v>
      </c>
      <c r="N174" s="15">
        <v>14</v>
      </c>
      <c r="O174" s="15" t="s">
        <v>905</v>
      </c>
      <c r="P174" s="19" t="s">
        <v>1886</v>
      </c>
    </row>
    <row r="175" spans="1:16" ht="15" hidden="1" customHeight="1" outlineLevel="1" x14ac:dyDescent="0.3">
      <c r="A175" s="13" t="s">
        <v>2144</v>
      </c>
      <c r="B175" s="15" t="s">
        <v>310</v>
      </c>
      <c r="C175" s="15" t="s">
        <v>311</v>
      </c>
      <c r="D175" s="15" t="s">
        <v>892</v>
      </c>
      <c r="E175" s="20" t="s">
        <v>301</v>
      </c>
      <c r="F175" s="20" t="s">
        <v>305</v>
      </c>
      <c r="G175" s="15" t="s">
        <v>8</v>
      </c>
      <c r="H175" s="15" t="s">
        <v>929</v>
      </c>
      <c r="I175" s="15" t="e">
        <v>#N/A</v>
      </c>
      <c r="J175" s="17">
        <v>0.63300000000000001</v>
      </c>
      <c r="K175" s="15" t="str">
        <f t="shared" si="2"/>
        <v>HE29_HES Global Connectivity</v>
      </c>
      <c r="L175" s="15"/>
      <c r="M175" s="15" t="s">
        <v>896</v>
      </c>
      <c r="N175" s="15">
        <v>14</v>
      </c>
      <c r="O175" s="15" t="s">
        <v>905</v>
      </c>
      <c r="P175" s="19" t="s">
        <v>1886</v>
      </c>
    </row>
    <row r="176" spans="1:16" ht="15" hidden="1" customHeight="1" outlineLevel="1" x14ac:dyDescent="0.3">
      <c r="A176" s="13" t="s">
        <v>2144</v>
      </c>
      <c r="B176" s="15" t="s">
        <v>227</v>
      </c>
      <c r="C176" s="15" t="s">
        <v>228</v>
      </c>
      <c r="D176" s="15" t="s">
        <v>892</v>
      </c>
      <c r="E176" s="20" t="s">
        <v>158</v>
      </c>
      <c r="F176" s="20" t="s">
        <v>224</v>
      </c>
      <c r="G176" s="15" t="s">
        <v>8</v>
      </c>
      <c r="H176" s="15" t="s">
        <v>929</v>
      </c>
      <c r="I176" s="15" t="e">
        <v>#N/A</v>
      </c>
      <c r="J176" s="17">
        <v>0.63300000000000001</v>
      </c>
      <c r="K176" s="15" t="str">
        <f t="shared" si="2"/>
        <v>HE30_HES Global Solutions</v>
      </c>
      <c r="L176" s="15"/>
      <c r="M176" s="15" t="s">
        <v>896</v>
      </c>
      <c r="N176" s="15">
        <v>14</v>
      </c>
      <c r="O176" s="15" t="s">
        <v>905</v>
      </c>
      <c r="P176" s="19" t="s">
        <v>1886</v>
      </c>
    </row>
    <row r="177" spans="1:16" ht="15" hidden="1" customHeight="1" outlineLevel="1" x14ac:dyDescent="0.3">
      <c r="A177" s="13" t="s">
        <v>2144</v>
      </c>
      <c r="B177" s="15" t="s">
        <v>783</v>
      </c>
      <c r="C177" s="15" t="s">
        <v>784</v>
      </c>
      <c r="D177" s="15" t="s">
        <v>892</v>
      </c>
      <c r="E177" s="15"/>
      <c r="F177" s="20" t="s">
        <v>782</v>
      </c>
      <c r="G177" s="15" t="s">
        <v>8</v>
      </c>
      <c r="H177" s="15" t="s">
        <v>929</v>
      </c>
      <c r="I177" s="15" t="e">
        <v>#N/A</v>
      </c>
      <c r="J177" s="17">
        <v>0.63300000000000001</v>
      </c>
      <c r="K177" s="15" t="str">
        <f t="shared" si="2"/>
        <v>HE32_HES Global SSG</v>
      </c>
      <c r="L177" s="15"/>
      <c r="M177" s="15" t="s">
        <v>896</v>
      </c>
      <c r="N177" s="15">
        <v>14</v>
      </c>
      <c r="O177" s="15" t="s">
        <v>905</v>
      </c>
      <c r="P177" s="19" t="s">
        <v>1886</v>
      </c>
    </row>
    <row r="178" spans="1:16" ht="15" hidden="1" customHeight="1" outlineLevel="1" x14ac:dyDescent="0.3">
      <c r="A178" s="13" t="s">
        <v>2144</v>
      </c>
      <c r="B178" s="15" t="s">
        <v>50</v>
      </c>
      <c r="C178" s="15" t="s">
        <v>51</v>
      </c>
      <c r="D178" s="15" t="s">
        <v>892</v>
      </c>
      <c r="E178" s="20" t="s">
        <v>44</v>
      </c>
      <c r="F178" s="20" t="s">
        <v>45</v>
      </c>
      <c r="G178" s="15" t="s">
        <v>8</v>
      </c>
      <c r="H178" s="15" t="s">
        <v>929</v>
      </c>
      <c r="I178" s="15" t="e">
        <v>#N/A</v>
      </c>
      <c r="J178" s="17">
        <v>0.63300000000000001</v>
      </c>
      <c r="K178" s="15" t="str">
        <f t="shared" si="2"/>
        <v>HE36_HES Global AVAMAR</v>
      </c>
      <c r="L178" s="15"/>
      <c r="M178" s="15" t="s">
        <v>896</v>
      </c>
      <c r="N178" s="15">
        <v>14</v>
      </c>
      <c r="O178" s="15" t="s">
        <v>905</v>
      </c>
      <c r="P178" s="19" t="s">
        <v>1886</v>
      </c>
    </row>
    <row r="179" spans="1:16" ht="15" hidden="1" customHeight="1" outlineLevel="1" x14ac:dyDescent="0.3">
      <c r="A179" s="13" t="s">
        <v>2144</v>
      </c>
      <c r="B179" s="15" t="s">
        <v>114</v>
      </c>
      <c r="C179" s="15" t="s">
        <v>115</v>
      </c>
      <c r="D179" s="15" t="s">
        <v>892</v>
      </c>
      <c r="E179" s="20" t="s">
        <v>44</v>
      </c>
      <c r="F179" s="20" t="s">
        <v>109</v>
      </c>
      <c r="G179" s="15" t="s">
        <v>8</v>
      </c>
      <c r="H179" s="15" t="s">
        <v>929</v>
      </c>
      <c r="I179" s="15" t="e">
        <v>#N/A</v>
      </c>
      <c r="J179" s="17">
        <v>0.63300000000000001</v>
      </c>
      <c r="K179" s="15" t="str">
        <f t="shared" si="2"/>
        <v>HE37_HES Global Networker</v>
      </c>
      <c r="L179" s="15"/>
      <c r="M179" s="15" t="s">
        <v>896</v>
      </c>
      <c r="N179" s="15">
        <v>14</v>
      </c>
      <c r="O179" s="15" t="s">
        <v>905</v>
      </c>
      <c r="P179" s="19" t="s">
        <v>1886</v>
      </c>
    </row>
    <row r="180" spans="1:16" ht="15" hidden="1" customHeight="1" outlineLevel="1" x14ac:dyDescent="0.3">
      <c r="A180" s="13" t="s">
        <v>2144</v>
      </c>
      <c r="B180" s="15" t="s">
        <v>76</v>
      </c>
      <c r="C180" s="15" t="s">
        <v>77</v>
      </c>
      <c r="D180" s="15" t="s">
        <v>892</v>
      </c>
      <c r="E180" s="20" t="s">
        <v>44</v>
      </c>
      <c r="F180" s="20" t="s">
        <v>71</v>
      </c>
      <c r="G180" s="15" t="s">
        <v>8</v>
      </c>
      <c r="H180" s="15" t="s">
        <v>929</v>
      </c>
      <c r="I180" s="15" t="e">
        <v>#N/A</v>
      </c>
      <c r="J180" s="17">
        <v>0.63300000000000001</v>
      </c>
      <c r="K180" s="15" t="str">
        <f t="shared" si="2"/>
        <v>HE38_HES Global DATADomain</v>
      </c>
      <c r="L180" s="15"/>
      <c r="M180" s="15" t="s">
        <v>896</v>
      </c>
      <c r="N180" s="15">
        <v>14</v>
      </c>
      <c r="O180" s="15" t="s">
        <v>905</v>
      </c>
      <c r="P180" s="19" t="s">
        <v>1886</v>
      </c>
    </row>
    <row r="181" spans="1:16" ht="15" hidden="1" customHeight="1" outlineLevel="1" x14ac:dyDescent="0.3">
      <c r="A181" s="13" t="s">
        <v>2144</v>
      </c>
      <c r="B181" s="15" t="s">
        <v>140</v>
      </c>
      <c r="C181" s="15" t="s">
        <v>141</v>
      </c>
      <c r="D181" s="15" t="s">
        <v>892</v>
      </c>
      <c r="E181" s="20" t="s">
        <v>44</v>
      </c>
      <c r="F181" s="20" t="s">
        <v>137</v>
      </c>
      <c r="G181" s="15" t="s">
        <v>8</v>
      </c>
      <c r="H181" s="15" t="s">
        <v>929</v>
      </c>
      <c r="I181" s="15" t="e">
        <v>#N/A</v>
      </c>
      <c r="J181" s="17">
        <v>0.63300000000000001</v>
      </c>
      <c r="K181" s="15" t="str">
        <f t="shared" si="2"/>
        <v>HE39_HES Global RecoverPoint</v>
      </c>
      <c r="L181" s="15"/>
      <c r="M181" s="15" t="s">
        <v>896</v>
      </c>
      <c r="N181" s="15">
        <v>14</v>
      </c>
      <c r="O181" s="15" t="s">
        <v>905</v>
      </c>
      <c r="P181" s="19" t="s">
        <v>1886</v>
      </c>
    </row>
    <row r="182" spans="1:16" ht="15" hidden="1" customHeight="1" outlineLevel="1" x14ac:dyDescent="0.3">
      <c r="A182" s="13" t="s">
        <v>2144</v>
      </c>
      <c r="B182" s="15" t="s">
        <v>330</v>
      </c>
      <c r="C182" s="15" t="s">
        <v>331</v>
      </c>
      <c r="D182" s="15" t="s">
        <v>892</v>
      </c>
      <c r="E182" s="20" t="s">
        <v>301</v>
      </c>
      <c r="F182" s="20" t="s">
        <v>99</v>
      </c>
      <c r="G182" s="15" t="s">
        <v>8</v>
      </c>
      <c r="H182" s="15" t="s">
        <v>929</v>
      </c>
      <c r="I182" s="15" t="e">
        <v>#N/A</v>
      </c>
      <c r="J182" s="17">
        <v>0.63300000000000001</v>
      </c>
      <c r="K182" s="15" t="str">
        <f t="shared" si="2"/>
        <v>HE40_HES Global DPADSRT</v>
      </c>
      <c r="L182" s="15"/>
      <c r="M182" s="15" t="s">
        <v>896</v>
      </c>
      <c r="N182" s="15">
        <v>14</v>
      </c>
      <c r="O182" s="15" t="s">
        <v>905</v>
      </c>
      <c r="P182" s="19" t="s">
        <v>1886</v>
      </c>
    </row>
    <row r="183" spans="1:16" ht="15" hidden="1" customHeight="1" outlineLevel="1" x14ac:dyDescent="0.3">
      <c r="A183" s="13" t="s">
        <v>2144</v>
      </c>
      <c r="B183" s="15" t="s">
        <v>332</v>
      </c>
      <c r="C183" s="15" t="s">
        <v>333</v>
      </c>
      <c r="D183" s="15" t="s">
        <v>892</v>
      </c>
      <c r="E183" s="20" t="s">
        <v>301</v>
      </c>
      <c r="F183" s="20" t="s">
        <v>102</v>
      </c>
      <c r="G183" s="15" t="s">
        <v>8</v>
      </c>
      <c r="H183" s="15" t="s">
        <v>929</v>
      </c>
      <c r="I183" s="15" t="e">
        <v>#N/A</v>
      </c>
      <c r="J183" s="17">
        <v>0.63300000000000001</v>
      </c>
      <c r="K183" s="15" t="str">
        <f t="shared" si="2"/>
        <v>HE41_HES Global DPSolutions</v>
      </c>
      <c r="L183" s="15"/>
      <c r="M183" s="15" t="s">
        <v>896</v>
      </c>
      <c r="N183" s="15">
        <v>14</v>
      </c>
      <c r="O183" s="15" t="s">
        <v>905</v>
      </c>
      <c r="P183" s="19" t="s">
        <v>1886</v>
      </c>
    </row>
    <row r="184" spans="1:16" ht="15" hidden="1" customHeight="1" outlineLevel="1" x14ac:dyDescent="0.3">
      <c r="A184" s="13" t="s">
        <v>2144</v>
      </c>
      <c r="B184" s="15" t="s">
        <v>95</v>
      </c>
      <c r="C184" s="15" t="s">
        <v>96</v>
      </c>
      <c r="D184" s="15" t="s">
        <v>892</v>
      </c>
      <c r="E184" s="20" t="s">
        <v>44</v>
      </c>
      <c r="F184" s="20" t="s">
        <v>92</v>
      </c>
      <c r="G184" s="15" t="s">
        <v>8</v>
      </c>
      <c r="H184" s="15" t="s">
        <v>929</v>
      </c>
      <c r="I184" s="15" t="e">
        <v>#N/A</v>
      </c>
      <c r="J184" s="17">
        <v>0.63300000000000001</v>
      </c>
      <c r="K184" s="15" t="str">
        <f t="shared" si="2"/>
        <v>HE42_HES Global DPA</v>
      </c>
      <c r="L184" s="15"/>
      <c r="M184" s="15" t="s">
        <v>896</v>
      </c>
      <c r="N184" s="15">
        <v>14</v>
      </c>
      <c r="O184" s="15" t="s">
        <v>905</v>
      </c>
      <c r="P184" s="19" t="s">
        <v>1886</v>
      </c>
    </row>
    <row r="185" spans="1:16" ht="15" hidden="1" customHeight="1" outlineLevel="1" x14ac:dyDescent="0.3">
      <c r="A185" s="13" t="s">
        <v>2144</v>
      </c>
      <c r="B185" s="15" t="s">
        <v>145</v>
      </c>
      <c r="C185" s="15" t="s">
        <v>146</v>
      </c>
      <c r="D185" s="15" t="s">
        <v>892</v>
      </c>
      <c r="E185" s="20" t="s">
        <v>44</v>
      </c>
      <c r="F185" s="20" t="s">
        <v>142</v>
      </c>
      <c r="G185" s="15" t="s">
        <v>8</v>
      </c>
      <c r="H185" s="15" t="s">
        <v>929</v>
      </c>
      <c r="I185" s="15" t="e">
        <v>#N/A</v>
      </c>
      <c r="J185" s="17">
        <v>0.63300000000000001</v>
      </c>
      <c r="K185" s="15" t="str">
        <f t="shared" si="2"/>
        <v>HE43_HES Global SOURCEONE</v>
      </c>
      <c r="L185" s="15"/>
      <c r="M185" s="15" t="s">
        <v>896</v>
      </c>
      <c r="N185" s="15">
        <v>14</v>
      </c>
      <c r="O185" s="15" t="s">
        <v>905</v>
      </c>
      <c r="P185" s="19" t="s">
        <v>1886</v>
      </c>
    </row>
    <row r="186" spans="1:16" ht="15" hidden="1" customHeight="1" outlineLevel="1" x14ac:dyDescent="0.3">
      <c r="A186" s="13" t="s">
        <v>2144</v>
      </c>
      <c r="B186" s="15" t="s">
        <v>69</v>
      </c>
      <c r="C186" s="15" t="s">
        <v>70</v>
      </c>
      <c r="D186" s="15" t="s">
        <v>892</v>
      </c>
      <c r="E186" s="20" t="s">
        <v>44</v>
      </c>
      <c r="F186" s="20" t="s">
        <v>66</v>
      </c>
      <c r="G186" s="15" t="s">
        <v>8</v>
      </c>
      <c r="H186" s="15" t="s">
        <v>929</v>
      </c>
      <c r="I186" s="15" t="e">
        <v>#N/A</v>
      </c>
      <c r="J186" s="17">
        <v>0.63300000000000001</v>
      </c>
      <c r="K186" s="15" t="str">
        <f t="shared" si="2"/>
        <v>HE44_HES Global Cloudboost</v>
      </c>
      <c r="L186" s="15"/>
      <c r="M186" s="15" t="s">
        <v>896</v>
      </c>
      <c r="N186" s="15">
        <v>14</v>
      </c>
      <c r="O186" s="15" t="s">
        <v>905</v>
      </c>
      <c r="P186" s="19" t="s">
        <v>1886</v>
      </c>
    </row>
    <row r="187" spans="1:16" ht="15" hidden="1" customHeight="1" outlineLevel="1" x14ac:dyDescent="0.3">
      <c r="A187" s="13" t="s">
        <v>2144</v>
      </c>
      <c r="B187" s="15" t="s">
        <v>684</v>
      </c>
      <c r="C187" s="15" t="s">
        <v>1906</v>
      </c>
      <c r="D187" s="15" t="s">
        <v>892</v>
      </c>
      <c r="E187" s="20" t="s">
        <v>672</v>
      </c>
      <c r="F187" s="20" t="s">
        <v>673</v>
      </c>
      <c r="G187" s="15" t="s">
        <v>8</v>
      </c>
      <c r="H187" s="15" t="s">
        <v>929</v>
      </c>
      <c r="I187" s="15" t="e">
        <v>#N/A</v>
      </c>
      <c r="J187" s="17">
        <v>0.63300000000000001</v>
      </c>
      <c r="K187" s="15" t="str">
        <f t="shared" si="2"/>
        <v>HE47_HES Global PowerScale</v>
      </c>
      <c r="L187" s="15"/>
      <c r="M187" s="15" t="s">
        <v>896</v>
      </c>
      <c r="N187" s="15">
        <v>14</v>
      </c>
      <c r="O187" s="15" t="s">
        <v>905</v>
      </c>
      <c r="P187" s="19" t="s">
        <v>1886</v>
      </c>
    </row>
    <row r="188" spans="1:16" ht="15" hidden="1" customHeight="1" outlineLevel="1" x14ac:dyDescent="0.3">
      <c r="A188" s="13" t="s">
        <v>2144</v>
      </c>
      <c r="B188" s="15" t="s">
        <v>705</v>
      </c>
      <c r="C188" s="15" t="s">
        <v>706</v>
      </c>
      <c r="D188" s="15" t="s">
        <v>892</v>
      </c>
      <c r="E188" s="20" t="s">
        <v>672</v>
      </c>
      <c r="F188" s="20" t="s">
        <v>702</v>
      </c>
      <c r="G188" s="15" t="s">
        <v>8</v>
      </c>
      <c r="H188" s="15" t="s">
        <v>929</v>
      </c>
      <c r="I188" s="15" t="e">
        <v>#N/A</v>
      </c>
      <c r="J188" s="17">
        <v>0.63300000000000001</v>
      </c>
      <c r="K188" s="15" t="str">
        <f t="shared" si="2"/>
        <v>HE48_HES Global OBJ</v>
      </c>
      <c r="L188" s="15"/>
      <c r="M188" s="15" t="s">
        <v>896</v>
      </c>
      <c r="N188" s="15">
        <v>14</v>
      </c>
      <c r="O188" s="15" t="s">
        <v>905</v>
      </c>
      <c r="P188" s="19" t="s">
        <v>1886</v>
      </c>
    </row>
    <row r="189" spans="1:16" ht="15" hidden="1" customHeight="1" outlineLevel="1" x14ac:dyDescent="0.3">
      <c r="A189" s="13" t="s">
        <v>2144</v>
      </c>
      <c r="B189" s="15" t="s">
        <v>156</v>
      </c>
      <c r="C189" s="15" t="s">
        <v>157</v>
      </c>
      <c r="D189" s="15" t="s">
        <v>892</v>
      </c>
      <c r="E189" s="15" t="s">
        <v>152</v>
      </c>
      <c r="F189" s="15" t="s">
        <v>153</v>
      </c>
      <c r="G189" s="15" t="s">
        <v>8</v>
      </c>
      <c r="H189" s="15" t="s">
        <v>929</v>
      </c>
      <c r="I189" s="15" t="s">
        <v>979</v>
      </c>
      <c r="J189" s="17">
        <v>0.63300000000000001</v>
      </c>
      <c r="K189" s="15" t="str">
        <f t="shared" si="2"/>
        <v>HE53_HES Global E2E CONNECTIVITY</v>
      </c>
      <c r="L189" s="15"/>
      <c r="M189" s="15" t="s">
        <v>896</v>
      </c>
      <c r="N189" s="15">
        <v>14</v>
      </c>
      <c r="O189" s="15" t="s">
        <v>905</v>
      </c>
      <c r="P189" s="19" t="s">
        <v>1886</v>
      </c>
    </row>
    <row r="190" spans="1:16" ht="15" hidden="1" customHeight="1" outlineLevel="1" x14ac:dyDescent="0.3">
      <c r="A190" s="13" t="s">
        <v>2144</v>
      </c>
      <c r="B190" s="15" t="s">
        <v>188</v>
      </c>
      <c r="C190" s="15" t="s">
        <v>189</v>
      </c>
      <c r="D190" s="15" t="s">
        <v>892</v>
      </c>
      <c r="E190" s="20" t="s">
        <v>158</v>
      </c>
      <c r="F190" s="20" t="s">
        <v>173</v>
      </c>
      <c r="G190" s="15" t="s">
        <v>8</v>
      </c>
      <c r="H190" s="15" t="s">
        <v>912</v>
      </c>
      <c r="I190" s="15" t="e">
        <v>#N/A</v>
      </c>
      <c r="J190" s="17">
        <v>0.61699999999999999</v>
      </c>
      <c r="K190" s="15" t="str">
        <f t="shared" si="2"/>
        <v>HE58_German VXRail</v>
      </c>
      <c r="L190" s="15"/>
      <c r="M190" s="15" t="s">
        <v>896</v>
      </c>
      <c r="N190" s="15">
        <v>14</v>
      </c>
      <c r="O190" s="15" t="s">
        <v>905</v>
      </c>
      <c r="P190" s="19" t="s">
        <v>1886</v>
      </c>
    </row>
    <row r="191" spans="1:16" ht="13" hidden="1" outlineLevel="1" x14ac:dyDescent="0.3">
      <c r="A191" s="13" t="s">
        <v>2144</v>
      </c>
      <c r="B191" s="15" t="s">
        <v>238</v>
      </c>
      <c r="C191" s="15" t="s">
        <v>239</v>
      </c>
      <c r="D191" s="15" t="s">
        <v>892</v>
      </c>
      <c r="E191" s="20" t="s">
        <v>229</v>
      </c>
      <c r="F191" s="20" t="s">
        <v>229</v>
      </c>
      <c r="G191" s="15" t="s">
        <v>8</v>
      </c>
      <c r="H191" s="15" t="s">
        <v>912</v>
      </c>
      <c r="I191" s="15" t="e">
        <v>#N/A</v>
      </c>
      <c r="J191" s="17">
        <v>0.61699999999999999</v>
      </c>
      <c r="K191" s="15" t="str">
        <f t="shared" si="2"/>
        <v>HE59_German Midrange</v>
      </c>
      <c r="L191" s="15"/>
      <c r="M191" s="15" t="s">
        <v>896</v>
      </c>
      <c r="N191" s="15">
        <v>14</v>
      </c>
      <c r="O191" s="15" t="s">
        <v>905</v>
      </c>
      <c r="P191" s="19" t="s">
        <v>1886</v>
      </c>
    </row>
    <row r="192" spans="1:16" ht="13" hidden="1" outlineLevel="1" x14ac:dyDescent="0.3">
      <c r="A192" s="13" t="s">
        <v>2144</v>
      </c>
      <c r="B192" s="15" t="s">
        <v>190</v>
      </c>
      <c r="C192" s="15" t="s">
        <v>191</v>
      </c>
      <c r="D192" s="15" t="s">
        <v>892</v>
      </c>
      <c r="E192" s="20" t="s">
        <v>158</v>
      </c>
      <c r="F192" s="20" t="s">
        <v>173</v>
      </c>
      <c r="G192" s="15" t="s">
        <v>8</v>
      </c>
      <c r="H192" s="15" t="s">
        <v>912</v>
      </c>
      <c r="I192" s="15" t="e">
        <v>#N/A</v>
      </c>
      <c r="J192" s="17">
        <v>0.61699999999999999</v>
      </c>
      <c r="K192" s="15" t="str">
        <f t="shared" si="2"/>
        <v>HE61_French VXRail</v>
      </c>
      <c r="L192" s="15"/>
      <c r="M192" s="15" t="s">
        <v>896</v>
      </c>
      <c r="N192" s="15">
        <v>14</v>
      </c>
      <c r="O192" s="15" t="s">
        <v>905</v>
      </c>
      <c r="P192" s="19" t="s">
        <v>1886</v>
      </c>
    </row>
    <row r="193" spans="1:16" ht="15" hidden="1" customHeight="1" outlineLevel="1" x14ac:dyDescent="0.3">
      <c r="A193" s="13" t="s">
        <v>2144</v>
      </c>
      <c r="B193" s="15" t="s">
        <v>240</v>
      </c>
      <c r="C193" s="15" t="s">
        <v>241</v>
      </c>
      <c r="D193" s="15" t="s">
        <v>892</v>
      </c>
      <c r="E193" s="20" t="s">
        <v>229</v>
      </c>
      <c r="F193" s="20" t="s">
        <v>229</v>
      </c>
      <c r="G193" s="15" t="s">
        <v>8</v>
      </c>
      <c r="H193" s="15" t="s">
        <v>912</v>
      </c>
      <c r="I193" s="15" t="e">
        <v>#N/A</v>
      </c>
      <c r="J193" s="17">
        <v>0.61699999999999999</v>
      </c>
      <c r="K193" s="15" t="str">
        <f t="shared" si="2"/>
        <v>HE62_French Midrange</v>
      </c>
      <c r="L193" s="15"/>
      <c r="M193" s="15" t="s">
        <v>896</v>
      </c>
      <c r="N193" s="15">
        <v>14</v>
      </c>
      <c r="O193" s="15" t="s">
        <v>905</v>
      </c>
      <c r="P193" s="19" t="s">
        <v>1886</v>
      </c>
    </row>
    <row r="194" spans="1:16" ht="13" hidden="1" outlineLevel="1" x14ac:dyDescent="0.3">
      <c r="A194" s="13" t="s">
        <v>2144</v>
      </c>
      <c r="B194" s="15" t="s">
        <v>192</v>
      </c>
      <c r="C194" s="15" t="s">
        <v>193</v>
      </c>
      <c r="D194" s="15" t="s">
        <v>892</v>
      </c>
      <c r="E194" s="20" t="s">
        <v>158</v>
      </c>
      <c r="F194" s="20" t="s">
        <v>173</v>
      </c>
      <c r="G194" s="15" t="s">
        <v>8</v>
      </c>
      <c r="H194" s="15" t="s">
        <v>912</v>
      </c>
      <c r="I194" s="15" t="e">
        <v>#N/A</v>
      </c>
      <c r="J194" s="17">
        <v>0.61699999999999999</v>
      </c>
      <c r="K194" s="15" t="str">
        <f t="shared" ref="K194:K257" si="3">B194&amp;"_"&amp;C194</f>
        <v>HE63_UKI VXRail</v>
      </c>
      <c r="L194" s="15"/>
      <c r="M194" s="15" t="s">
        <v>896</v>
      </c>
      <c r="N194" s="15">
        <v>14</v>
      </c>
      <c r="O194" s="15" t="s">
        <v>905</v>
      </c>
      <c r="P194" s="19" t="s">
        <v>1886</v>
      </c>
    </row>
    <row r="195" spans="1:16" ht="15" hidden="1" customHeight="1" outlineLevel="1" x14ac:dyDescent="0.3">
      <c r="A195" s="13" t="s">
        <v>2144</v>
      </c>
      <c r="B195" s="15" t="s">
        <v>242</v>
      </c>
      <c r="C195" s="15" t="s">
        <v>243</v>
      </c>
      <c r="D195" s="15" t="s">
        <v>892</v>
      </c>
      <c r="E195" s="20" t="s">
        <v>229</v>
      </c>
      <c r="F195" s="20" t="s">
        <v>229</v>
      </c>
      <c r="G195" s="15" t="s">
        <v>8</v>
      </c>
      <c r="H195" s="15" t="s">
        <v>912</v>
      </c>
      <c r="I195" s="15" t="e">
        <v>#N/A</v>
      </c>
      <c r="J195" s="17">
        <v>0.61699999999999999</v>
      </c>
      <c r="K195" s="15" t="str">
        <f t="shared" si="3"/>
        <v>HE64_UKI Midrange</v>
      </c>
      <c r="L195" s="15"/>
      <c r="M195" s="15" t="s">
        <v>896</v>
      </c>
      <c r="N195" s="15">
        <v>14</v>
      </c>
      <c r="O195" s="15" t="s">
        <v>905</v>
      </c>
      <c r="P195" s="19" t="s">
        <v>1886</v>
      </c>
    </row>
    <row r="196" spans="1:16" ht="13" hidden="1" outlineLevel="1" x14ac:dyDescent="0.3">
      <c r="A196" s="13" t="s">
        <v>2144</v>
      </c>
      <c r="B196" s="15" t="s">
        <v>244</v>
      </c>
      <c r="C196" s="15" t="s">
        <v>245</v>
      </c>
      <c r="D196" s="15" t="s">
        <v>892</v>
      </c>
      <c r="E196" s="20" t="s">
        <v>229</v>
      </c>
      <c r="F196" s="20" t="s">
        <v>229</v>
      </c>
      <c r="G196" s="15" t="s">
        <v>8</v>
      </c>
      <c r="H196" s="15" t="s">
        <v>912</v>
      </c>
      <c r="I196" s="15" t="e">
        <v>#N/A</v>
      </c>
      <c r="J196" s="17">
        <v>0.61699999999999999</v>
      </c>
      <c r="K196" s="15" t="str">
        <f t="shared" si="3"/>
        <v>HE66_Italian Midrange</v>
      </c>
      <c r="L196" s="15"/>
      <c r="M196" s="15" t="s">
        <v>896</v>
      </c>
      <c r="N196" s="15">
        <v>14</v>
      </c>
      <c r="O196" s="15" t="s">
        <v>905</v>
      </c>
      <c r="P196" s="19" t="s">
        <v>1886</v>
      </c>
    </row>
    <row r="197" spans="1:16" ht="15" hidden="1" customHeight="1" outlineLevel="1" x14ac:dyDescent="0.3">
      <c r="A197" s="13" t="s">
        <v>2144</v>
      </c>
      <c r="B197" s="15" t="s">
        <v>194</v>
      </c>
      <c r="C197" s="15" t="s">
        <v>195</v>
      </c>
      <c r="D197" s="15" t="s">
        <v>892</v>
      </c>
      <c r="E197" s="20" t="s">
        <v>158</v>
      </c>
      <c r="F197" s="20" t="s">
        <v>173</v>
      </c>
      <c r="G197" s="15" t="s">
        <v>8</v>
      </c>
      <c r="H197" s="15" t="s">
        <v>912</v>
      </c>
      <c r="I197" s="15" t="e">
        <v>#N/A</v>
      </c>
      <c r="J197" s="17">
        <v>0.61699999999999999</v>
      </c>
      <c r="K197" s="15" t="str">
        <f t="shared" si="3"/>
        <v>HE67_Spanish VxRail</v>
      </c>
      <c r="L197" s="15"/>
      <c r="M197" s="15" t="s">
        <v>896</v>
      </c>
      <c r="N197" s="15">
        <v>14</v>
      </c>
      <c r="O197" s="15" t="s">
        <v>905</v>
      </c>
      <c r="P197" s="19" t="s">
        <v>1886</v>
      </c>
    </row>
    <row r="198" spans="1:16" ht="15" hidden="1" customHeight="1" outlineLevel="1" x14ac:dyDescent="0.3">
      <c r="A198" s="13" t="s">
        <v>2144</v>
      </c>
      <c r="B198" s="15" t="s">
        <v>246</v>
      </c>
      <c r="C198" s="15" t="s">
        <v>247</v>
      </c>
      <c r="D198" s="15" t="s">
        <v>892</v>
      </c>
      <c r="E198" s="20" t="s">
        <v>229</v>
      </c>
      <c r="F198" s="20" t="s">
        <v>229</v>
      </c>
      <c r="G198" s="15" t="s">
        <v>8</v>
      </c>
      <c r="H198" s="15" t="s">
        <v>912</v>
      </c>
      <c r="I198" s="15" t="e">
        <v>#N/A</v>
      </c>
      <c r="J198" s="17">
        <v>0.61699999999999999</v>
      </c>
      <c r="K198" s="15" t="str">
        <f t="shared" si="3"/>
        <v>HE68_Spanish Midrange</v>
      </c>
      <c r="L198" s="15"/>
      <c r="M198" s="15" t="s">
        <v>896</v>
      </c>
      <c r="N198" s="15">
        <v>14</v>
      </c>
      <c r="O198" s="15" t="s">
        <v>905</v>
      </c>
      <c r="P198" s="19" t="s">
        <v>1886</v>
      </c>
    </row>
    <row r="199" spans="1:16" ht="15" hidden="1" customHeight="1" outlineLevel="1" x14ac:dyDescent="0.3">
      <c r="A199" s="13" t="s">
        <v>2144</v>
      </c>
      <c r="B199" s="15" t="s">
        <v>248</v>
      </c>
      <c r="C199" s="15" t="s">
        <v>249</v>
      </c>
      <c r="D199" s="15" t="s">
        <v>892</v>
      </c>
      <c r="E199" s="20" t="s">
        <v>229</v>
      </c>
      <c r="F199" s="20" t="s">
        <v>229</v>
      </c>
      <c r="G199" s="15" t="s">
        <v>8</v>
      </c>
      <c r="H199" s="15" t="s">
        <v>903</v>
      </c>
      <c r="I199" s="15" t="e">
        <v>#N/A</v>
      </c>
      <c r="J199" s="17">
        <v>0.629</v>
      </c>
      <c r="K199" s="15" t="str">
        <f t="shared" si="3"/>
        <v>HE70_APJ English Midrange</v>
      </c>
      <c r="L199" s="15"/>
      <c r="M199" s="15" t="s">
        <v>896</v>
      </c>
      <c r="N199" s="15"/>
      <c r="O199" s="15" t="s">
        <v>905</v>
      </c>
      <c r="P199" s="19" t="s">
        <v>1886</v>
      </c>
    </row>
    <row r="200" spans="1:16" ht="15" hidden="1" customHeight="1" outlineLevel="1" x14ac:dyDescent="0.3">
      <c r="A200" s="13" t="s">
        <v>2144</v>
      </c>
      <c r="B200" s="15" t="s">
        <v>196</v>
      </c>
      <c r="C200" s="15" t="s">
        <v>197</v>
      </c>
      <c r="D200" s="15" t="s">
        <v>892</v>
      </c>
      <c r="E200" s="20" t="s">
        <v>158</v>
      </c>
      <c r="F200" s="20" t="s">
        <v>173</v>
      </c>
      <c r="G200" s="15" t="s">
        <v>8</v>
      </c>
      <c r="H200" s="15" t="s">
        <v>903</v>
      </c>
      <c r="I200" s="15" t="e">
        <v>#N/A</v>
      </c>
      <c r="J200" s="17">
        <v>0.629</v>
      </c>
      <c r="K200" s="15" t="str">
        <f t="shared" si="3"/>
        <v>HE71_APJ English VxRail</v>
      </c>
      <c r="L200" s="15"/>
      <c r="M200" s="15" t="s">
        <v>896</v>
      </c>
      <c r="N200" s="15"/>
      <c r="O200" s="15" t="s">
        <v>905</v>
      </c>
      <c r="P200" s="19" t="s">
        <v>1886</v>
      </c>
    </row>
    <row r="201" spans="1:16" ht="15" hidden="1" customHeight="1" outlineLevel="1" x14ac:dyDescent="0.3">
      <c r="A201" s="13" t="s">
        <v>2144</v>
      </c>
      <c r="B201" s="15" t="s">
        <v>250</v>
      </c>
      <c r="C201" s="15" t="s">
        <v>251</v>
      </c>
      <c r="D201" s="15" t="s">
        <v>892</v>
      </c>
      <c r="E201" s="20" t="s">
        <v>229</v>
      </c>
      <c r="F201" s="20" t="s">
        <v>229</v>
      </c>
      <c r="G201" s="15" t="s">
        <v>8</v>
      </c>
      <c r="H201" s="15" t="s">
        <v>893</v>
      </c>
      <c r="I201" s="15" t="e">
        <v>#N/A</v>
      </c>
      <c r="J201" s="17">
        <v>0.64800000000000002</v>
      </c>
      <c r="K201" s="15" t="str">
        <f t="shared" si="3"/>
        <v>HE74_WIPRO AMER Midrange</v>
      </c>
      <c r="L201" s="15"/>
      <c r="M201" s="15" t="s">
        <v>896</v>
      </c>
      <c r="N201" s="15">
        <v>14</v>
      </c>
      <c r="O201" s="15" t="s">
        <v>905</v>
      </c>
      <c r="P201" s="19" t="s">
        <v>1886</v>
      </c>
    </row>
    <row r="202" spans="1:16" ht="15" hidden="1" customHeight="1" outlineLevel="1" x14ac:dyDescent="0.3">
      <c r="A202" s="13" t="s">
        <v>2144</v>
      </c>
      <c r="B202" s="15" t="s">
        <v>686</v>
      </c>
      <c r="C202" s="15" t="s">
        <v>1907</v>
      </c>
      <c r="D202" s="15" t="s">
        <v>892</v>
      </c>
      <c r="E202" s="20" t="s">
        <v>672</v>
      </c>
      <c r="F202" s="20" t="s">
        <v>673</v>
      </c>
      <c r="G202" s="15" t="s">
        <v>8</v>
      </c>
      <c r="H202" s="15" t="s">
        <v>893</v>
      </c>
      <c r="I202" s="15" t="e">
        <v>#N/A</v>
      </c>
      <c r="J202" s="17">
        <v>0.64800000000000002</v>
      </c>
      <c r="K202" s="15" t="str">
        <f t="shared" si="3"/>
        <v>HE78_NA PowerScale HE Storage Voice</v>
      </c>
      <c r="L202" s="15"/>
      <c r="M202" s="15" t="s">
        <v>896</v>
      </c>
      <c r="N202" s="15">
        <v>14</v>
      </c>
      <c r="O202" s="15" t="s">
        <v>905</v>
      </c>
      <c r="P202" s="19" t="s">
        <v>1886</v>
      </c>
    </row>
    <row r="203" spans="1:16" ht="15" hidden="1" customHeight="1" outlineLevel="1" x14ac:dyDescent="0.3">
      <c r="A203" s="13" t="s">
        <v>2144</v>
      </c>
      <c r="B203" s="15" t="s">
        <v>366</v>
      </c>
      <c r="C203" s="15" t="s">
        <v>367</v>
      </c>
      <c r="D203" s="15" t="s">
        <v>892</v>
      </c>
      <c r="E203" s="20" t="s">
        <v>301</v>
      </c>
      <c r="F203" s="20" t="s">
        <v>357</v>
      </c>
      <c r="G203" s="15" t="s">
        <v>8</v>
      </c>
      <c r="H203" s="15" t="s">
        <v>912</v>
      </c>
      <c r="I203" s="15" t="e">
        <v>#N/A</v>
      </c>
      <c r="J203" s="17">
        <v>0.61699999999999999</v>
      </c>
      <c r="K203" s="15" t="str">
        <f t="shared" si="3"/>
        <v>HE81_EMEA English VMAX</v>
      </c>
      <c r="L203" s="15"/>
      <c r="M203" s="15" t="s">
        <v>896</v>
      </c>
      <c r="N203" s="15">
        <v>14</v>
      </c>
      <c r="O203" s="15" t="s">
        <v>905</v>
      </c>
      <c r="P203" s="19" t="s">
        <v>1886</v>
      </c>
    </row>
    <row r="204" spans="1:16" ht="15" hidden="1" customHeight="1" outlineLevel="1" x14ac:dyDescent="0.3">
      <c r="A204" s="13" t="s">
        <v>2144</v>
      </c>
      <c r="B204" s="15" t="s">
        <v>368</v>
      </c>
      <c r="C204" s="15" t="s">
        <v>369</v>
      </c>
      <c r="D204" s="15" t="s">
        <v>892</v>
      </c>
      <c r="E204" s="20" t="s">
        <v>301</v>
      </c>
      <c r="F204" s="20" t="s">
        <v>357</v>
      </c>
      <c r="G204" s="15" t="s">
        <v>8</v>
      </c>
      <c r="H204" s="15" t="s">
        <v>893</v>
      </c>
      <c r="I204" s="15" t="e">
        <v>#N/A</v>
      </c>
      <c r="J204" s="17">
        <v>0.64800000000000002</v>
      </c>
      <c r="K204" s="15" t="str">
        <f t="shared" si="3"/>
        <v>HE85_AMER English VMAX</v>
      </c>
      <c r="L204" s="15"/>
      <c r="M204" s="15" t="s">
        <v>896</v>
      </c>
      <c r="N204" s="15">
        <v>14</v>
      </c>
      <c r="O204" s="15" t="s">
        <v>905</v>
      </c>
      <c r="P204" s="19" t="s">
        <v>1886</v>
      </c>
    </row>
    <row r="205" spans="1:16" ht="15" hidden="1" customHeight="1" outlineLevel="1" x14ac:dyDescent="0.3">
      <c r="A205" s="13" t="s">
        <v>2144</v>
      </c>
      <c r="B205" s="15" t="s">
        <v>370</v>
      </c>
      <c r="C205" s="15" t="s">
        <v>371</v>
      </c>
      <c r="D205" s="15" t="s">
        <v>892</v>
      </c>
      <c r="E205" s="20" t="s">
        <v>301</v>
      </c>
      <c r="F205" s="20" t="s">
        <v>357</v>
      </c>
      <c r="G205" s="15" t="s">
        <v>8</v>
      </c>
      <c r="H205" s="15" t="s">
        <v>912</v>
      </c>
      <c r="I205" s="15" t="e">
        <v>#N/A</v>
      </c>
      <c r="J205" s="17">
        <v>0.61699999999999999</v>
      </c>
      <c r="K205" s="15" t="str">
        <f t="shared" si="3"/>
        <v>HE93_EMEA English Vplex</v>
      </c>
      <c r="L205" s="15"/>
      <c r="M205" s="15" t="s">
        <v>896</v>
      </c>
      <c r="N205" s="15">
        <v>14</v>
      </c>
      <c r="O205" s="15" t="s">
        <v>905</v>
      </c>
      <c r="P205" s="19" t="s">
        <v>1886</v>
      </c>
    </row>
    <row r="206" spans="1:16" ht="15" hidden="1" customHeight="1" outlineLevel="1" x14ac:dyDescent="0.3">
      <c r="A206" s="13" t="s">
        <v>2144</v>
      </c>
      <c r="B206" s="15" t="s">
        <v>372</v>
      </c>
      <c r="C206" s="15" t="s">
        <v>373</v>
      </c>
      <c r="D206" s="15" t="s">
        <v>892</v>
      </c>
      <c r="E206" s="20" t="s">
        <v>301</v>
      </c>
      <c r="F206" s="20" t="s">
        <v>357</v>
      </c>
      <c r="G206" s="15" t="s">
        <v>8</v>
      </c>
      <c r="H206" s="15" t="s">
        <v>893</v>
      </c>
      <c r="I206" s="15" t="e">
        <v>#N/A</v>
      </c>
      <c r="J206" s="17">
        <v>0.64800000000000002</v>
      </c>
      <c r="K206" s="15" t="str">
        <f t="shared" si="3"/>
        <v>HE95_AMER English Vplex</v>
      </c>
      <c r="L206" s="15"/>
      <c r="M206" s="15" t="s">
        <v>896</v>
      </c>
      <c r="N206" s="15">
        <v>14</v>
      </c>
      <c r="O206" s="15" t="s">
        <v>905</v>
      </c>
      <c r="P206" s="19" t="s">
        <v>1886</v>
      </c>
    </row>
    <row r="207" spans="1:16" ht="15" hidden="1" customHeight="1" outlineLevel="1" x14ac:dyDescent="0.3">
      <c r="A207" s="13" t="s">
        <v>2144</v>
      </c>
      <c r="B207" s="15" t="s">
        <v>312</v>
      </c>
      <c r="C207" s="15" t="s">
        <v>313</v>
      </c>
      <c r="D207" s="15" t="s">
        <v>892</v>
      </c>
      <c r="E207" s="20" t="s">
        <v>301</v>
      </c>
      <c r="F207" s="20" t="s">
        <v>305</v>
      </c>
      <c r="G207" s="15" t="s">
        <v>8</v>
      </c>
      <c r="H207" s="15" t="s">
        <v>912</v>
      </c>
      <c r="I207" s="15" t="e">
        <v>#N/A</v>
      </c>
      <c r="J207" s="17">
        <v>0.61699999999999999</v>
      </c>
      <c r="K207" s="15" t="str">
        <f t="shared" si="3"/>
        <v>HEA2_EMEA English Connectivity</v>
      </c>
      <c r="L207" s="15"/>
      <c r="M207" s="15" t="s">
        <v>896</v>
      </c>
      <c r="N207" s="15">
        <v>14</v>
      </c>
      <c r="O207" s="15" t="s">
        <v>905</v>
      </c>
      <c r="P207" s="19" t="s">
        <v>1886</v>
      </c>
    </row>
    <row r="208" spans="1:16" ht="15" hidden="1" customHeight="1" outlineLevel="1" x14ac:dyDescent="0.3">
      <c r="A208" s="13" t="s">
        <v>2144</v>
      </c>
      <c r="B208" s="15" t="s">
        <v>314</v>
      </c>
      <c r="C208" s="15" t="s">
        <v>315</v>
      </c>
      <c r="D208" s="15" t="s">
        <v>892</v>
      </c>
      <c r="E208" s="20" t="s">
        <v>301</v>
      </c>
      <c r="F208" s="20" t="s">
        <v>305</v>
      </c>
      <c r="G208" s="15" t="s">
        <v>8</v>
      </c>
      <c r="H208" s="15" t="s">
        <v>893</v>
      </c>
      <c r="I208" s="15" t="e">
        <v>#N/A</v>
      </c>
      <c r="J208" s="17">
        <v>0.64800000000000002</v>
      </c>
      <c r="K208" s="15" t="str">
        <f t="shared" si="3"/>
        <v>HEA5_AMER English Connectivity</v>
      </c>
      <c r="L208" s="15"/>
      <c r="M208" s="15" t="s">
        <v>896</v>
      </c>
      <c r="N208" s="15">
        <v>14</v>
      </c>
      <c r="O208" s="15" t="s">
        <v>905</v>
      </c>
      <c r="P208" s="19" t="s">
        <v>1886</v>
      </c>
    </row>
    <row r="209" spans="1:16" ht="15" hidden="1" customHeight="1" outlineLevel="1" x14ac:dyDescent="0.3">
      <c r="A209" s="13" t="s">
        <v>2144</v>
      </c>
      <c r="B209" s="15" t="s">
        <v>424</v>
      </c>
      <c r="C209" s="15" t="s">
        <v>425</v>
      </c>
      <c r="D209" s="15" t="s">
        <v>892</v>
      </c>
      <c r="E209" s="20" t="s">
        <v>301</v>
      </c>
      <c r="F209" s="20" t="s">
        <v>419</v>
      </c>
      <c r="G209" s="15" t="s">
        <v>8</v>
      </c>
      <c r="H209" s="15" t="s">
        <v>912</v>
      </c>
      <c r="I209" s="15" t="e">
        <v>#N/A</v>
      </c>
      <c r="J209" s="17">
        <v>0.61699999999999999</v>
      </c>
      <c r="K209" s="15" t="str">
        <f t="shared" si="3"/>
        <v>HEA9_EMEA English XtremIO</v>
      </c>
      <c r="L209" s="15"/>
      <c r="M209" s="15" t="s">
        <v>896</v>
      </c>
      <c r="N209" s="15">
        <v>14</v>
      </c>
      <c r="O209" s="15" t="s">
        <v>905</v>
      </c>
      <c r="P209" s="19" t="s">
        <v>1886</v>
      </c>
    </row>
    <row r="210" spans="1:16" ht="15" hidden="1" customHeight="1" outlineLevel="1" x14ac:dyDescent="0.3">
      <c r="A210" s="13" t="s">
        <v>2144</v>
      </c>
      <c r="B210" s="15" t="s">
        <v>426</v>
      </c>
      <c r="C210" s="15" t="s">
        <v>427</v>
      </c>
      <c r="D210" s="15" t="s">
        <v>892</v>
      </c>
      <c r="E210" s="20" t="s">
        <v>301</v>
      </c>
      <c r="F210" s="20" t="s">
        <v>419</v>
      </c>
      <c r="G210" s="15" t="s">
        <v>8</v>
      </c>
      <c r="H210" s="15" t="s">
        <v>893</v>
      </c>
      <c r="I210" s="15" t="e">
        <v>#N/A</v>
      </c>
      <c r="J210" s="17">
        <v>0.64800000000000002</v>
      </c>
      <c r="K210" s="15" t="str">
        <f t="shared" si="3"/>
        <v>HEB0_AMER English XtremIO</v>
      </c>
      <c r="L210" s="15"/>
      <c r="M210" s="15" t="s">
        <v>896</v>
      </c>
      <c r="N210" s="15">
        <v>14</v>
      </c>
      <c r="O210" s="15" t="s">
        <v>905</v>
      </c>
      <c r="P210" s="19" t="s">
        <v>1886</v>
      </c>
    </row>
    <row r="211" spans="1:16" ht="15" hidden="1" customHeight="1" outlineLevel="1" x14ac:dyDescent="0.3">
      <c r="A211" s="13" t="s">
        <v>2144</v>
      </c>
      <c r="B211" s="15" t="s">
        <v>341</v>
      </c>
      <c r="C211" s="15" t="s">
        <v>1908</v>
      </c>
      <c r="D211" s="15" t="s">
        <v>892</v>
      </c>
      <c r="E211" s="20" t="s">
        <v>301</v>
      </c>
      <c r="F211" s="20" t="s">
        <v>334</v>
      </c>
      <c r="G211" s="15" t="s">
        <v>8</v>
      </c>
      <c r="H211" s="15" t="s">
        <v>893</v>
      </c>
      <c r="I211" s="15" t="e">
        <v>#N/A</v>
      </c>
      <c r="J211" s="17">
        <v>0.64800000000000002</v>
      </c>
      <c r="K211" s="15" t="str">
        <f t="shared" si="3"/>
        <v>HEB4_EMEA English Integrated Software</v>
      </c>
      <c r="L211" s="15"/>
      <c r="M211" s="15" t="s">
        <v>896</v>
      </c>
      <c r="N211" s="15">
        <v>14</v>
      </c>
      <c r="O211" s="15" t="s">
        <v>905</v>
      </c>
      <c r="P211" s="19" t="s">
        <v>1886</v>
      </c>
    </row>
    <row r="212" spans="1:16" ht="15" hidden="1" customHeight="1" outlineLevel="1" x14ac:dyDescent="0.3">
      <c r="A212" s="13" t="s">
        <v>2144</v>
      </c>
      <c r="B212" s="15" t="s">
        <v>343</v>
      </c>
      <c r="C212" s="15" t="s">
        <v>342</v>
      </c>
      <c r="D212" s="15" t="s">
        <v>892</v>
      </c>
      <c r="E212" s="20" t="s">
        <v>301</v>
      </c>
      <c r="F212" s="20" t="s">
        <v>334</v>
      </c>
      <c r="G212" s="15" t="s">
        <v>8</v>
      </c>
      <c r="H212" s="15" t="s">
        <v>893</v>
      </c>
      <c r="I212" s="15" t="e">
        <v>#N/A</v>
      </c>
      <c r="J212" s="17">
        <v>0.64800000000000002</v>
      </c>
      <c r="K212" s="15" t="str">
        <f t="shared" si="3"/>
        <v>HEB5_AMER English Integrated Software</v>
      </c>
      <c r="L212" s="15"/>
      <c r="M212" s="15" t="s">
        <v>896</v>
      </c>
      <c r="N212" s="15">
        <v>14</v>
      </c>
      <c r="O212" s="15" t="s">
        <v>905</v>
      </c>
      <c r="P212" s="19" t="s">
        <v>1886</v>
      </c>
    </row>
    <row r="213" spans="1:16" ht="15" hidden="1" customHeight="1" outlineLevel="1" x14ac:dyDescent="0.3">
      <c r="A213" s="13" t="s">
        <v>2144</v>
      </c>
      <c r="B213" s="15" t="s">
        <v>688</v>
      </c>
      <c r="C213" s="15" t="s">
        <v>1909</v>
      </c>
      <c r="D213" s="15" t="s">
        <v>892</v>
      </c>
      <c r="E213" s="20" t="s">
        <v>672</v>
      </c>
      <c r="F213" s="20" t="s">
        <v>673</v>
      </c>
      <c r="G213" s="15" t="s">
        <v>8</v>
      </c>
      <c r="H213" s="15" t="s">
        <v>893</v>
      </c>
      <c r="I213" s="15" t="e">
        <v>#N/A</v>
      </c>
      <c r="J213" s="17">
        <v>0.64800000000000002</v>
      </c>
      <c r="K213" s="15" t="str">
        <f t="shared" si="3"/>
        <v>HEC5_AMER English PowerScale</v>
      </c>
      <c r="L213" s="15"/>
      <c r="M213" s="15" t="s">
        <v>896</v>
      </c>
      <c r="N213" s="15">
        <v>14</v>
      </c>
      <c r="O213" s="15" t="s">
        <v>905</v>
      </c>
      <c r="P213" s="19" t="s">
        <v>1886</v>
      </c>
    </row>
    <row r="214" spans="1:16" s="11" customFormat="1" ht="15" hidden="1" customHeight="1" outlineLevel="1" x14ac:dyDescent="0.3">
      <c r="A214" s="13" t="s">
        <v>2144</v>
      </c>
      <c r="B214" s="15" t="s">
        <v>690</v>
      </c>
      <c r="C214" s="15" t="s">
        <v>1910</v>
      </c>
      <c r="D214" s="15" t="s">
        <v>892</v>
      </c>
      <c r="E214" s="20" t="s">
        <v>672</v>
      </c>
      <c r="F214" s="20" t="s">
        <v>673</v>
      </c>
      <c r="G214" s="15" t="s">
        <v>8</v>
      </c>
      <c r="H214" s="15" t="s">
        <v>912</v>
      </c>
      <c r="I214" s="15" t="e">
        <v>#N/A</v>
      </c>
      <c r="J214" s="17">
        <v>0.61699999999999999</v>
      </c>
      <c r="K214" s="15" t="str">
        <f t="shared" si="3"/>
        <v>HEC6_EMEA English PowerScale</v>
      </c>
      <c r="L214" s="15"/>
      <c r="M214" s="15" t="s">
        <v>896</v>
      </c>
      <c r="N214" s="15">
        <v>14</v>
      </c>
      <c r="O214" s="15" t="s">
        <v>905</v>
      </c>
      <c r="P214" s="19" t="s">
        <v>1886</v>
      </c>
    </row>
    <row r="215" spans="1:16" ht="15" hidden="1" customHeight="1" outlineLevel="1" x14ac:dyDescent="0.3">
      <c r="A215" s="13" t="s">
        <v>2144</v>
      </c>
      <c r="B215" s="15" t="s">
        <v>749</v>
      </c>
      <c r="C215" s="15" t="s">
        <v>1911</v>
      </c>
      <c r="D215" s="15" t="s">
        <v>892</v>
      </c>
      <c r="E215" s="20"/>
      <c r="F215" s="20" t="s">
        <v>673</v>
      </c>
      <c r="G215" s="15" t="s">
        <v>8</v>
      </c>
      <c r="H215" s="15" t="s">
        <v>903</v>
      </c>
      <c r="I215" s="15" t="e">
        <v>#N/A</v>
      </c>
      <c r="J215" s="17">
        <v>0.629</v>
      </c>
      <c r="K215" s="15" t="str">
        <f t="shared" si="3"/>
        <v>HEC7_APJ English PowerScale</v>
      </c>
      <c r="L215" s="15"/>
      <c r="M215" s="15" t="s">
        <v>896</v>
      </c>
      <c r="N215" s="15"/>
      <c r="O215" s="15" t="s">
        <v>905</v>
      </c>
      <c r="P215" s="19" t="s">
        <v>1886</v>
      </c>
    </row>
    <row r="216" spans="1:16" ht="15" hidden="1" customHeight="1" outlineLevel="1" x14ac:dyDescent="0.3">
      <c r="A216" s="13" t="s">
        <v>2144</v>
      </c>
      <c r="B216" s="15" t="s">
        <v>116</v>
      </c>
      <c r="C216" s="15" t="s">
        <v>117</v>
      </c>
      <c r="D216" s="15" t="s">
        <v>892</v>
      </c>
      <c r="E216" s="20" t="s">
        <v>44</v>
      </c>
      <c r="F216" s="20" t="s">
        <v>109</v>
      </c>
      <c r="G216" s="15" t="s">
        <v>8</v>
      </c>
      <c r="H216" s="15" t="s">
        <v>893</v>
      </c>
      <c r="I216" s="15" t="e">
        <v>#N/A</v>
      </c>
      <c r="J216" s="17">
        <v>0.64800000000000002</v>
      </c>
      <c r="K216" s="15" t="str">
        <f t="shared" si="3"/>
        <v>HED3_AMER English Networker</v>
      </c>
      <c r="L216" s="15"/>
      <c r="M216" s="15" t="s">
        <v>896</v>
      </c>
      <c r="N216" s="15">
        <v>14</v>
      </c>
      <c r="O216" s="15" t="s">
        <v>905</v>
      </c>
      <c r="P216" s="19" t="s">
        <v>1886</v>
      </c>
    </row>
    <row r="217" spans="1:16" ht="15" hidden="1" customHeight="1" outlineLevel="1" x14ac:dyDescent="0.3">
      <c r="A217" s="13" t="s">
        <v>2144</v>
      </c>
      <c r="B217" s="15" t="s">
        <v>118</v>
      </c>
      <c r="C217" s="15" t="s">
        <v>119</v>
      </c>
      <c r="D217" s="15" t="s">
        <v>892</v>
      </c>
      <c r="E217" s="20" t="s">
        <v>44</v>
      </c>
      <c r="F217" s="20" t="s">
        <v>109</v>
      </c>
      <c r="G217" s="15" t="s">
        <v>8</v>
      </c>
      <c r="H217" s="15" t="s">
        <v>912</v>
      </c>
      <c r="I217" s="15" t="e">
        <v>#N/A</v>
      </c>
      <c r="J217" s="17">
        <v>0.61699999999999999</v>
      </c>
      <c r="K217" s="15" t="str">
        <f t="shared" si="3"/>
        <v>HED7_EMEA English Networker</v>
      </c>
      <c r="L217" s="15"/>
      <c r="M217" s="15" t="s">
        <v>896</v>
      </c>
      <c r="N217" s="15">
        <v>14</v>
      </c>
      <c r="O217" s="15" t="s">
        <v>905</v>
      </c>
      <c r="P217" s="19" t="s">
        <v>1886</v>
      </c>
    </row>
    <row r="218" spans="1:16" ht="15" hidden="1" customHeight="1" outlineLevel="1" x14ac:dyDescent="0.3">
      <c r="A218" s="13" t="s">
        <v>2144</v>
      </c>
      <c r="B218" s="15" t="s">
        <v>707</v>
      </c>
      <c r="C218" s="15" t="s">
        <v>708</v>
      </c>
      <c r="D218" s="15" t="s">
        <v>892</v>
      </c>
      <c r="E218" s="20" t="s">
        <v>672</v>
      </c>
      <c r="F218" s="20" t="s">
        <v>702</v>
      </c>
      <c r="G218" s="15" t="s">
        <v>8</v>
      </c>
      <c r="H218" s="15" t="s">
        <v>893</v>
      </c>
      <c r="I218" s="15" t="e">
        <v>#N/A</v>
      </c>
      <c r="J218" s="17">
        <v>0.64800000000000002</v>
      </c>
      <c r="K218" s="15" t="str">
        <f t="shared" si="3"/>
        <v>HEF2_AMER English OBJ</v>
      </c>
      <c r="L218" s="15"/>
      <c r="M218" s="15" t="s">
        <v>896</v>
      </c>
      <c r="N218" s="15">
        <v>14</v>
      </c>
      <c r="O218" s="15" t="s">
        <v>905</v>
      </c>
      <c r="P218" s="19" t="s">
        <v>1886</v>
      </c>
    </row>
    <row r="219" spans="1:16" ht="13" hidden="1" outlineLevel="1" x14ac:dyDescent="0.3">
      <c r="A219" s="13" t="s">
        <v>2144</v>
      </c>
      <c r="B219" s="15" t="s">
        <v>709</v>
      </c>
      <c r="C219" s="15" t="s">
        <v>710</v>
      </c>
      <c r="D219" s="15" t="s">
        <v>892</v>
      </c>
      <c r="E219" s="20" t="s">
        <v>672</v>
      </c>
      <c r="F219" s="20" t="s">
        <v>702</v>
      </c>
      <c r="G219" s="15" t="s">
        <v>8</v>
      </c>
      <c r="H219" s="15" t="s">
        <v>912</v>
      </c>
      <c r="I219" s="15" t="e">
        <v>#N/A</v>
      </c>
      <c r="J219" s="17">
        <v>0.61699999999999999</v>
      </c>
      <c r="K219" s="15" t="str">
        <f t="shared" si="3"/>
        <v>HEF5_EMEA English OBJ</v>
      </c>
      <c r="L219" s="15"/>
      <c r="M219" s="15" t="s">
        <v>896</v>
      </c>
      <c r="N219" s="15">
        <v>14</v>
      </c>
      <c r="O219" s="15" t="s">
        <v>905</v>
      </c>
      <c r="P219" s="19" t="s">
        <v>1886</v>
      </c>
    </row>
    <row r="220" spans="1:16" ht="15" hidden="1" customHeight="1" outlineLevel="1" x14ac:dyDescent="0.3">
      <c r="A220" s="13" t="s">
        <v>2144</v>
      </c>
      <c r="B220" s="15" t="s">
        <v>52</v>
      </c>
      <c r="C220" s="15" t="s">
        <v>53</v>
      </c>
      <c r="D220" s="15" t="s">
        <v>892</v>
      </c>
      <c r="E220" s="20" t="s">
        <v>44</v>
      </c>
      <c r="F220" s="20" t="s">
        <v>45</v>
      </c>
      <c r="G220" s="15" t="s">
        <v>8</v>
      </c>
      <c r="H220" s="15" t="s">
        <v>893</v>
      </c>
      <c r="I220" s="15" t="e">
        <v>#N/A</v>
      </c>
      <c r="J220" s="17">
        <v>0.64800000000000002</v>
      </c>
      <c r="K220" s="15" t="str">
        <f t="shared" si="3"/>
        <v>HEG4_AMER English Avamar</v>
      </c>
      <c r="L220" s="15"/>
      <c r="M220" s="15" t="s">
        <v>896</v>
      </c>
      <c r="N220" s="15">
        <v>14</v>
      </c>
      <c r="O220" s="15" t="s">
        <v>905</v>
      </c>
      <c r="P220" s="19" t="s">
        <v>1886</v>
      </c>
    </row>
    <row r="221" spans="1:16" ht="15" hidden="1" customHeight="1" outlineLevel="1" x14ac:dyDescent="0.3">
      <c r="A221" s="13" t="s">
        <v>2144</v>
      </c>
      <c r="B221" s="15" t="s">
        <v>54</v>
      </c>
      <c r="C221" s="15" t="s">
        <v>55</v>
      </c>
      <c r="D221" s="15" t="s">
        <v>892</v>
      </c>
      <c r="E221" s="20" t="s">
        <v>44</v>
      </c>
      <c r="F221" s="20" t="s">
        <v>45</v>
      </c>
      <c r="G221" s="15" t="s">
        <v>8</v>
      </c>
      <c r="H221" s="15" t="s">
        <v>912</v>
      </c>
      <c r="I221" s="15" t="e">
        <v>#N/A</v>
      </c>
      <c r="J221" s="17">
        <v>0.61699999999999999</v>
      </c>
      <c r="K221" s="15" t="str">
        <f t="shared" si="3"/>
        <v>HEG8_EMEA English Avamar</v>
      </c>
      <c r="L221" s="15"/>
      <c r="M221" s="15" t="s">
        <v>896</v>
      </c>
      <c r="N221" s="15">
        <v>14</v>
      </c>
      <c r="O221" s="15" t="s">
        <v>905</v>
      </c>
      <c r="P221" s="19" t="s">
        <v>1886</v>
      </c>
    </row>
    <row r="222" spans="1:16" ht="15" hidden="1" customHeight="1" outlineLevel="1" x14ac:dyDescent="0.3">
      <c r="A222" s="13" t="s">
        <v>2144</v>
      </c>
      <c r="B222" s="15" t="s">
        <v>78</v>
      </c>
      <c r="C222" s="15" t="s">
        <v>79</v>
      </c>
      <c r="D222" s="15" t="s">
        <v>892</v>
      </c>
      <c r="E222" s="20" t="s">
        <v>44</v>
      </c>
      <c r="F222" s="20" t="s">
        <v>71</v>
      </c>
      <c r="G222" s="15" t="s">
        <v>8</v>
      </c>
      <c r="H222" s="15" t="s">
        <v>893</v>
      </c>
      <c r="I222" s="15" t="e">
        <v>#N/A</v>
      </c>
      <c r="J222" s="17">
        <v>0.64800000000000002</v>
      </c>
      <c r="K222" s="15" t="str">
        <f t="shared" si="3"/>
        <v>HEH6_AMER English DataDomain</v>
      </c>
      <c r="L222" s="15"/>
      <c r="M222" s="15" t="s">
        <v>896</v>
      </c>
      <c r="N222" s="15">
        <v>14</v>
      </c>
      <c r="O222" s="15" t="s">
        <v>905</v>
      </c>
      <c r="P222" s="19" t="s">
        <v>1886</v>
      </c>
    </row>
    <row r="223" spans="1:16" ht="15" hidden="1" customHeight="1" outlineLevel="1" x14ac:dyDescent="0.3">
      <c r="A223" s="13" t="s">
        <v>2144</v>
      </c>
      <c r="B223" s="15" t="s">
        <v>80</v>
      </c>
      <c r="C223" s="15" t="s">
        <v>81</v>
      </c>
      <c r="D223" s="15" t="s">
        <v>892</v>
      </c>
      <c r="E223" s="20" t="s">
        <v>44</v>
      </c>
      <c r="F223" s="20" t="s">
        <v>71</v>
      </c>
      <c r="G223" s="15" t="s">
        <v>8</v>
      </c>
      <c r="H223" s="15" t="s">
        <v>912</v>
      </c>
      <c r="I223" s="15" t="e">
        <v>#N/A</v>
      </c>
      <c r="J223" s="17">
        <v>0.61699999999999999</v>
      </c>
      <c r="K223" s="15" t="str">
        <f t="shared" si="3"/>
        <v>HEJ1_EMEA English DataDomain</v>
      </c>
      <c r="L223" s="15"/>
      <c r="M223" s="15" t="s">
        <v>896</v>
      </c>
      <c r="N223" s="15">
        <v>14</v>
      </c>
      <c r="O223" s="15" t="s">
        <v>905</v>
      </c>
      <c r="P223" s="19" t="s">
        <v>1886</v>
      </c>
    </row>
    <row r="224" spans="1:16" ht="15" hidden="1" customHeight="1" outlineLevel="1" x14ac:dyDescent="0.3">
      <c r="A224" s="13" t="s">
        <v>2144</v>
      </c>
      <c r="B224" s="15" t="s">
        <v>148</v>
      </c>
      <c r="C224" s="15" t="s">
        <v>1912</v>
      </c>
      <c r="D224" s="15" t="s">
        <v>892</v>
      </c>
      <c r="E224" s="20" t="s">
        <v>44</v>
      </c>
      <c r="F224" s="20" t="s">
        <v>147</v>
      </c>
      <c r="G224" s="15" t="s">
        <v>8</v>
      </c>
      <c r="H224" s="15" t="s">
        <v>929</v>
      </c>
      <c r="I224" s="15" t="e">
        <v>#N/A</v>
      </c>
      <c r="J224" s="17">
        <v>0.63300000000000001</v>
      </c>
      <c r="K224" s="15" t="str">
        <f t="shared" si="3"/>
        <v>HW03_HES Global DPSolutions WIPRO</v>
      </c>
      <c r="L224" s="15"/>
      <c r="M224" s="15" t="s">
        <v>896</v>
      </c>
      <c r="N224" s="15">
        <v>14</v>
      </c>
      <c r="O224" s="15" t="s">
        <v>905</v>
      </c>
      <c r="P224" s="19" t="s">
        <v>1886</v>
      </c>
    </row>
    <row r="225" spans="1:16" ht="15" hidden="1" customHeight="1" outlineLevel="1" x14ac:dyDescent="0.3">
      <c r="A225" s="13" t="s">
        <v>2144</v>
      </c>
      <c r="B225" s="15" t="s">
        <v>150</v>
      </c>
      <c r="C225" s="15" t="s">
        <v>151</v>
      </c>
      <c r="D225" s="15" t="s">
        <v>892</v>
      </c>
      <c r="E225" s="20" t="s">
        <v>44</v>
      </c>
      <c r="F225" s="20" t="s">
        <v>147</v>
      </c>
      <c r="G225" s="15" t="s">
        <v>8</v>
      </c>
      <c r="H225" s="15" t="s">
        <v>929</v>
      </c>
      <c r="I225" s="15" t="e">
        <v>#N/A</v>
      </c>
      <c r="J225" s="17">
        <v>0.63300000000000001</v>
      </c>
      <c r="K225" s="15" t="str">
        <f t="shared" si="3"/>
        <v>HW06_HES Global RecoverPoint WIPRO</v>
      </c>
      <c r="L225" s="15"/>
      <c r="M225" s="15" t="s">
        <v>896</v>
      </c>
      <c r="N225" s="15">
        <v>14</v>
      </c>
      <c r="O225" s="15" t="s">
        <v>905</v>
      </c>
      <c r="P225" s="19" t="s">
        <v>1886</v>
      </c>
    </row>
    <row r="226" spans="1:16" ht="15" hidden="1" customHeight="1" outlineLevel="1" x14ac:dyDescent="0.3">
      <c r="A226" s="13" t="s">
        <v>2144</v>
      </c>
      <c r="B226" s="15" t="s">
        <v>757</v>
      </c>
      <c r="C226" s="15" t="s">
        <v>758</v>
      </c>
      <c r="D226" s="15" t="s">
        <v>892</v>
      </c>
      <c r="E226" s="15"/>
      <c r="F226" s="20" t="s">
        <v>229</v>
      </c>
      <c r="G226" s="15" t="s">
        <v>8</v>
      </c>
      <c r="H226" s="15" t="s">
        <v>906</v>
      </c>
      <c r="I226" s="15" t="e">
        <v>#N/A</v>
      </c>
      <c r="J226" s="17">
        <v>0.629</v>
      </c>
      <c r="K226" s="15" t="str">
        <f t="shared" si="3"/>
        <v>IM01_IND Midrange Storage VNX/e</v>
      </c>
      <c r="L226" s="15"/>
      <c r="M226" s="15" t="s">
        <v>896</v>
      </c>
      <c r="N226" s="15"/>
      <c r="O226" s="15" t="s">
        <v>905</v>
      </c>
      <c r="P226" s="19" t="s">
        <v>1886</v>
      </c>
    </row>
    <row r="227" spans="1:16" ht="15" hidden="1" customHeight="1" outlineLevel="1" x14ac:dyDescent="0.3">
      <c r="A227" s="13" t="s">
        <v>2144</v>
      </c>
      <c r="B227" s="15" t="s">
        <v>696</v>
      </c>
      <c r="C227" s="15" t="s">
        <v>1915</v>
      </c>
      <c r="D227" s="15" t="s">
        <v>892</v>
      </c>
      <c r="E227" s="20" t="s">
        <v>672</v>
      </c>
      <c r="F227" s="20" t="s">
        <v>673</v>
      </c>
      <c r="G227" s="15" t="s">
        <v>8</v>
      </c>
      <c r="H227" s="15" t="s">
        <v>906</v>
      </c>
      <c r="I227" s="15" t="e">
        <v>#N/A</v>
      </c>
      <c r="J227" s="17">
        <v>0.629</v>
      </c>
      <c r="K227" s="15" t="str">
        <f t="shared" si="3"/>
        <v>IS03_India UDS PowerScale</v>
      </c>
      <c r="L227" s="15"/>
      <c r="M227" s="15" t="s">
        <v>896</v>
      </c>
      <c r="N227" s="15">
        <v>12</v>
      </c>
      <c r="O227" s="15" t="s">
        <v>905</v>
      </c>
      <c r="P227" s="19" t="s">
        <v>1886</v>
      </c>
    </row>
    <row r="228" spans="1:16" ht="15" hidden="1" customHeight="1" outlineLevel="1" x14ac:dyDescent="0.3">
      <c r="A228" s="13" t="s">
        <v>2144</v>
      </c>
      <c r="B228" s="15" t="s">
        <v>698</v>
      </c>
      <c r="C228" s="15" t="s">
        <v>1916</v>
      </c>
      <c r="D228" s="15" t="s">
        <v>892</v>
      </c>
      <c r="E228" s="20" t="s">
        <v>672</v>
      </c>
      <c r="F228" s="20" t="s">
        <v>673</v>
      </c>
      <c r="G228" s="15" t="s">
        <v>8</v>
      </c>
      <c r="H228" s="15" t="s">
        <v>935</v>
      </c>
      <c r="I228" s="15" t="s">
        <v>1069</v>
      </c>
      <c r="J228" s="17">
        <v>0.626</v>
      </c>
      <c r="K228" s="15" t="str">
        <f t="shared" si="3"/>
        <v>IS04_LATAM UDS PowerScale</v>
      </c>
      <c r="L228" s="15"/>
      <c r="M228" s="15" t="s">
        <v>1885</v>
      </c>
      <c r="N228" s="15">
        <v>4</v>
      </c>
      <c r="O228" s="15" t="s">
        <v>905</v>
      </c>
      <c r="P228" s="19" t="s">
        <v>1886</v>
      </c>
    </row>
    <row r="229" spans="1:16" ht="15" hidden="1" customHeight="1" outlineLevel="1" x14ac:dyDescent="0.3">
      <c r="A229" s="13" t="s">
        <v>2144</v>
      </c>
      <c r="B229" s="15" t="s">
        <v>107</v>
      </c>
      <c r="C229" s="15" t="s">
        <v>108</v>
      </c>
      <c r="D229" s="15" t="s">
        <v>892</v>
      </c>
      <c r="E229" s="20" t="s">
        <v>44</v>
      </c>
      <c r="F229" s="20" t="s">
        <v>102</v>
      </c>
      <c r="G229" s="15" t="s">
        <v>8</v>
      </c>
      <c r="H229" s="15" t="s">
        <v>903</v>
      </c>
      <c r="I229" s="15" t="s">
        <v>904</v>
      </c>
      <c r="J229" s="17">
        <v>0.629</v>
      </c>
      <c r="K229" s="15" t="str">
        <f t="shared" si="3"/>
        <v>IS19_APJ DPD DPSolutions</v>
      </c>
      <c r="L229" s="15"/>
      <c r="M229" s="15" t="s">
        <v>1884</v>
      </c>
      <c r="N229" s="15">
        <v>11</v>
      </c>
      <c r="O229" s="15" t="s">
        <v>905</v>
      </c>
      <c r="P229" s="19" t="s">
        <v>1886</v>
      </c>
    </row>
    <row r="230" spans="1:16" ht="15" hidden="1" customHeight="1" outlineLevel="1" x14ac:dyDescent="0.3">
      <c r="A230" s="13" t="s">
        <v>2144</v>
      </c>
      <c r="B230" s="15" t="s">
        <v>200</v>
      </c>
      <c r="C230" s="15" t="s">
        <v>201</v>
      </c>
      <c r="D230" s="15" t="s">
        <v>914</v>
      </c>
      <c r="E230" s="15" t="s">
        <v>158</v>
      </c>
      <c r="F230" s="15" t="s">
        <v>173</v>
      </c>
      <c r="G230" s="15" t="s">
        <v>8</v>
      </c>
      <c r="H230" s="15" t="s">
        <v>903</v>
      </c>
      <c r="I230" s="15" t="s">
        <v>904</v>
      </c>
      <c r="J230" s="17">
        <v>0.629</v>
      </c>
      <c r="K230" s="15" t="str">
        <f t="shared" si="3"/>
        <v>IS20_HCS APJ VxRail</v>
      </c>
      <c r="L230" s="15"/>
      <c r="M230" s="15" t="s">
        <v>1810</v>
      </c>
      <c r="N230" s="15">
        <v>16</v>
      </c>
      <c r="O230" s="15" t="s">
        <v>905</v>
      </c>
      <c r="P230" s="19" t="s">
        <v>1886</v>
      </c>
    </row>
    <row r="231" spans="1:16" ht="15" hidden="1" customHeight="1" outlineLevel="1" x14ac:dyDescent="0.3">
      <c r="A231" s="13" t="s">
        <v>2144</v>
      </c>
      <c r="B231" s="15" t="s">
        <v>711</v>
      </c>
      <c r="C231" s="15" t="s">
        <v>1918</v>
      </c>
      <c r="D231" s="15" t="s">
        <v>892</v>
      </c>
      <c r="E231" s="20" t="s">
        <v>672</v>
      </c>
      <c r="F231" s="20" t="s">
        <v>702</v>
      </c>
      <c r="G231" s="15" t="s">
        <v>8</v>
      </c>
      <c r="H231" s="15" t="s">
        <v>893</v>
      </c>
      <c r="I231" s="15" t="e">
        <v>#N/A</v>
      </c>
      <c r="J231" s="17">
        <v>0.64800000000000002</v>
      </c>
      <c r="K231" s="15" t="str">
        <f t="shared" si="3"/>
        <v>IS24_NAMER UDS OBJ</v>
      </c>
      <c r="L231" s="15"/>
      <c r="M231" s="15" t="s">
        <v>896</v>
      </c>
      <c r="N231" s="15">
        <v>14</v>
      </c>
      <c r="O231" s="15" t="s">
        <v>905</v>
      </c>
      <c r="P231" s="19" t="s">
        <v>1886</v>
      </c>
    </row>
    <row r="232" spans="1:16" ht="15" hidden="1" customHeight="1" outlineLevel="1" x14ac:dyDescent="0.3">
      <c r="A232" s="13" t="s">
        <v>2144</v>
      </c>
      <c r="B232" s="15" t="s">
        <v>202</v>
      </c>
      <c r="C232" s="15" t="s">
        <v>203</v>
      </c>
      <c r="D232" s="15" t="s">
        <v>928</v>
      </c>
      <c r="E232" s="15" t="s">
        <v>158</v>
      </c>
      <c r="F232" s="15" t="s">
        <v>173</v>
      </c>
      <c r="G232" s="15" t="s">
        <v>8</v>
      </c>
      <c r="H232" s="15" t="s">
        <v>912</v>
      </c>
      <c r="I232" s="15" t="s">
        <v>966</v>
      </c>
      <c r="J232" s="17">
        <v>0.61699999999999999</v>
      </c>
      <c r="K232" s="15" t="str">
        <f t="shared" si="3"/>
        <v>IS47_HCS EMEA VxRail</v>
      </c>
      <c r="L232" s="15"/>
      <c r="M232" s="15" t="s">
        <v>1810</v>
      </c>
      <c r="N232" s="15">
        <v>24</v>
      </c>
      <c r="O232" s="15" t="s">
        <v>905</v>
      </c>
      <c r="P232" s="19" t="s">
        <v>1886</v>
      </c>
    </row>
    <row r="233" spans="1:16" ht="15" hidden="1" customHeight="1" outlineLevel="1" x14ac:dyDescent="0.3">
      <c r="A233" s="13" t="s">
        <v>2144</v>
      </c>
      <c r="B233" s="15" t="s">
        <v>713</v>
      </c>
      <c r="C233" s="15" t="s">
        <v>714</v>
      </c>
      <c r="D233" s="15" t="s">
        <v>892</v>
      </c>
      <c r="E233" s="20" t="s">
        <v>672</v>
      </c>
      <c r="F233" s="20" t="s">
        <v>702</v>
      </c>
      <c r="G233" s="15" t="s">
        <v>8</v>
      </c>
      <c r="H233" s="15" t="s">
        <v>935</v>
      </c>
      <c r="I233" s="15" t="s">
        <v>936</v>
      </c>
      <c r="J233" s="17">
        <v>0.57099999999999995</v>
      </c>
      <c r="K233" s="15" t="str">
        <f t="shared" si="3"/>
        <v>IS51_LATAM UDS OBJ</v>
      </c>
      <c r="L233" s="15"/>
      <c r="M233" s="15" t="s">
        <v>1885</v>
      </c>
      <c r="N233" s="15">
        <v>0</v>
      </c>
      <c r="O233" s="15" t="s">
        <v>905</v>
      </c>
      <c r="P233" s="19" t="s">
        <v>1886</v>
      </c>
    </row>
    <row r="234" spans="1:16" ht="15" hidden="1" customHeight="1" outlineLevel="1" x14ac:dyDescent="0.3">
      <c r="A234" s="13" t="s">
        <v>2144</v>
      </c>
      <c r="B234" s="15" t="s">
        <v>60</v>
      </c>
      <c r="C234" s="15" t="s">
        <v>61</v>
      </c>
      <c r="D234" s="15" t="s">
        <v>892</v>
      </c>
      <c r="E234" s="20" t="s">
        <v>44</v>
      </c>
      <c r="F234" s="20" t="s">
        <v>45</v>
      </c>
      <c r="G234" s="15" t="s">
        <v>8</v>
      </c>
      <c r="H234" s="15" t="s">
        <v>906</v>
      </c>
      <c r="I234" s="15" t="e">
        <v>#N/A</v>
      </c>
      <c r="J234" s="17">
        <v>0.629</v>
      </c>
      <c r="K234" s="15" t="str">
        <f t="shared" si="3"/>
        <v>IS65_India DPD AVAMAR</v>
      </c>
      <c r="L234" s="15"/>
      <c r="M234" s="15" t="s">
        <v>896</v>
      </c>
      <c r="N234" s="15">
        <v>9</v>
      </c>
      <c r="O234" s="15" t="s">
        <v>905</v>
      </c>
      <c r="P234" s="19" t="s">
        <v>1886</v>
      </c>
    </row>
    <row r="235" spans="1:16" ht="15" hidden="1" customHeight="1" outlineLevel="1" x14ac:dyDescent="0.3">
      <c r="A235" s="13" t="s">
        <v>2144</v>
      </c>
      <c r="B235" s="15" t="s">
        <v>320</v>
      </c>
      <c r="C235" s="15" t="s">
        <v>321</v>
      </c>
      <c r="D235" s="15" t="s">
        <v>892</v>
      </c>
      <c r="E235" s="20" t="s">
        <v>301</v>
      </c>
      <c r="F235" s="20" t="s">
        <v>305</v>
      </c>
      <c r="G235" s="15" t="s">
        <v>8</v>
      </c>
      <c r="H235" s="15" t="s">
        <v>906</v>
      </c>
      <c r="I235" s="15" t="e">
        <v>#N/A</v>
      </c>
      <c r="J235" s="17">
        <v>0.629</v>
      </c>
      <c r="K235" s="15" t="str">
        <f t="shared" si="3"/>
        <v>IS68_India HES Connectivity</v>
      </c>
      <c r="L235" s="15"/>
      <c r="M235" s="15" t="s">
        <v>896</v>
      </c>
      <c r="N235" s="15">
        <v>13</v>
      </c>
      <c r="O235" s="15" t="s">
        <v>905</v>
      </c>
      <c r="P235" s="19" t="s">
        <v>1886</v>
      </c>
    </row>
    <row r="236" spans="1:16" ht="15" hidden="1" customHeight="1" outlineLevel="1" x14ac:dyDescent="0.3">
      <c r="A236" s="13" t="s">
        <v>2144</v>
      </c>
      <c r="B236" s="15" t="s">
        <v>86</v>
      </c>
      <c r="C236" s="15" t="s">
        <v>87</v>
      </c>
      <c r="D236" s="15" t="s">
        <v>892</v>
      </c>
      <c r="E236" s="20" t="s">
        <v>44</v>
      </c>
      <c r="F236" s="20" t="s">
        <v>71</v>
      </c>
      <c r="G236" s="15" t="s">
        <v>8</v>
      </c>
      <c r="H236" s="15" t="s">
        <v>906</v>
      </c>
      <c r="I236" s="15" t="e">
        <v>#N/A</v>
      </c>
      <c r="J236" s="17">
        <v>0.629</v>
      </c>
      <c r="K236" s="15" t="str">
        <f t="shared" si="3"/>
        <v>IS69_India DPD DataDomain</v>
      </c>
      <c r="L236" s="15"/>
      <c r="M236" s="15" t="s">
        <v>896</v>
      </c>
      <c r="N236" s="15">
        <v>9</v>
      </c>
      <c r="O236" s="15" t="s">
        <v>905</v>
      </c>
      <c r="P236" s="19" t="s">
        <v>1886</v>
      </c>
    </row>
    <row r="237" spans="1:16" ht="15" hidden="1" customHeight="1" outlineLevel="1" x14ac:dyDescent="0.3">
      <c r="A237" s="13" t="s">
        <v>2144</v>
      </c>
      <c r="B237" s="15" t="s">
        <v>204</v>
      </c>
      <c r="C237" s="15" t="s">
        <v>1919</v>
      </c>
      <c r="D237" s="15" t="s">
        <v>892</v>
      </c>
      <c r="E237" s="20" t="s">
        <v>158</v>
      </c>
      <c r="F237" s="20" t="s">
        <v>173</v>
      </c>
      <c r="G237" s="15" t="s">
        <v>8</v>
      </c>
      <c r="H237" s="15" t="s">
        <v>906</v>
      </c>
      <c r="I237" s="15" t="e">
        <v>#N/A</v>
      </c>
      <c r="J237" s="17">
        <v>0.629</v>
      </c>
      <c r="K237" s="15" t="str">
        <f t="shared" si="3"/>
        <v>IS74_HCS INDIA VxRail</v>
      </c>
      <c r="L237" s="15"/>
      <c r="M237" s="15" t="s">
        <v>896</v>
      </c>
      <c r="N237" s="15">
        <v>14</v>
      </c>
      <c r="O237" s="15" t="s">
        <v>905</v>
      </c>
      <c r="P237" s="19" t="s">
        <v>1886</v>
      </c>
    </row>
    <row r="238" spans="1:16" ht="15" hidden="1" customHeight="1" outlineLevel="1" x14ac:dyDescent="0.3">
      <c r="A238" s="13" t="s">
        <v>2144</v>
      </c>
      <c r="B238" s="15" t="s">
        <v>348</v>
      </c>
      <c r="C238" s="15" t="s">
        <v>349</v>
      </c>
      <c r="D238" s="15" t="s">
        <v>892</v>
      </c>
      <c r="E238" s="20" t="s">
        <v>301</v>
      </c>
      <c r="F238" s="20" t="s">
        <v>334</v>
      </c>
      <c r="G238" s="15" t="s">
        <v>8</v>
      </c>
      <c r="H238" s="15" t="s">
        <v>906</v>
      </c>
      <c r="I238" s="15" t="e">
        <v>#N/A</v>
      </c>
      <c r="J238" s="17">
        <v>0.629</v>
      </c>
      <c r="K238" s="15" t="str">
        <f t="shared" si="3"/>
        <v>IS75_India HES Integrated_Software</v>
      </c>
      <c r="L238" s="15"/>
      <c r="M238" s="15" t="s">
        <v>896</v>
      </c>
      <c r="N238" s="15">
        <v>9</v>
      </c>
      <c r="O238" s="15" t="s">
        <v>905</v>
      </c>
      <c r="P238" s="19" t="s">
        <v>1886</v>
      </c>
    </row>
    <row r="239" spans="1:16" ht="15" hidden="1" customHeight="1" outlineLevel="1" x14ac:dyDescent="0.3">
      <c r="A239" s="13" t="s">
        <v>2144</v>
      </c>
      <c r="B239" s="15" t="s">
        <v>124</v>
      </c>
      <c r="C239" s="15" t="s">
        <v>125</v>
      </c>
      <c r="D239" s="15" t="s">
        <v>892</v>
      </c>
      <c r="E239" s="20" t="s">
        <v>44</v>
      </c>
      <c r="F239" s="20" t="s">
        <v>109</v>
      </c>
      <c r="G239" s="15" t="s">
        <v>8</v>
      </c>
      <c r="H239" s="15" t="s">
        <v>906</v>
      </c>
      <c r="I239" s="15" t="e">
        <v>#N/A</v>
      </c>
      <c r="J239" s="17">
        <v>0.629</v>
      </c>
      <c r="K239" s="15" t="str">
        <f t="shared" si="3"/>
        <v>IS77_India DPD Networker</v>
      </c>
      <c r="L239" s="15"/>
      <c r="M239" s="15" t="s">
        <v>896</v>
      </c>
      <c r="N239" s="15">
        <v>14</v>
      </c>
      <c r="O239" s="15" t="s">
        <v>905</v>
      </c>
      <c r="P239" s="19" t="s">
        <v>1886</v>
      </c>
    </row>
    <row r="240" spans="1:16" ht="15" hidden="1" customHeight="1" outlineLevel="1" x14ac:dyDescent="0.3">
      <c r="A240" s="13" t="s">
        <v>2144</v>
      </c>
      <c r="B240" s="15" t="s">
        <v>715</v>
      </c>
      <c r="C240" s="15" t="s">
        <v>1920</v>
      </c>
      <c r="D240" s="15" t="s">
        <v>892</v>
      </c>
      <c r="E240" s="20" t="s">
        <v>672</v>
      </c>
      <c r="F240" s="20" t="s">
        <v>702</v>
      </c>
      <c r="G240" s="15" t="s">
        <v>8</v>
      </c>
      <c r="H240" s="15" t="s">
        <v>906</v>
      </c>
      <c r="I240" s="15" t="e">
        <v>#N/A</v>
      </c>
      <c r="J240" s="17">
        <v>0.629</v>
      </c>
      <c r="K240" s="15" t="str">
        <f t="shared" si="3"/>
        <v>IS78_India UDS OBJ</v>
      </c>
      <c r="L240" s="15"/>
      <c r="M240" s="15" t="s">
        <v>896</v>
      </c>
      <c r="N240" s="15"/>
      <c r="O240" s="15" t="s">
        <v>905</v>
      </c>
      <c r="P240" s="19" t="s">
        <v>1886</v>
      </c>
    </row>
    <row r="241" spans="1:16" ht="15" hidden="1" customHeight="1" outlineLevel="1" x14ac:dyDescent="0.3">
      <c r="A241" s="13" t="s">
        <v>2144</v>
      </c>
      <c r="B241" s="16" t="s">
        <v>380</v>
      </c>
      <c r="C241" s="16" t="s">
        <v>381</v>
      </c>
      <c r="D241" s="16" t="s">
        <v>892</v>
      </c>
      <c r="E241" s="22" t="s">
        <v>301</v>
      </c>
      <c r="F241" s="22" t="s">
        <v>357</v>
      </c>
      <c r="G241" s="16" t="s">
        <v>8</v>
      </c>
      <c r="H241" s="16" t="s">
        <v>906</v>
      </c>
      <c r="I241" s="16" t="e">
        <v>#N/A</v>
      </c>
      <c r="J241" s="21">
        <v>0.629</v>
      </c>
      <c r="K241" s="16" t="str">
        <f t="shared" si="3"/>
        <v>IS85_India HES Symmetrix</v>
      </c>
      <c r="L241" s="16"/>
      <c r="M241" s="16" t="s">
        <v>896</v>
      </c>
      <c r="N241" s="16"/>
      <c r="O241" s="16" t="s">
        <v>905</v>
      </c>
      <c r="P241" s="19" t="s">
        <v>1886</v>
      </c>
    </row>
    <row r="242" spans="1:16" ht="15" hidden="1" customHeight="1" outlineLevel="1" x14ac:dyDescent="0.3">
      <c r="A242" s="13" t="s">
        <v>2144</v>
      </c>
      <c r="B242" s="15" t="s">
        <v>397</v>
      </c>
      <c r="C242" s="15" t="s">
        <v>398</v>
      </c>
      <c r="D242" s="15" t="s">
        <v>892</v>
      </c>
      <c r="E242" s="20" t="s">
        <v>301</v>
      </c>
      <c r="F242" s="20" t="s">
        <v>1047</v>
      </c>
      <c r="G242" s="15" t="s">
        <v>8</v>
      </c>
      <c r="H242" s="15" t="s">
        <v>906</v>
      </c>
      <c r="I242" s="15" t="e">
        <v>#N/A</v>
      </c>
      <c r="J242" s="17">
        <v>0.629</v>
      </c>
      <c r="K242" s="15" t="str">
        <f t="shared" si="3"/>
        <v>IS86_India HES SymmSW</v>
      </c>
      <c r="L242" s="15"/>
      <c r="M242" s="15" t="s">
        <v>896</v>
      </c>
      <c r="N242" s="15">
        <v>4</v>
      </c>
      <c r="O242" s="15" t="s">
        <v>905</v>
      </c>
      <c r="P242" s="19" t="s">
        <v>1886</v>
      </c>
    </row>
    <row r="243" spans="1:16" ht="15" hidden="1" customHeight="1" outlineLevel="1" x14ac:dyDescent="0.3">
      <c r="A243" s="13" t="s">
        <v>2144</v>
      </c>
      <c r="B243" s="15" t="s">
        <v>256</v>
      </c>
      <c r="C243" s="15" t="s">
        <v>257</v>
      </c>
      <c r="D243" s="15" t="s">
        <v>892</v>
      </c>
      <c r="E243" s="20" t="s">
        <v>229</v>
      </c>
      <c r="F243" s="20" t="s">
        <v>229</v>
      </c>
      <c r="G243" s="15" t="s">
        <v>8</v>
      </c>
      <c r="H243" s="15" t="s">
        <v>906</v>
      </c>
      <c r="I243" s="15" t="e">
        <v>#N/A</v>
      </c>
      <c r="J243" s="17">
        <v>0.629</v>
      </c>
      <c r="K243" s="15" t="str">
        <f t="shared" si="3"/>
        <v>IS88_INDIA HES MIDRANGE</v>
      </c>
      <c r="L243" s="15"/>
      <c r="M243" s="15" t="s">
        <v>896</v>
      </c>
      <c r="N243" s="15">
        <v>16</v>
      </c>
      <c r="O243" s="15" t="s">
        <v>905</v>
      </c>
      <c r="P243" s="19" t="s">
        <v>1886</v>
      </c>
    </row>
    <row r="244" spans="1:16" ht="15" hidden="1" customHeight="1" outlineLevel="1" x14ac:dyDescent="0.3">
      <c r="A244" s="13" t="s">
        <v>2144</v>
      </c>
      <c r="B244" s="15" t="s">
        <v>414</v>
      </c>
      <c r="C244" s="15" t="s">
        <v>415</v>
      </c>
      <c r="D244" s="15" t="s">
        <v>892</v>
      </c>
      <c r="E244" s="20" t="s">
        <v>301</v>
      </c>
      <c r="F244" s="20" t="s">
        <v>403</v>
      </c>
      <c r="G244" s="15" t="s">
        <v>8</v>
      </c>
      <c r="H244" s="15" t="s">
        <v>906</v>
      </c>
      <c r="I244" s="15" t="e">
        <v>#N/A</v>
      </c>
      <c r="J244" s="17">
        <v>0.629</v>
      </c>
      <c r="K244" s="15" t="str">
        <f t="shared" si="3"/>
        <v>IS90_India HES Vplex</v>
      </c>
      <c r="L244" s="15"/>
      <c r="M244" s="15" t="s">
        <v>896</v>
      </c>
      <c r="N244" s="15">
        <v>6</v>
      </c>
      <c r="O244" s="15" t="s">
        <v>905</v>
      </c>
      <c r="P244" s="19" t="s">
        <v>1886</v>
      </c>
    </row>
    <row r="245" spans="1:16" ht="15" hidden="1" customHeight="1" outlineLevel="1" x14ac:dyDescent="0.3">
      <c r="A245" s="13" t="s">
        <v>2144</v>
      </c>
      <c r="B245" s="15" t="s">
        <v>432</v>
      </c>
      <c r="C245" s="15" t="s">
        <v>433</v>
      </c>
      <c r="D245" s="15" t="s">
        <v>892</v>
      </c>
      <c r="E245" s="20" t="s">
        <v>301</v>
      </c>
      <c r="F245" s="20" t="s">
        <v>419</v>
      </c>
      <c r="G245" s="15" t="s">
        <v>8</v>
      </c>
      <c r="H245" s="15" t="s">
        <v>906</v>
      </c>
      <c r="I245" s="15" t="e">
        <v>#N/A</v>
      </c>
      <c r="J245" s="17">
        <v>0.629</v>
      </c>
      <c r="K245" s="15" t="str">
        <f t="shared" si="3"/>
        <v>IS91_India HES XtremIO</v>
      </c>
      <c r="L245" s="15"/>
      <c r="M245" s="15" t="s">
        <v>896</v>
      </c>
      <c r="N245" s="15">
        <v>9</v>
      </c>
      <c r="O245" s="15" t="s">
        <v>905</v>
      </c>
      <c r="P245" s="19" t="s">
        <v>1886</v>
      </c>
    </row>
    <row r="246" spans="1:16" ht="15" hidden="1" customHeight="1" outlineLevel="1" x14ac:dyDescent="0.3">
      <c r="A246" s="13" t="s">
        <v>2144</v>
      </c>
      <c r="B246" s="15" t="s">
        <v>62</v>
      </c>
      <c r="C246" s="15" t="s">
        <v>63</v>
      </c>
      <c r="D246" s="15" t="s">
        <v>892</v>
      </c>
      <c r="E246" s="20" t="s">
        <v>44</v>
      </c>
      <c r="F246" s="20" t="s">
        <v>45</v>
      </c>
      <c r="G246" s="15" t="s">
        <v>8</v>
      </c>
      <c r="H246" s="15" t="s">
        <v>935</v>
      </c>
      <c r="I246" s="15" t="s">
        <v>1069</v>
      </c>
      <c r="J246" s="17">
        <v>0.626</v>
      </c>
      <c r="K246" s="15" t="str">
        <f t="shared" si="3"/>
        <v>IS92_LATAM DPD AVAMAR</v>
      </c>
      <c r="L246" s="15"/>
      <c r="M246" s="15" t="s">
        <v>1885</v>
      </c>
      <c r="N246" s="15">
        <v>9</v>
      </c>
      <c r="O246" s="15" t="s">
        <v>905</v>
      </c>
      <c r="P246" s="19" t="s">
        <v>1886</v>
      </c>
    </row>
    <row r="247" spans="1:16" ht="15" hidden="1" customHeight="1" outlineLevel="1" x14ac:dyDescent="0.3">
      <c r="A247" s="13" t="s">
        <v>2144</v>
      </c>
      <c r="B247" s="15" t="s">
        <v>88</v>
      </c>
      <c r="C247" s="15" t="s">
        <v>89</v>
      </c>
      <c r="D247" s="15" t="s">
        <v>892</v>
      </c>
      <c r="E247" s="20" t="s">
        <v>44</v>
      </c>
      <c r="F247" s="20" t="s">
        <v>71</v>
      </c>
      <c r="G247" s="15" t="s">
        <v>8</v>
      </c>
      <c r="H247" s="15" t="s">
        <v>935</v>
      </c>
      <c r="I247" s="15" t="s">
        <v>1069</v>
      </c>
      <c r="J247" s="17">
        <v>0.626</v>
      </c>
      <c r="K247" s="15" t="str">
        <f t="shared" si="3"/>
        <v>IS96_LATAM DPD DataDomain</v>
      </c>
      <c r="L247" s="15"/>
      <c r="M247" s="15" t="s">
        <v>1885</v>
      </c>
      <c r="N247" s="15">
        <v>9</v>
      </c>
      <c r="O247" s="15" t="s">
        <v>905</v>
      </c>
      <c r="P247" s="19" t="s">
        <v>1886</v>
      </c>
    </row>
    <row r="248" spans="1:16" ht="15" hidden="1" customHeight="1" outlineLevel="1" x14ac:dyDescent="0.3">
      <c r="A248" s="13" t="s">
        <v>2144</v>
      </c>
      <c r="B248" s="15" t="s">
        <v>97</v>
      </c>
      <c r="C248" s="15" t="s">
        <v>98</v>
      </c>
      <c r="D248" s="15" t="s">
        <v>892</v>
      </c>
      <c r="E248" s="20" t="s">
        <v>44</v>
      </c>
      <c r="F248" s="15" t="s">
        <v>92</v>
      </c>
      <c r="G248" s="15" t="s">
        <v>8</v>
      </c>
      <c r="H248" s="15" t="s">
        <v>935</v>
      </c>
      <c r="I248" s="15" t="s">
        <v>1076</v>
      </c>
      <c r="J248" s="17">
        <v>0.626</v>
      </c>
      <c r="K248" s="15" t="str">
        <f t="shared" si="3"/>
        <v>IS98_LATAM DPD DPA</v>
      </c>
      <c r="L248" s="15"/>
      <c r="M248" s="15" t="s">
        <v>896</v>
      </c>
      <c r="N248" s="15"/>
      <c r="O248" s="15" t="s">
        <v>905</v>
      </c>
      <c r="P248" s="19" t="s">
        <v>1886</v>
      </c>
    </row>
    <row r="249" spans="1:16" ht="15" hidden="1" customHeight="1" outlineLevel="1" x14ac:dyDescent="0.3">
      <c r="A249" s="13" t="s">
        <v>2144</v>
      </c>
      <c r="B249" s="15" t="s">
        <v>206</v>
      </c>
      <c r="C249" s="15" t="s">
        <v>207</v>
      </c>
      <c r="D249" s="15" t="s">
        <v>892</v>
      </c>
      <c r="E249" s="20" t="s">
        <v>158</v>
      </c>
      <c r="F249" s="20" t="s">
        <v>173</v>
      </c>
      <c r="G249" s="15" t="s">
        <v>8</v>
      </c>
      <c r="H249" s="15" t="s">
        <v>935</v>
      </c>
      <c r="I249" s="15" t="s">
        <v>1069</v>
      </c>
      <c r="J249" s="17">
        <v>0.626</v>
      </c>
      <c r="K249" s="15" t="str">
        <f t="shared" si="3"/>
        <v>IU02_HCS LATAM VxRail</v>
      </c>
      <c r="L249" s="15"/>
      <c r="M249" s="15" t="s">
        <v>896</v>
      </c>
      <c r="N249" s="15">
        <v>24</v>
      </c>
      <c r="O249" s="15" t="s">
        <v>905</v>
      </c>
      <c r="P249" s="19" t="s">
        <v>1886</v>
      </c>
    </row>
    <row r="250" spans="1:16" ht="15" hidden="1" customHeight="1" outlineLevel="1" x14ac:dyDescent="0.3">
      <c r="A250" s="13" t="s">
        <v>2144</v>
      </c>
      <c r="B250" s="15" t="s">
        <v>126</v>
      </c>
      <c r="C250" s="15" t="s">
        <v>127</v>
      </c>
      <c r="D250" s="15" t="s">
        <v>892</v>
      </c>
      <c r="E250" s="20" t="s">
        <v>44</v>
      </c>
      <c r="F250" s="20" t="s">
        <v>109</v>
      </c>
      <c r="G250" s="15" t="s">
        <v>8</v>
      </c>
      <c r="H250" s="15" t="s">
        <v>935</v>
      </c>
      <c r="I250" s="15" t="s">
        <v>1069</v>
      </c>
      <c r="J250" s="17">
        <v>0.626</v>
      </c>
      <c r="K250" s="15" t="str">
        <f t="shared" si="3"/>
        <v>IU05_LATAM DPD Networker</v>
      </c>
      <c r="L250" s="15"/>
      <c r="M250" s="15" t="s">
        <v>1885</v>
      </c>
      <c r="N250" s="15">
        <v>11</v>
      </c>
      <c r="O250" s="15" t="s">
        <v>905</v>
      </c>
      <c r="P250" s="19" t="s">
        <v>1886</v>
      </c>
    </row>
    <row r="251" spans="1:16" ht="15" hidden="1" customHeight="1" outlineLevel="1" x14ac:dyDescent="0.3">
      <c r="A251" s="13" t="s">
        <v>2144</v>
      </c>
      <c r="B251" s="15" t="s">
        <v>717</v>
      </c>
      <c r="C251" s="15" t="s">
        <v>1921</v>
      </c>
      <c r="D251" s="15" t="s">
        <v>892</v>
      </c>
      <c r="E251" s="20" t="s">
        <v>672</v>
      </c>
      <c r="F251" s="20" t="s">
        <v>702</v>
      </c>
      <c r="G251" s="15" t="s">
        <v>8</v>
      </c>
      <c r="H251" s="15" t="s">
        <v>912</v>
      </c>
      <c r="I251" s="15" t="e">
        <v>#N/A</v>
      </c>
      <c r="J251" s="17">
        <v>0.61699999999999999</v>
      </c>
      <c r="K251" s="15" t="str">
        <f t="shared" si="3"/>
        <v>IU06_EMEA UDS OBJ</v>
      </c>
      <c r="L251" s="15"/>
      <c r="M251" s="15" t="s">
        <v>896</v>
      </c>
      <c r="N251" s="15">
        <v>14</v>
      </c>
      <c r="O251" s="15" t="s">
        <v>905</v>
      </c>
      <c r="P251" s="19" t="s">
        <v>1886</v>
      </c>
    </row>
    <row r="252" spans="1:16" ht="15" hidden="1" customHeight="1" outlineLevel="1" x14ac:dyDescent="0.3">
      <c r="A252" s="13" t="s">
        <v>2144</v>
      </c>
      <c r="B252" s="15" t="s">
        <v>382</v>
      </c>
      <c r="C252" s="15" t="s">
        <v>383</v>
      </c>
      <c r="D252" s="15" t="s">
        <v>892</v>
      </c>
      <c r="E252" s="20" t="s">
        <v>301</v>
      </c>
      <c r="F252" s="20" t="s">
        <v>357</v>
      </c>
      <c r="G252" s="15" t="s">
        <v>8</v>
      </c>
      <c r="H252" s="15" t="s">
        <v>935</v>
      </c>
      <c r="I252" s="15" t="s">
        <v>1069</v>
      </c>
      <c r="J252" s="17">
        <v>0.626</v>
      </c>
      <c r="K252" s="15" t="str">
        <f t="shared" si="3"/>
        <v>IU13_LATAM HES Symmetrix</v>
      </c>
      <c r="L252" s="15"/>
      <c r="M252" s="15" t="s">
        <v>937</v>
      </c>
      <c r="N252" s="15">
        <v>14</v>
      </c>
      <c r="O252" s="15" t="s">
        <v>905</v>
      </c>
      <c r="P252" s="19" t="s">
        <v>1886</v>
      </c>
    </row>
    <row r="253" spans="1:16" ht="15" hidden="1" customHeight="1" outlineLevel="1" x14ac:dyDescent="0.3">
      <c r="A253" s="13" t="s">
        <v>2144</v>
      </c>
      <c r="B253" s="15" t="s">
        <v>399</v>
      </c>
      <c r="C253" s="15" t="s">
        <v>400</v>
      </c>
      <c r="D253" s="15" t="s">
        <v>892</v>
      </c>
      <c r="E253" s="20" t="s">
        <v>301</v>
      </c>
      <c r="F253" s="20" t="s">
        <v>386</v>
      </c>
      <c r="G253" s="15" t="s">
        <v>8</v>
      </c>
      <c r="H253" s="15" t="s">
        <v>935</v>
      </c>
      <c r="I253" s="15" t="s">
        <v>1069</v>
      </c>
      <c r="J253" s="17">
        <v>0.626</v>
      </c>
      <c r="K253" s="15" t="str">
        <f t="shared" si="3"/>
        <v>IU14_LATAM HES SymmSW</v>
      </c>
      <c r="L253" s="15"/>
      <c r="M253" s="15" t="s">
        <v>972</v>
      </c>
      <c r="N253" s="15">
        <v>0</v>
      </c>
      <c r="O253" s="15" t="s">
        <v>905</v>
      </c>
      <c r="P253" s="19" t="s">
        <v>1886</v>
      </c>
    </row>
    <row r="254" spans="1:16" ht="15" hidden="1" customHeight="1" outlineLevel="1" x14ac:dyDescent="0.3">
      <c r="A254" s="13" t="s">
        <v>2144</v>
      </c>
      <c r="B254" s="15" t="s">
        <v>258</v>
      </c>
      <c r="C254" s="15" t="s">
        <v>259</v>
      </c>
      <c r="D254" s="15" t="s">
        <v>892</v>
      </c>
      <c r="E254" s="20" t="s">
        <v>229</v>
      </c>
      <c r="F254" s="20" t="s">
        <v>229</v>
      </c>
      <c r="G254" s="15" t="s">
        <v>8</v>
      </c>
      <c r="H254" s="15" t="s">
        <v>935</v>
      </c>
      <c r="I254" s="15" t="s">
        <v>1069</v>
      </c>
      <c r="J254" s="17">
        <v>0.626</v>
      </c>
      <c r="K254" s="15" t="str">
        <f t="shared" si="3"/>
        <v>IU16_LATAM HES MIDRANGE</v>
      </c>
      <c r="L254" s="15"/>
      <c r="M254" s="15" t="s">
        <v>937</v>
      </c>
      <c r="N254" s="15">
        <v>0</v>
      </c>
      <c r="O254" s="15" t="s">
        <v>905</v>
      </c>
      <c r="P254" s="19" t="s">
        <v>1886</v>
      </c>
    </row>
    <row r="255" spans="1:16" ht="15" hidden="1" customHeight="1" outlineLevel="1" x14ac:dyDescent="0.3">
      <c r="A255" s="13" t="s">
        <v>2144</v>
      </c>
      <c r="B255" s="16" t="s">
        <v>324</v>
      </c>
      <c r="C255" s="16" t="s">
        <v>323</v>
      </c>
      <c r="D255" s="16" t="s">
        <v>892</v>
      </c>
      <c r="E255" s="22" t="s">
        <v>301</v>
      </c>
      <c r="F255" s="22" t="s">
        <v>305</v>
      </c>
      <c r="G255" s="16" t="s">
        <v>8</v>
      </c>
      <c r="H255" s="16" t="s">
        <v>893</v>
      </c>
      <c r="I255" s="16" t="s">
        <v>1070</v>
      </c>
      <c r="J255" s="21">
        <v>0.64800000000000002</v>
      </c>
      <c r="K255" s="16" t="str">
        <f t="shared" si="3"/>
        <v>IU23a_NAMER HES Connectivity</v>
      </c>
      <c r="L255" s="16"/>
      <c r="M255" s="16" t="s">
        <v>972</v>
      </c>
      <c r="N255" s="16">
        <v>0</v>
      </c>
      <c r="O255" s="16" t="s">
        <v>905</v>
      </c>
      <c r="P255" s="19" t="s">
        <v>1886</v>
      </c>
    </row>
    <row r="256" spans="1:16" ht="15" hidden="1" customHeight="1" outlineLevel="1" x14ac:dyDescent="0.3">
      <c r="A256" s="13" t="s">
        <v>2144</v>
      </c>
      <c r="B256" s="15" t="s">
        <v>208</v>
      </c>
      <c r="C256" s="15" t="s">
        <v>209</v>
      </c>
      <c r="D256" s="15" t="s">
        <v>928</v>
      </c>
      <c r="E256" s="15" t="s">
        <v>158</v>
      </c>
      <c r="F256" s="15" t="s">
        <v>173</v>
      </c>
      <c r="G256" s="15" t="s">
        <v>8</v>
      </c>
      <c r="H256" s="15" t="s">
        <v>893</v>
      </c>
      <c r="I256" s="15" t="s">
        <v>1070</v>
      </c>
      <c r="J256" s="17">
        <v>0.64800000000000002</v>
      </c>
      <c r="K256" s="15" t="str">
        <f t="shared" si="3"/>
        <v>IU29_HCS NAMER VxRail</v>
      </c>
      <c r="L256" s="15"/>
      <c r="M256" s="15" t="s">
        <v>1810</v>
      </c>
      <c r="N256" s="15">
        <v>14</v>
      </c>
      <c r="O256" s="15" t="s">
        <v>905</v>
      </c>
      <c r="P256" s="19" t="s">
        <v>1886</v>
      </c>
    </row>
    <row r="257" spans="1:16" ht="15" hidden="1" customHeight="1" outlineLevel="1" x14ac:dyDescent="0.3">
      <c r="A257" s="13" t="s">
        <v>2144</v>
      </c>
      <c r="B257" s="15" t="s">
        <v>719</v>
      </c>
      <c r="C257" s="15" t="s">
        <v>1922</v>
      </c>
      <c r="D257" s="15" t="s">
        <v>892</v>
      </c>
      <c r="E257" s="20" t="s">
        <v>672</v>
      </c>
      <c r="F257" s="20" t="s">
        <v>702</v>
      </c>
      <c r="G257" s="15" t="s">
        <v>8</v>
      </c>
      <c r="H257" s="15" t="s">
        <v>903</v>
      </c>
      <c r="I257" s="15" t="e">
        <v>#N/A</v>
      </c>
      <c r="J257" s="17">
        <v>0.629</v>
      </c>
      <c r="K257" s="15" t="str">
        <f t="shared" si="3"/>
        <v>IU33_APJ UDS OBJ</v>
      </c>
      <c r="L257" s="15"/>
      <c r="M257" s="15" t="s">
        <v>896</v>
      </c>
      <c r="N257" s="15">
        <v>14</v>
      </c>
      <c r="O257" s="15" t="s">
        <v>905</v>
      </c>
      <c r="P257" s="19" t="s">
        <v>1886</v>
      </c>
    </row>
    <row r="258" spans="1:16" ht="15" hidden="1" customHeight="1" outlineLevel="1" x14ac:dyDescent="0.3">
      <c r="A258" s="13" t="s">
        <v>2144</v>
      </c>
      <c r="B258" s="16" t="s">
        <v>418</v>
      </c>
      <c r="C258" s="16" t="s">
        <v>417</v>
      </c>
      <c r="D258" s="16" t="s">
        <v>892</v>
      </c>
      <c r="E258" s="22" t="s">
        <v>301</v>
      </c>
      <c r="F258" s="22" t="s">
        <v>403</v>
      </c>
      <c r="G258" s="16" t="s">
        <v>8</v>
      </c>
      <c r="H258" s="16" t="s">
        <v>893</v>
      </c>
      <c r="I258" s="16" t="s">
        <v>894</v>
      </c>
      <c r="J258" s="21">
        <v>0.64800000000000002</v>
      </c>
      <c r="K258" s="16" t="str">
        <f t="shared" ref="K258:K321" si="4">B258&amp;"_"&amp;C258</f>
        <v>IU45a_NAMER HES Vplex</v>
      </c>
      <c r="L258" s="16"/>
      <c r="M258" s="16" t="s">
        <v>972</v>
      </c>
      <c r="N258" s="16">
        <v>0</v>
      </c>
      <c r="O258" s="16" t="s">
        <v>905</v>
      </c>
      <c r="P258" s="19" t="s">
        <v>1886</v>
      </c>
    </row>
    <row r="259" spans="1:16" ht="15" hidden="1" customHeight="1" outlineLevel="1" x14ac:dyDescent="0.3">
      <c r="A259" s="13" t="s">
        <v>2144</v>
      </c>
      <c r="B259" s="15" t="s">
        <v>434</v>
      </c>
      <c r="C259" s="15" t="s">
        <v>435</v>
      </c>
      <c r="D259" s="15" t="s">
        <v>892</v>
      </c>
      <c r="E259" s="20" t="s">
        <v>301</v>
      </c>
      <c r="F259" s="20" t="s">
        <v>419</v>
      </c>
      <c r="G259" s="15" t="s">
        <v>8</v>
      </c>
      <c r="H259" s="15" t="s">
        <v>893</v>
      </c>
      <c r="I259" s="15" t="s">
        <v>894</v>
      </c>
      <c r="J259" s="17">
        <v>0.64800000000000002</v>
      </c>
      <c r="K259" s="15" t="str">
        <f t="shared" si="4"/>
        <v>IU46_NAMER HES XtremIO</v>
      </c>
      <c r="L259" s="15"/>
      <c r="M259" s="15" t="s">
        <v>972</v>
      </c>
      <c r="N259" s="15">
        <v>0</v>
      </c>
      <c r="O259" s="15" t="s">
        <v>905</v>
      </c>
      <c r="P259" s="19" t="s">
        <v>1886</v>
      </c>
    </row>
    <row r="260" spans="1:16" ht="15" hidden="1" customHeight="1" outlineLevel="1" x14ac:dyDescent="0.3">
      <c r="A260" s="13" t="s">
        <v>2144</v>
      </c>
      <c r="B260" s="15" t="s">
        <v>210</v>
      </c>
      <c r="C260" s="15" t="s">
        <v>211</v>
      </c>
      <c r="D260" s="15" t="s">
        <v>914</v>
      </c>
      <c r="E260" s="15" t="s">
        <v>158</v>
      </c>
      <c r="F260" s="15" t="s">
        <v>173</v>
      </c>
      <c r="G260" s="15" t="s">
        <v>8</v>
      </c>
      <c r="H260" s="15" t="s">
        <v>903</v>
      </c>
      <c r="I260" s="15" t="s">
        <v>906</v>
      </c>
      <c r="J260" s="17">
        <v>0.629</v>
      </c>
      <c r="K260" s="15" t="str">
        <f t="shared" si="4"/>
        <v>IV03_HCS APJ VxRail English NAMER AOH</v>
      </c>
      <c r="L260" s="15"/>
      <c r="M260" s="15" t="s">
        <v>1810</v>
      </c>
      <c r="N260" s="15">
        <v>9</v>
      </c>
      <c r="O260" s="15" t="s">
        <v>905</v>
      </c>
      <c r="P260" s="19" t="s">
        <v>1886</v>
      </c>
    </row>
    <row r="261" spans="1:16" ht="15" hidden="1" customHeight="1" outlineLevel="1" x14ac:dyDescent="0.3">
      <c r="A261" s="13" t="s">
        <v>2144</v>
      </c>
      <c r="B261" s="15" t="s">
        <v>759</v>
      </c>
      <c r="C261" s="15" t="s">
        <v>760</v>
      </c>
      <c r="D261" s="15" t="s">
        <v>892</v>
      </c>
      <c r="E261" s="15"/>
      <c r="F261" s="20" t="s">
        <v>229</v>
      </c>
      <c r="G261" s="15" t="s">
        <v>8</v>
      </c>
      <c r="H261" s="15" t="s">
        <v>903</v>
      </c>
      <c r="I261" s="15" t="s">
        <v>918</v>
      </c>
      <c r="J261" s="17">
        <v>0.629</v>
      </c>
      <c r="K261" s="15" t="str">
        <f t="shared" si="4"/>
        <v>JM01_JP Midrange Storage VNX/e</v>
      </c>
      <c r="L261" s="15"/>
      <c r="M261" s="15" t="s">
        <v>896</v>
      </c>
      <c r="N261" s="15">
        <v>14</v>
      </c>
      <c r="O261" s="15" t="s">
        <v>905</v>
      </c>
      <c r="P261" s="19" t="s">
        <v>1886</v>
      </c>
    </row>
    <row r="262" spans="1:16" ht="15" hidden="1" customHeight="1" outlineLevel="1" x14ac:dyDescent="0.3">
      <c r="A262" s="13" t="s">
        <v>2144</v>
      </c>
      <c r="B262" s="15" t="s">
        <v>745</v>
      </c>
      <c r="C262" s="15" t="s">
        <v>746</v>
      </c>
      <c r="D262" s="15" t="s">
        <v>892</v>
      </c>
      <c r="E262" s="15"/>
      <c r="F262" s="15" t="s">
        <v>173</v>
      </c>
      <c r="G262" s="15" t="s">
        <v>8</v>
      </c>
      <c r="H262" s="15" t="s">
        <v>903</v>
      </c>
      <c r="I262" s="15" t="s">
        <v>918</v>
      </c>
      <c r="J262" s="17">
        <v>0.629</v>
      </c>
      <c r="K262" s="15" t="str">
        <f t="shared" si="4"/>
        <v>JV01_JP VX Rail Storage</v>
      </c>
      <c r="L262" s="15"/>
      <c r="M262" s="15" t="s">
        <v>896</v>
      </c>
      <c r="N262" s="15">
        <v>14</v>
      </c>
      <c r="O262" s="15" t="s">
        <v>905</v>
      </c>
      <c r="P262" s="19" t="s">
        <v>1886</v>
      </c>
    </row>
    <row r="263" spans="1:16" s="35" customFormat="1" ht="15" hidden="1" customHeight="1" outlineLevel="1" x14ac:dyDescent="0.3">
      <c r="A263" s="13" t="s">
        <v>2144</v>
      </c>
      <c r="B263" s="15" t="s">
        <v>780</v>
      </c>
      <c r="C263" s="15" t="s">
        <v>781</v>
      </c>
      <c r="D263" s="15" t="s">
        <v>892</v>
      </c>
      <c r="E263" s="15"/>
      <c r="F263" s="20" t="s">
        <v>779</v>
      </c>
      <c r="G263" s="15" t="s">
        <v>8</v>
      </c>
      <c r="H263" s="15" t="s">
        <v>935</v>
      </c>
      <c r="I263" s="15" t="s">
        <v>1069</v>
      </c>
      <c r="J263" s="17">
        <v>0.626</v>
      </c>
      <c r="K263" s="15" t="str">
        <f t="shared" si="4"/>
        <v>MR01_MMCLA Midrange Storage VNX/e Spanish</v>
      </c>
      <c r="L263" s="15"/>
      <c r="M263" s="15" t="s">
        <v>896</v>
      </c>
      <c r="N263" s="15"/>
      <c r="O263" s="15" t="s">
        <v>905</v>
      </c>
      <c r="P263" s="19" t="s">
        <v>1886</v>
      </c>
    </row>
    <row r="264" spans="1:16" ht="15" hidden="1" customHeight="1" outlineLevel="1" x14ac:dyDescent="0.3">
      <c r="A264" s="13" t="s">
        <v>2144</v>
      </c>
      <c r="B264" s="15" t="s">
        <v>747</v>
      </c>
      <c r="C264" s="15" t="s">
        <v>1923</v>
      </c>
      <c r="D264" s="15" t="s">
        <v>892</v>
      </c>
      <c r="E264" s="15"/>
      <c r="F264" s="15" t="s">
        <v>173</v>
      </c>
      <c r="G264" s="15" t="s">
        <v>8</v>
      </c>
      <c r="H264" s="15" t="s">
        <v>935</v>
      </c>
      <c r="I264" s="15" t="s">
        <v>1069</v>
      </c>
      <c r="J264" s="17">
        <v>0.626</v>
      </c>
      <c r="K264" s="15" t="str">
        <f t="shared" si="4"/>
        <v>MR02_MMCLA VXRail Spanish</v>
      </c>
      <c r="L264" s="15"/>
      <c r="M264" s="15" t="s">
        <v>896</v>
      </c>
      <c r="N264" s="15"/>
      <c r="O264" s="15" t="s">
        <v>905</v>
      </c>
      <c r="P264" s="19" t="s">
        <v>1886</v>
      </c>
    </row>
    <row r="265" spans="1:16" ht="15" hidden="1" customHeight="1" outlineLevel="1" x14ac:dyDescent="0.3">
      <c r="A265" s="13" t="s">
        <v>2144</v>
      </c>
      <c r="B265" s="16" t="s">
        <v>130</v>
      </c>
      <c r="C265" s="16" t="s">
        <v>133</v>
      </c>
      <c r="D265" s="16" t="s">
        <v>892</v>
      </c>
      <c r="E265" s="22" t="s">
        <v>44</v>
      </c>
      <c r="F265" s="16" t="s">
        <v>130</v>
      </c>
      <c r="G265" s="16" t="s">
        <v>8</v>
      </c>
      <c r="H265" s="16" t="s">
        <v>893</v>
      </c>
      <c r="I265" s="16"/>
      <c r="J265" s="21">
        <v>0.64800000000000002</v>
      </c>
      <c r="K265" s="16" t="str">
        <f t="shared" si="4"/>
        <v>PowerProtect_NAMER DPD PowerProtect</v>
      </c>
      <c r="L265" s="16"/>
      <c r="M265" s="16" t="s">
        <v>896</v>
      </c>
      <c r="N265" s="16">
        <v>14</v>
      </c>
      <c r="O265" s="16" t="s">
        <v>905</v>
      </c>
      <c r="P265" s="19" t="s">
        <v>1886</v>
      </c>
    </row>
    <row r="266" spans="1:16" ht="15" hidden="1" customHeight="1" outlineLevel="1" x14ac:dyDescent="0.3">
      <c r="A266" s="13" t="s">
        <v>2144</v>
      </c>
      <c r="B266" s="15" t="s">
        <v>761</v>
      </c>
      <c r="C266" s="15" t="s">
        <v>762</v>
      </c>
      <c r="D266" s="15" t="s">
        <v>892</v>
      </c>
      <c r="E266" s="15"/>
      <c r="F266" s="20" t="s">
        <v>229</v>
      </c>
      <c r="G266" s="15" t="s">
        <v>8</v>
      </c>
      <c r="H266" s="15" t="s">
        <v>935</v>
      </c>
      <c r="I266" s="15" t="s">
        <v>1076</v>
      </c>
      <c r="J266" s="17">
        <v>0.626</v>
      </c>
      <c r="K266" s="15" t="str">
        <f t="shared" si="4"/>
        <v>RL14_MMCLA Midrange Storage VNX/e</v>
      </c>
      <c r="L266" s="15"/>
      <c r="M266" s="15" t="s">
        <v>896</v>
      </c>
      <c r="N266" s="15"/>
      <c r="O266" s="15" t="s">
        <v>905</v>
      </c>
      <c r="P266" s="19" t="s">
        <v>1886</v>
      </c>
    </row>
    <row r="267" spans="1:16" ht="15" hidden="1" customHeight="1" outlineLevel="1" x14ac:dyDescent="0.3">
      <c r="A267" s="13" t="s">
        <v>2144</v>
      </c>
      <c r="B267" s="15" t="s">
        <v>262</v>
      </c>
      <c r="C267" s="15" t="s">
        <v>263</v>
      </c>
      <c r="D267" s="15" t="s">
        <v>892</v>
      </c>
      <c r="E267" s="20" t="s">
        <v>229</v>
      </c>
      <c r="F267" s="20" t="s">
        <v>229</v>
      </c>
      <c r="G267" s="15" t="s">
        <v>8</v>
      </c>
      <c r="H267" s="15" t="s">
        <v>893</v>
      </c>
      <c r="I267" s="15" t="e">
        <v>#N/A</v>
      </c>
      <c r="J267" s="17">
        <v>0.64800000000000002</v>
      </c>
      <c r="K267" s="15" t="str">
        <f t="shared" si="4"/>
        <v>VX01_NA Midrange Storage VNX/e</v>
      </c>
      <c r="L267" s="15"/>
      <c r="M267" s="15" t="s">
        <v>896</v>
      </c>
      <c r="N267" s="15">
        <v>14</v>
      </c>
      <c r="O267" s="15" t="s">
        <v>905</v>
      </c>
      <c r="P267" s="19" t="s">
        <v>1886</v>
      </c>
    </row>
    <row r="268" spans="1:16" ht="15" hidden="1" customHeight="1" outlineLevel="1" x14ac:dyDescent="0.3">
      <c r="A268" s="13" t="s">
        <v>2144</v>
      </c>
      <c r="B268" s="15" t="s">
        <v>214</v>
      </c>
      <c r="C268" s="15" t="s">
        <v>215</v>
      </c>
      <c r="D268" s="15" t="s">
        <v>892</v>
      </c>
      <c r="E268" s="20" t="s">
        <v>158</v>
      </c>
      <c r="F268" s="20" t="s">
        <v>173</v>
      </c>
      <c r="G268" s="15" t="s">
        <v>8</v>
      </c>
      <c r="H268" s="15" t="s">
        <v>893</v>
      </c>
      <c r="I268" s="15" t="e">
        <v>#N/A</v>
      </c>
      <c r="J268" s="17">
        <v>0.64800000000000002</v>
      </c>
      <c r="K268" s="15" t="str">
        <f t="shared" si="4"/>
        <v>VX02_NA VX Rail Storage</v>
      </c>
      <c r="L268" s="15"/>
      <c r="M268" s="15" t="s">
        <v>896</v>
      </c>
      <c r="N268" s="15">
        <v>14</v>
      </c>
      <c r="O268" s="15" t="s">
        <v>905</v>
      </c>
      <c r="P268" s="19" t="s">
        <v>1886</v>
      </c>
    </row>
    <row r="269" spans="1:16" ht="15" hidden="1" customHeight="1" outlineLevel="1" x14ac:dyDescent="0.3">
      <c r="A269" s="13" t="s">
        <v>2144</v>
      </c>
      <c r="B269" s="15" t="s">
        <v>216</v>
      </c>
      <c r="C269" s="15" t="s">
        <v>217</v>
      </c>
      <c r="D269" s="15" t="s">
        <v>892</v>
      </c>
      <c r="E269" s="20" t="s">
        <v>158</v>
      </c>
      <c r="F269" s="15" t="s">
        <v>173</v>
      </c>
      <c r="G269" s="15" t="s">
        <v>8</v>
      </c>
      <c r="H269" s="15" t="s">
        <v>893</v>
      </c>
      <c r="I269" s="15" t="e">
        <v>#N/A</v>
      </c>
      <c r="J269" s="17">
        <v>0.64800000000000002</v>
      </c>
      <c r="K269" s="15" t="str">
        <f t="shared" si="4"/>
        <v>VX03_VXRail</v>
      </c>
      <c r="L269" s="15"/>
      <c r="M269" s="15" t="s">
        <v>896</v>
      </c>
      <c r="N269" s="15">
        <v>14</v>
      </c>
      <c r="O269" s="15" t="s">
        <v>905</v>
      </c>
      <c r="P269" s="19" t="s">
        <v>1886</v>
      </c>
    </row>
    <row r="270" spans="1:16" ht="15" hidden="1" customHeight="1" outlineLevel="1" x14ac:dyDescent="0.3">
      <c r="A270" s="13" t="s">
        <v>2144</v>
      </c>
      <c r="B270" s="15" t="s">
        <v>264</v>
      </c>
      <c r="C270" s="15" t="s">
        <v>265</v>
      </c>
      <c r="D270" s="15" t="s">
        <v>892</v>
      </c>
      <c r="E270" s="20" t="s">
        <v>229</v>
      </c>
      <c r="F270" s="20" t="s">
        <v>229</v>
      </c>
      <c r="G270" s="15" t="s">
        <v>8</v>
      </c>
      <c r="H270" s="15" t="s">
        <v>893</v>
      </c>
      <c r="I270" s="15" t="e">
        <v>#N/A</v>
      </c>
      <c r="J270" s="17">
        <v>0.64800000000000002</v>
      </c>
      <c r="K270" s="15" t="str">
        <f t="shared" si="4"/>
        <v>VX04_Midrange Storage VNX/e</v>
      </c>
      <c r="L270" s="15"/>
      <c r="M270" s="15" t="s">
        <v>896</v>
      </c>
      <c r="N270" s="15"/>
      <c r="O270" s="15" t="s">
        <v>905</v>
      </c>
      <c r="P270" s="19" t="s">
        <v>1886</v>
      </c>
    </row>
    <row r="271" spans="1:16" s="32" customFormat="1" ht="15" hidden="1" customHeight="1" outlineLevel="1" x14ac:dyDescent="0.3">
      <c r="A271" s="13" t="s">
        <v>2144</v>
      </c>
      <c r="B271" s="15" t="s">
        <v>787</v>
      </c>
      <c r="C271" s="15" t="s">
        <v>788</v>
      </c>
      <c r="D271" s="15" t="s">
        <v>1845</v>
      </c>
      <c r="E271" s="15"/>
      <c r="F271" s="20" t="s">
        <v>147</v>
      </c>
      <c r="G271" s="15" t="s">
        <v>900</v>
      </c>
      <c r="H271" s="15" t="s">
        <v>903</v>
      </c>
      <c r="I271" s="15" t="s">
        <v>906</v>
      </c>
      <c r="J271" s="17">
        <v>0.629</v>
      </c>
      <c r="K271" s="15" t="str">
        <f t="shared" si="4"/>
        <v>WP01_GLOBAL HES Wipro</v>
      </c>
      <c r="L271" s="15"/>
      <c r="M271" s="15" t="s">
        <v>896</v>
      </c>
      <c r="N271" s="15"/>
      <c r="O271" s="15" t="s">
        <v>905</v>
      </c>
      <c r="P271" s="19" t="s">
        <v>1886</v>
      </c>
    </row>
    <row r="272" spans="1:16" ht="15" hidden="1" customHeight="1" outlineLevel="1" x14ac:dyDescent="0.3">
      <c r="A272" s="13" t="s">
        <v>2144</v>
      </c>
      <c r="B272" s="15" t="s">
        <v>898</v>
      </c>
      <c r="C272" s="15" t="s">
        <v>899</v>
      </c>
      <c r="D272" s="15" t="s">
        <v>892</v>
      </c>
      <c r="E272" s="15"/>
      <c r="F272" s="15" t="s">
        <v>440</v>
      </c>
      <c r="G272" s="15" t="s">
        <v>900</v>
      </c>
      <c r="H272" s="15" t="s">
        <v>901</v>
      </c>
      <c r="I272" s="15" t="s">
        <v>894</v>
      </c>
      <c r="J272" s="15"/>
      <c r="K272" s="15" t="str">
        <f t="shared" si="4"/>
        <v>AM08_Quality Lead US</v>
      </c>
      <c r="L272" s="15"/>
      <c r="M272" s="15" t="s">
        <v>896</v>
      </c>
      <c r="N272" s="15">
        <v>14</v>
      </c>
      <c r="O272" s="15" t="s">
        <v>1881</v>
      </c>
      <c r="P272" s="19" t="s">
        <v>1886</v>
      </c>
    </row>
    <row r="273" spans="1:16" ht="15" hidden="1" customHeight="1" outlineLevel="1" x14ac:dyDescent="0.3">
      <c r="A273" s="13" t="s">
        <v>2144</v>
      </c>
      <c r="B273" s="15" t="s">
        <v>907</v>
      </c>
      <c r="C273" s="15" t="s">
        <v>908</v>
      </c>
      <c r="D273" s="15" t="s">
        <v>1842</v>
      </c>
      <c r="E273" s="15" t="s">
        <v>5</v>
      </c>
      <c r="F273" s="15" t="s">
        <v>5</v>
      </c>
      <c r="G273" s="15" t="s">
        <v>900</v>
      </c>
      <c r="H273" s="15" t="s">
        <v>903</v>
      </c>
      <c r="I273" s="15" t="s">
        <v>909</v>
      </c>
      <c r="J273" s="15"/>
      <c r="K273" s="15" t="str">
        <f t="shared" si="4"/>
        <v>AO11_APJ Biz Ops</v>
      </c>
      <c r="L273" s="15"/>
      <c r="M273" s="15" t="s">
        <v>896</v>
      </c>
      <c r="N273" s="15">
        <v>14</v>
      </c>
      <c r="O273" s="15" t="s">
        <v>1881</v>
      </c>
      <c r="P273" s="19" t="s">
        <v>1886</v>
      </c>
    </row>
    <row r="274" spans="1:16" ht="15" hidden="1" customHeight="1" outlineLevel="1" x14ac:dyDescent="0.3">
      <c r="A274" s="13" t="s">
        <v>2144</v>
      </c>
      <c r="B274" s="15" t="s">
        <v>910</v>
      </c>
      <c r="C274" s="15" t="s">
        <v>911</v>
      </c>
      <c r="D274" s="15" t="s">
        <v>892</v>
      </c>
      <c r="E274" s="15" t="s">
        <v>5</v>
      </c>
      <c r="F274" s="15" t="s">
        <v>5</v>
      </c>
      <c r="G274" s="15" t="s">
        <v>900</v>
      </c>
      <c r="H274" s="15" t="s">
        <v>912</v>
      </c>
      <c r="I274" s="15" t="s">
        <v>913</v>
      </c>
      <c r="J274" s="15"/>
      <c r="K274" s="15" t="str">
        <f t="shared" si="4"/>
        <v>AO14_EMEA Biz Ops</v>
      </c>
      <c r="L274" s="15"/>
      <c r="M274" s="15" t="s">
        <v>896</v>
      </c>
      <c r="N274" s="15">
        <v>14</v>
      </c>
      <c r="O274" s="15" t="s">
        <v>1881</v>
      </c>
      <c r="P274" s="19" t="s">
        <v>1886</v>
      </c>
    </row>
    <row r="275" spans="1:16" ht="15" hidden="1" customHeight="1" outlineLevel="1" x14ac:dyDescent="0.3">
      <c r="A275" s="13" t="s">
        <v>2144</v>
      </c>
      <c r="B275" s="15" t="s">
        <v>926</v>
      </c>
      <c r="C275" s="15" t="s">
        <v>927</v>
      </c>
      <c r="D275" s="15" t="s">
        <v>892</v>
      </c>
      <c r="E275" s="20" t="s">
        <v>44</v>
      </c>
      <c r="F275" s="20" t="s">
        <v>102</v>
      </c>
      <c r="G275" s="15" t="s">
        <v>900</v>
      </c>
      <c r="H275" s="15" t="s">
        <v>903</v>
      </c>
      <c r="I275" s="15" t="e">
        <v>#N/A</v>
      </c>
      <c r="J275" s="15"/>
      <c r="K275" s="15" t="str">
        <f t="shared" si="4"/>
        <v>AP25_APJ DPD DP Solutions</v>
      </c>
      <c r="L275" s="15"/>
      <c r="M275" s="15" t="s">
        <v>1884</v>
      </c>
      <c r="N275" s="15">
        <v>12</v>
      </c>
      <c r="O275" s="15" t="s">
        <v>1881</v>
      </c>
      <c r="P275" s="19" t="s">
        <v>1886</v>
      </c>
    </row>
    <row r="276" spans="1:16" ht="15" hidden="1" customHeight="1" outlineLevel="1" x14ac:dyDescent="0.3">
      <c r="A276" s="13" t="s">
        <v>2144</v>
      </c>
      <c r="B276" s="15" t="s">
        <v>932</v>
      </c>
      <c r="C276" s="15" t="s">
        <v>933</v>
      </c>
      <c r="D276" s="15" t="s">
        <v>1843</v>
      </c>
      <c r="E276" s="15" t="s">
        <v>934</v>
      </c>
      <c r="F276" s="15" t="s">
        <v>934</v>
      </c>
      <c r="G276" s="15" t="s">
        <v>900</v>
      </c>
      <c r="H276" s="15" t="s">
        <v>903</v>
      </c>
      <c r="I276" s="15" t="s">
        <v>904</v>
      </c>
      <c r="J276" s="15"/>
      <c r="K276" s="15" t="str">
        <f t="shared" si="4"/>
        <v>AZ13_Client ProSupport ANZ</v>
      </c>
      <c r="L276" s="15"/>
      <c r="M276" s="15" t="s">
        <v>896</v>
      </c>
      <c r="N276" s="15">
        <v>14</v>
      </c>
      <c r="O276" s="15" t="s">
        <v>1881</v>
      </c>
      <c r="P276" s="19" t="s">
        <v>1886</v>
      </c>
    </row>
    <row r="277" spans="1:16" ht="15" hidden="1" customHeight="1" outlineLevel="1" x14ac:dyDescent="0.3">
      <c r="A277" s="13" t="s">
        <v>2144</v>
      </c>
      <c r="B277" s="15" t="s">
        <v>940</v>
      </c>
      <c r="C277" s="15" t="s">
        <v>941</v>
      </c>
      <c r="D277" s="15" t="s">
        <v>892</v>
      </c>
      <c r="E277" s="15"/>
      <c r="F277" s="15" t="s">
        <v>439</v>
      </c>
      <c r="G277" s="15" t="s">
        <v>900</v>
      </c>
      <c r="H277" s="15" t="s">
        <v>901</v>
      </c>
      <c r="I277" s="15" t="s">
        <v>936</v>
      </c>
      <c r="J277" s="15"/>
      <c r="K277" s="15" t="str">
        <f t="shared" si="4"/>
        <v>BZ19_Proactive Systems Maintenance BR</v>
      </c>
      <c r="L277" s="15"/>
      <c r="M277" s="15" t="s">
        <v>896</v>
      </c>
      <c r="N277" s="15">
        <v>14</v>
      </c>
      <c r="O277" s="15" t="s">
        <v>1881</v>
      </c>
      <c r="P277" s="19" t="s">
        <v>1886</v>
      </c>
    </row>
    <row r="278" spans="1:16" ht="15" hidden="1" customHeight="1" outlineLevel="1" x14ac:dyDescent="0.3">
      <c r="A278" s="13" t="s">
        <v>2144</v>
      </c>
      <c r="B278" s="15" t="s">
        <v>942</v>
      </c>
      <c r="C278" s="15" t="s">
        <v>1841</v>
      </c>
      <c r="D278" s="15" t="s">
        <v>1844</v>
      </c>
      <c r="E278" s="15" t="s">
        <v>440</v>
      </c>
      <c r="F278" s="15" t="s">
        <v>440</v>
      </c>
      <c r="G278" s="15" t="s">
        <v>900</v>
      </c>
      <c r="H278" s="15"/>
      <c r="I278" s="15"/>
      <c r="J278" s="15"/>
      <c r="K278" s="15" t="str">
        <f t="shared" si="4"/>
        <v>BZ20_RM Brazil</v>
      </c>
      <c r="L278" s="15"/>
      <c r="M278" s="15" t="s">
        <v>896</v>
      </c>
      <c r="N278" s="15">
        <v>14</v>
      </c>
      <c r="O278" s="15" t="s">
        <v>1881</v>
      </c>
      <c r="P278" s="19" t="s">
        <v>1886</v>
      </c>
    </row>
    <row r="279" spans="1:16" ht="15" hidden="1" customHeight="1" outlineLevel="1" x14ac:dyDescent="0.3">
      <c r="A279" s="13" t="s">
        <v>2144</v>
      </c>
      <c r="B279" s="15" t="s">
        <v>943</v>
      </c>
      <c r="C279" s="15" t="s">
        <v>944</v>
      </c>
      <c r="D279" s="15" t="s">
        <v>1843</v>
      </c>
      <c r="E279" s="15" t="s">
        <v>934</v>
      </c>
      <c r="F279" s="15" t="s">
        <v>934</v>
      </c>
      <c r="G279" s="15" t="s">
        <v>900</v>
      </c>
      <c r="H279" s="15" t="s">
        <v>903</v>
      </c>
      <c r="I279" s="15" t="s">
        <v>909</v>
      </c>
      <c r="J279" s="15"/>
      <c r="K279" s="15" t="str">
        <f t="shared" si="4"/>
        <v>CC03_Client ProSupport CCC BW</v>
      </c>
      <c r="L279" s="15"/>
      <c r="M279" s="15" t="s">
        <v>896</v>
      </c>
      <c r="N279" s="15">
        <v>14</v>
      </c>
      <c r="O279" s="15" t="s">
        <v>1881</v>
      </c>
      <c r="P279" s="19" t="s">
        <v>1886</v>
      </c>
    </row>
    <row r="280" spans="1:16" ht="15" hidden="1" customHeight="1" outlineLevel="1" x14ac:dyDescent="0.3">
      <c r="A280" s="13" t="s">
        <v>2144</v>
      </c>
      <c r="B280" s="15" t="s">
        <v>791</v>
      </c>
      <c r="C280" s="15" t="s">
        <v>792</v>
      </c>
      <c r="D280" s="15" t="s">
        <v>1843</v>
      </c>
      <c r="E280" s="15" t="s">
        <v>934</v>
      </c>
      <c r="F280" s="15" t="s">
        <v>934</v>
      </c>
      <c r="G280" s="15" t="s">
        <v>8</v>
      </c>
      <c r="H280" s="15"/>
      <c r="I280" s="15"/>
      <c r="J280" s="15"/>
      <c r="K280" s="15" t="str">
        <f t="shared" si="4"/>
        <v>CC11_Client ProSupport CCC ML</v>
      </c>
      <c r="L280" s="15"/>
      <c r="M280" s="15" t="s">
        <v>896</v>
      </c>
      <c r="N280" s="15"/>
      <c r="O280" s="15" t="s">
        <v>1881</v>
      </c>
      <c r="P280" s="19" t="s">
        <v>1886</v>
      </c>
    </row>
    <row r="281" spans="1:16" ht="15" hidden="1" customHeight="1" outlineLevel="1" x14ac:dyDescent="0.3">
      <c r="A281" s="13" t="s">
        <v>2144</v>
      </c>
      <c r="B281" s="15" t="s">
        <v>948</v>
      </c>
      <c r="C281" s="15" t="s">
        <v>949</v>
      </c>
      <c r="D281" s="15" t="s">
        <v>892</v>
      </c>
      <c r="E281" s="15"/>
      <c r="F281" s="15" t="s">
        <v>439</v>
      </c>
      <c r="G281" s="15" t="s">
        <v>900</v>
      </c>
      <c r="H281" s="15" t="s">
        <v>903</v>
      </c>
      <c r="I281" s="15" t="s">
        <v>909</v>
      </c>
      <c r="J281" s="15"/>
      <c r="K281" s="15" t="str">
        <f t="shared" si="4"/>
        <v>CC13_Proactive Systems Maintenance CCC</v>
      </c>
      <c r="L281" s="15"/>
      <c r="M281" s="15" t="s">
        <v>896</v>
      </c>
      <c r="N281" s="15">
        <v>14</v>
      </c>
      <c r="O281" s="15" t="s">
        <v>1881</v>
      </c>
      <c r="P281" s="19" t="s">
        <v>1886</v>
      </c>
    </row>
    <row r="282" spans="1:16" ht="15" hidden="1" customHeight="1" outlineLevel="1" x14ac:dyDescent="0.3">
      <c r="A282" s="13" t="s">
        <v>2144</v>
      </c>
      <c r="B282" s="16" t="s">
        <v>953</v>
      </c>
      <c r="C282" s="16" t="s">
        <v>954</v>
      </c>
      <c r="D282" s="16" t="s">
        <v>892</v>
      </c>
      <c r="E282" s="16"/>
      <c r="F282" s="16" t="e">
        <v>#N/A</v>
      </c>
      <c r="G282" s="16" t="s">
        <v>900</v>
      </c>
      <c r="H282" s="16"/>
      <c r="I282" s="16"/>
      <c r="J282" s="16"/>
      <c r="K282" s="16" t="str">
        <f t="shared" si="4"/>
        <v>CG01_Chmura Group</v>
      </c>
      <c r="L282" s="16"/>
      <c r="M282" s="16" t="s">
        <v>896</v>
      </c>
      <c r="N282" s="16">
        <v>14</v>
      </c>
      <c r="O282" s="15" t="s">
        <v>1881</v>
      </c>
      <c r="P282" s="19" t="s">
        <v>1886</v>
      </c>
    </row>
    <row r="283" spans="1:16" ht="15" hidden="1" customHeight="1" outlineLevel="1" x14ac:dyDescent="0.3">
      <c r="A283" s="13" t="s">
        <v>2144</v>
      </c>
      <c r="B283" s="15" t="s">
        <v>806</v>
      </c>
      <c r="C283" s="15" t="s">
        <v>807</v>
      </c>
      <c r="D283" s="15" t="s">
        <v>1846</v>
      </c>
      <c r="E283" s="15" t="s">
        <v>934</v>
      </c>
      <c r="F283" s="15" t="s">
        <v>934</v>
      </c>
      <c r="G283" s="15" t="s">
        <v>8</v>
      </c>
      <c r="H283" s="15"/>
      <c r="I283" s="15"/>
      <c r="J283" s="15"/>
      <c r="K283" s="15" t="str">
        <f t="shared" si="4"/>
        <v>CHEQ_CHK Cons Tech CSQ BW</v>
      </c>
      <c r="L283" s="15"/>
      <c r="M283" s="15" t="s">
        <v>896</v>
      </c>
      <c r="N283" s="15"/>
      <c r="O283" s="15" t="s">
        <v>1881</v>
      </c>
      <c r="P283" s="19" t="s">
        <v>1886</v>
      </c>
    </row>
    <row r="284" spans="1:16" ht="15" hidden="1" customHeight="1" outlineLevel="1" x14ac:dyDescent="0.3">
      <c r="A284" s="13" t="s">
        <v>2144</v>
      </c>
      <c r="B284" s="15" t="s">
        <v>955</v>
      </c>
      <c r="C284" s="15" t="s">
        <v>956</v>
      </c>
      <c r="D284" s="15" t="s">
        <v>928</v>
      </c>
      <c r="E284" s="15" t="s">
        <v>440</v>
      </c>
      <c r="F284" s="15" t="s">
        <v>440</v>
      </c>
      <c r="G284" s="15" t="s">
        <v>900</v>
      </c>
      <c r="H284" s="15"/>
      <c r="I284" s="15"/>
      <c r="J284" s="17"/>
      <c r="K284" s="15" t="str">
        <f t="shared" si="4"/>
        <v>CM03_CNS Manager</v>
      </c>
      <c r="L284" s="15"/>
      <c r="M284" s="15" t="s">
        <v>917</v>
      </c>
      <c r="N284" s="15">
        <v>0</v>
      </c>
      <c r="O284" s="15" t="s">
        <v>1881</v>
      </c>
      <c r="P284" s="19" t="s">
        <v>1886</v>
      </c>
    </row>
    <row r="285" spans="1:16" ht="15" hidden="1" customHeight="1" outlineLevel="1" x14ac:dyDescent="0.3">
      <c r="A285" s="13" t="s">
        <v>2144</v>
      </c>
      <c r="B285" s="15" t="s">
        <v>961</v>
      </c>
      <c r="C285" s="15" t="s">
        <v>962</v>
      </c>
      <c r="D285" s="15" t="s">
        <v>892</v>
      </c>
      <c r="E285" s="15" t="s">
        <v>952</v>
      </c>
      <c r="F285" s="15" t="s">
        <v>960</v>
      </c>
      <c r="G285" s="15" t="s">
        <v>900</v>
      </c>
      <c r="H285" s="15" t="s">
        <v>893</v>
      </c>
      <c r="I285" s="15" t="s">
        <v>894</v>
      </c>
      <c r="J285" s="17">
        <v>0.64800000000000002</v>
      </c>
      <c r="K285" s="15" t="str">
        <f t="shared" si="4"/>
        <v>CST4_CST SPUS</v>
      </c>
      <c r="L285" s="15"/>
      <c r="M285" s="15" t="s">
        <v>896</v>
      </c>
      <c r="N285" s="15">
        <v>8</v>
      </c>
      <c r="O285" s="15" t="s">
        <v>1881</v>
      </c>
      <c r="P285" s="19" t="s">
        <v>1886</v>
      </c>
    </row>
    <row r="286" spans="1:16" ht="15" hidden="1" customHeight="1" outlineLevel="1" x14ac:dyDescent="0.3">
      <c r="A286" s="13" t="s">
        <v>2144</v>
      </c>
      <c r="B286" s="15" t="s">
        <v>963</v>
      </c>
      <c r="C286" s="15" t="s">
        <v>964</v>
      </c>
      <c r="D286" s="15" t="s">
        <v>965</v>
      </c>
      <c r="E286" s="15" t="s">
        <v>952</v>
      </c>
      <c r="F286" s="15" t="s">
        <v>960</v>
      </c>
      <c r="G286" s="15" t="s">
        <v>900</v>
      </c>
      <c r="H286" s="15" t="s">
        <v>912</v>
      </c>
      <c r="I286" s="15" t="s">
        <v>966</v>
      </c>
      <c r="J286" s="17">
        <v>0.61699999999999999</v>
      </c>
      <c r="K286" s="15" t="str">
        <f t="shared" si="4"/>
        <v>CST5_CST VIC</v>
      </c>
      <c r="L286" s="15"/>
      <c r="M286" s="15" t="s">
        <v>896</v>
      </c>
      <c r="N286" s="15">
        <v>8</v>
      </c>
      <c r="O286" s="15" t="s">
        <v>1881</v>
      </c>
      <c r="P286" s="19" t="s">
        <v>1886</v>
      </c>
    </row>
    <row r="287" spans="1:16" ht="15" hidden="1" customHeight="1" outlineLevel="1" x14ac:dyDescent="0.3">
      <c r="A287" s="13" t="s">
        <v>2144</v>
      </c>
      <c r="B287" s="15" t="s">
        <v>14</v>
      </c>
      <c r="C287" s="15" t="s">
        <v>15</v>
      </c>
      <c r="D287" s="15" t="s">
        <v>914</v>
      </c>
      <c r="E287" s="15" t="s">
        <v>13</v>
      </c>
      <c r="F287" s="15" t="s">
        <v>13</v>
      </c>
      <c r="G287" s="15" t="s">
        <v>8</v>
      </c>
      <c r="H287" s="15" t="s">
        <v>929</v>
      </c>
      <c r="I287" s="15" t="s">
        <v>929</v>
      </c>
      <c r="J287" s="17">
        <v>0.63300000000000001</v>
      </c>
      <c r="K287" s="15" t="str">
        <f t="shared" si="4"/>
        <v>CT11_CTE ANZ</v>
      </c>
      <c r="L287" s="15"/>
      <c r="M287" s="15" t="s">
        <v>917</v>
      </c>
      <c r="N287" s="15">
        <v>7</v>
      </c>
      <c r="O287" s="15" t="s">
        <v>1881</v>
      </c>
      <c r="P287" s="19" t="s">
        <v>1886</v>
      </c>
    </row>
    <row r="288" spans="1:16" s="32" customFormat="1" ht="15" hidden="1" customHeight="1" outlineLevel="1" x14ac:dyDescent="0.3">
      <c r="A288" s="13" t="s">
        <v>2144</v>
      </c>
      <c r="B288" s="15" t="s">
        <v>967</v>
      </c>
      <c r="C288" s="15" t="s">
        <v>968</v>
      </c>
      <c r="D288" s="15" t="s">
        <v>892</v>
      </c>
      <c r="E288" s="15"/>
      <c r="F288" s="15" t="s">
        <v>609</v>
      </c>
      <c r="G288" s="15" t="s">
        <v>900</v>
      </c>
      <c r="H288" s="15" t="s">
        <v>901</v>
      </c>
      <c r="I288" s="15" t="s">
        <v>936</v>
      </c>
      <c r="J288" s="15"/>
      <c r="K288" s="15" t="str">
        <f t="shared" si="4"/>
        <v>CT12_CTE BRZ</v>
      </c>
      <c r="L288" s="15"/>
      <c r="M288" s="15" t="s">
        <v>896</v>
      </c>
      <c r="N288" s="15">
        <v>14</v>
      </c>
      <c r="O288" s="15" t="s">
        <v>1881</v>
      </c>
      <c r="P288" s="19" t="s">
        <v>1886</v>
      </c>
    </row>
    <row r="289" spans="1:16" ht="15" hidden="1" customHeight="1" outlineLevel="1" x14ac:dyDescent="0.3">
      <c r="A289" s="13" t="s">
        <v>2144</v>
      </c>
      <c r="B289" s="15" t="s">
        <v>18</v>
      </c>
      <c r="C289" s="15" t="s">
        <v>19</v>
      </c>
      <c r="D289" s="15" t="s">
        <v>914</v>
      </c>
      <c r="E289" s="15" t="s">
        <v>13</v>
      </c>
      <c r="F289" s="15" t="s">
        <v>13</v>
      </c>
      <c r="G289" s="15" t="s">
        <v>8</v>
      </c>
      <c r="H289" s="15" t="s">
        <v>929</v>
      </c>
      <c r="I289" s="15" t="s">
        <v>929</v>
      </c>
      <c r="J289" s="17">
        <v>0.63300000000000001</v>
      </c>
      <c r="K289" s="15" t="str">
        <f t="shared" si="4"/>
        <v>CT14_CTE IND</v>
      </c>
      <c r="L289" s="15"/>
      <c r="M289" s="15" t="s">
        <v>917</v>
      </c>
      <c r="N289" s="15">
        <v>7</v>
      </c>
      <c r="O289" s="15" t="s">
        <v>1881</v>
      </c>
      <c r="P289" s="19" t="s">
        <v>1886</v>
      </c>
    </row>
    <row r="290" spans="1:16" ht="15" hidden="1" customHeight="1" outlineLevel="1" x14ac:dyDescent="0.3">
      <c r="A290" s="13" t="s">
        <v>2144</v>
      </c>
      <c r="B290" s="15" t="s">
        <v>969</v>
      </c>
      <c r="C290" s="15" t="s">
        <v>970</v>
      </c>
      <c r="D290" s="15" t="s">
        <v>892</v>
      </c>
      <c r="E290" s="15"/>
      <c r="F290" s="15" t="s">
        <v>609</v>
      </c>
      <c r="G290" s="15" t="s">
        <v>900</v>
      </c>
      <c r="H290" s="15" t="s">
        <v>901</v>
      </c>
      <c r="I290" s="15" t="s">
        <v>971</v>
      </c>
      <c r="J290" s="15"/>
      <c r="K290" s="15" t="str">
        <f t="shared" si="4"/>
        <v>CT17_CTE ROLA</v>
      </c>
      <c r="L290" s="15"/>
      <c r="M290" s="15" t="s">
        <v>896</v>
      </c>
      <c r="N290" s="15">
        <v>14</v>
      </c>
      <c r="O290" s="15" t="s">
        <v>1881</v>
      </c>
      <c r="P290" s="19" t="s">
        <v>1886</v>
      </c>
    </row>
    <row r="291" spans="1:16" ht="15" hidden="1" customHeight="1" outlineLevel="1" x14ac:dyDescent="0.3">
      <c r="A291" s="13" t="s">
        <v>2144</v>
      </c>
      <c r="B291" s="15" t="s">
        <v>977</v>
      </c>
      <c r="C291" s="15" t="s">
        <v>978</v>
      </c>
      <c r="D291" s="15" t="s">
        <v>892</v>
      </c>
      <c r="E291" s="15"/>
      <c r="F291" s="15" t="s">
        <v>266</v>
      </c>
      <c r="G291" s="15" t="s">
        <v>900</v>
      </c>
      <c r="H291" s="15" t="s">
        <v>929</v>
      </c>
      <c r="I291" s="15" t="s">
        <v>979</v>
      </c>
      <c r="J291" s="15"/>
      <c r="K291" s="15" t="str">
        <f t="shared" si="4"/>
        <v>CT32_Global Networking RTSE</v>
      </c>
      <c r="L291" s="15"/>
      <c r="M291" s="15" t="s">
        <v>896</v>
      </c>
      <c r="N291" s="15">
        <v>14</v>
      </c>
      <c r="O291" s="15" t="s">
        <v>1881</v>
      </c>
      <c r="P291" s="19" t="s">
        <v>1886</v>
      </c>
    </row>
    <row r="292" spans="1:16" ht="15" hidden="1" customHeight="1" outlineLevel="1" x14ac:dyDescent="0.3">
      <c r="A292" s="13" t="s">
        <v>2144</v>
      </c>
      <c r="B292" s="15" t="s">
        <v>980</v>
      </c>
      <c r="C292" s="15" t="s">
        <v>981</v>
      </c>
      <c r="D292" s="15" t="s">
        <v>892</v>
      </c>
      <c r="E292" s="15"/>
      <c r="F292" s="15" t="s">
        <v>609</v>
      </c>
      <c r="G292" s="15" t="s">
        <v>900</v>
      </c>
      <c r="H292" s="15" t="s">
        <v>929</v>
      </c>
      <c r="I292" s="15" t="s">
        <v>979</v>
      </c>
      <c r="J292" s="15"/>
      <c r="K292" s="15" t="str">
        <f t="shared" si="4"/>
        <v>CT34_Solutions SPSPE</v>
      </c>
      <c r="L292" s="15"/>
      <c r="M292" s="15" t="s">
        <v>896</v>
      </c>
      <c r="N292" s="15">
        <v>14</v>
      </c>
      <c r="O292" s="15" t="s">
        <v>1881</v>
      </c>
      <c r="P292" s="19" t="s">
        <v>1886</v>
      </c>
    </row>
    <row r="293" spans="1:16" s="32" customFormat="1" ht="15" hidden="1" customHeight="1" outlineLevel="1" x14ac:dyDescent="0.3">
      <c r="A293" s="13" t="s">
        <v>2144</v>
      </c>
      <c r="B293" s="15" t="s">
        <v>982</v>
      </c>
      <c r="C293" s="15" t="s">
        <v>983</v>
      </c>
      <c r="D293" s="15" t="s">
        <v>892</v>
      </c>
      <c r="E293" s="15"/>
      <c r="F293" s="15" t="s">
        <v>439</v>
      </c>
      <c r="G293" s="15" t="s">
        <v>900</v>
      </c>
      <c r="H293" s="15" t="s">
        <v>929</v>
      </c>
      <c r="I293" s="15" t="s">
        <v>979</v>
      </c>
      <c r="J293" s="15"/>
      <c r="K293" s="15" t="str">
        <f t="shared" si="4"/>
        <v>CT35_Server SPSPE</v>
      </c>
      <c r="L293" s="15"/>
      <c r="M293" s="15" t="s">
        <v>896</v>
      </c>
      <c r="N293" s="15">
        <v>14</v>
      </c>
      <c r="O293" s="15" t="s">
        <v>1881</v>
      </c>
      <c r="P293" s="19" t="s">
        <v>1886</v>
      </c>
    </row>
    <row r="294" spans="1:16" ht="15" hidden="1" customHeight="1" outlineLevel="1" x14ac:dyDescent="0.3">
      <c r="A294" s="13" t="s">
        <v>2144</v>
      </c>
      <c r="B294" s="15" t="s">
        <v>984</v>
      </c>
      <c r="C294" s="15" t="s">
        <v>985</v>
      </c>
      <c r="D294" s="15" t="s">
        <v>892</v>
      </c>
      <c r="E294" s="15"/>
      <c r="F294" s="15" t="s">
        <v>266</v>
      </c>
      <c r="G294" s="15" t="s">
        <v>900</v>
      </c>
      <c r="H294" s="15" t="s">
        <v>929</v>
      </c>
      <c r="I294" s="15" t="s">
        <v>979</v>
      </c>
      <c r="J294" s="15"/>
      <c r="K294" s="15" t="str">
        <f t="shared" si="4"/>
        <v>CT38_Global Service Routing Manager</v>
      </c>
      <c r="L294" s="15"/>
      <c r="M294" s="15" t="s">
        <v>896</v>
      </c>
      <c r="N294" s="15">
        <v>14</v>
      </c>
      <c r="O294" s="15" t="s">
        <v>1881</v>
      </c>
      <c r="P294" s="19" t="s">
        <v>1886</v>
      </c>
    </row>
    <row r="295" spans="1:16" s="32" customFormat="1" ht="15" hidden="1" customHeight="1" outlineLevel="1" x14ac:dyDescent="0.3">
      <c r="A295" s="13" t="s">
        <v>2144</v>
      </c>
      <c r="B295" s="15" t="s">
        <v>990</v>
      </c>
      <c r="C295" s="15" t="s">
        <v>991</v>
      </c>
      <c r="D295" s="15" t="s">
        <v>928</v>
      </c>
      <c r="E295" s="15" t="s">
        <v>440</v>
      </c>
      <c r="F295" s="15" t="s">
        <v>440</v>
      </c>
      <c r="G295" s="15" t="s">
        <v>900</v>
      </c>
      <c r="H295" s="15" t="s">
        <v>912</v>
      </c>
      <c r="I295" s="15" t="s">
        <v>966</v>
      </c>
      <c r="J295" s="17">
        <v>0.61699999999999999</v>
      </c>
      <c r="K295" s="15" t="str">
        <f t="shared" si="4"/>
        <v>CT70_Social Media EMEA</v>
      </c>
      <c r="L295" s="15"/>
      <c r="M295" s="15" t="s">
        <v>930</v>
      </c>
      <c r="N295" s="15">
        <v>14</v>
      </c>
      <c r="O295" s="15" t="s">
        <v>1881</v>
      </c>
      <c r="P295" s="19" t="s">
        <v>1886</v>
      </c>
    </row>
    <row r="296" spans="1:16" ht="15" hidden="1" customHeight="1" outlineLevel="1" x14ac:dyDescent="0.3">
      <c r="A296" s="13" t="s">
        <v>2144</v>
      </c>
      <c r="B296" s="15" t="s">
        <v>481</v>
      </c>
      <c r="C296" s="15" t="s">
        <v>482</v>
      </c>
      <c r="D296" s="15" t="s">
        <v>928</v>
      </c>
      <c r="E296" s="15" t="s">
        <v>439</v>
      </c>
      <c r="F296" s="15" t="s">
        <v>439</v>
      </c>
      <c r="G296" s="15" t="s">
        <v>8</v>
      </c>
      <c r="H296" s="15" t="s">
        <v>912</v>
      </c>
      <c r="I296" s="15" t="s">
        <v>1009</v>
      </c>
      <c r="J296" s="17">
        <v>0.61699999999999999</v>
      </c>
      <c r="K296" s="15" t="str">
        <f t="shared" si="4"/>
        <v>DE10_GER ProSupp OWR Ent (HAL)</v>
      </c>
      <c r="L296" s="15"/>
      <c r="M296" s="15" t="s">
        <v>1810</v>
      </c>
      <c r="N296" s="15">
        <v>14</v>
      </c>
      <c r="O296" s="15" t="s">
        <v>1881</v>
      </c>
      <c r="P296" s="19" t="s">
        <v>1886</v>
      </c>
    </row>
    <row r="297" spans="1:16" ht="15" hidden="1" customHeight="1" outlineLevel="1" x14ac:dyDescent="0.3">
      <c r="A297" s="13" t="s">
        <v>2144</v>
      </c>
      <c r="B297" s="15" t="s">
        <v>1011</v>
      </c>
      <c r="C297" s="15" t="s">
        <v>1012</v>
      </c>
      <c r="D297" s="15" t="s">
        <v>1843</v>
      </c>
      <c r="E297" s="15" t="s">
        <v>934</v>
      </c>
      <c r="F297" s="15" t="s">
        <v>934</v>
      </c>
      <c r="G297" s="15" t="s">
        <v>900</v>
      </c>
      <c r="H297" s="15" t="s">
        <v>912</v>
      </c>
      <c r="I297" s="15" t="s">
        <v>1013</v>
      </c>
      <c r="J297" s="15"/>
      <c r="K297" s="15" t="str">
        <f t="shared" si="4"/>
        <v>EC04_ISR Client (Netanya)</v>
      </c>
      <c r="L297" s="15"/>
      <c r="M297" s="15" t="s">
        <v>896</v>
      </c>
      <c r="N297" s="15">
        <v>14</v>
      </c>
      <c r="O297" s="15" t="s">
        <v>1881</v>
      </c>
      <c r="P297" s="19" t="s">
        <v>1886</v>
      </c>
    </row>
    <row r="298" spans="1:16" ht="15" hidden="1" customHeight="1" outlineLevel="1" x14ac:dyDescent="0.3">
      <c r="A298" s="13" t="s">
        <v>2144</v>
      </c>
      <c r="B298" s="15" t="s">
        <v>1017</v>
      </c>
      <c r="C298" s="15" t="s">
        <v>1901</v>
      </c>
      <c r="D298" s="15" t="s">
        <v>892</v>
      </c>
      <c r="E298" s="15"/>
      <c r="F298" s="15"/>
      <c r="G298" s="15" t="s">
        <v>900</v>
      </c>
      <c r="H298" s="15"/>
      <c r="I298" s="15"/>
      <c r="J298" s="15"/>
      <c r="K298" s="15" t="str">
        <f t="shared" si="4"/>
        <v>EMC1_EMEA Storage CTE</v>
      </c>
      <c r="L298" s="15"/>
      <c r="M298" s="15" t="s">
        <v>896</v>
      </c>
      <c r="N298" s="15">
        <v>8</v>
      </c>
      <c r="O298" s="15" t="s">
        <v>1881</v>
      </c>
      <c r="P298" s="19" t="s">
        <v>1886</v>
      </c>
    </row>
    <row r="299" spans="1:16" ht="15" hidden="1" customHeight="1" outlineLevel="1" x14ac:dyDescent="0.3">
      <c r="A299" s="13" t="s">
        <v>2144</v>
      </c>
      <c r="B299" s="15" t="s">
        <v>1018</v>
      </c>
      <c r="C299" s="15" t="s">
        <v>1019</v>
      </c>
      <c r="D299" s="15" t="s">
        <v>892</v>
      </c>
      <c r="E299" s="15"/>
      <c r="F299" s="15" t="s">
        <v>266</v>
      </c>
      <c r="G299" s="15" t="s">
        <v>900</v>
      </c>
      <c r="H299" s="15" t="s">
        <v>912</v>
      </c>
      <c r="I299" s="15" t="s">
        <v>913</v>
      </c>
      <c r="J299" s="15"/>
      <c r="K299" s="15" t="str">
        <f t="shared" si="4"/>
        <v>EN01_Networking Product Escalations</v>
      </c>
      <c r="L299" s="15"/>
      <c r="M299" s="15" t="s">
        <v>896</v>
      </c>
      <c r="N299" s="15">
        <v>14</v>
      </c>
      <c r="O299" s="15" t="s">
        <v>1881</v>
      </c>
      <c r="P299" s="19" t="s">
        <v>1886</v>
      </c>
    </row>
    <row r="300" spans="1:16" ht="15" hidden="1" customHeight="1" outlineLevel="1" x14ac:dyDescent="0.3">
      <c r="A300" s="13" t="s">
        <v>2144</v>
      </c>
      <c r="B300" s="15" t="s">
        <v>724</v>
      </c>
      <c r="C300" s="15" t="s">
        <v>725</v>
      </c>
      <c r="D300" s="15" t="s">
        <v>1848</v>
      </c>
      <c r="E300" s="15" t="s">
        <v>440</v>
      </c>
      <c r="F300" s="15" t="s">
        <v>440</v>
      </c>
      <c r="G300" s="15" t="s">
        <v>8</v>
      </c>
      <c r="H300" s="15" t="s">
        <v>912</v>
      </c>
      <c r="I300" s="15" t="s">
        <v>913</v>
      </c>
      <c r="J300" s="17">
        <v>0.61699999999999999</v>
      </c>
      <c r="K300" s="15" t="str">
        <f t="shared" si="4"/>
        <v>ER02_EMEA Support Resolution Team</v>
      </c>
      <c r="L300" s="15"/>
      <c r="M300" s="15" t="s">
        <v>896</v>
      </c>
      <c r="N300" s="15">
        <v>14</v>
      </c>
      <c r="O300" s="15" t="s">
        <v>1881</v>
      </c>
      <c r="P300" s="19" t="s">
        <v>1886</v>
      </c>
    </row>
    <row r="301" spans="1:16" ht="15" hidden="1" customHeight="1" outlineLevel="1" x14ac:dyDescent="0.3">
      <c r="A301" s="13" t="s">
        <v>2144</v>
      </c>
      <c r="B301" s="15" t="s">
        <v>9</v>
      </c>
      <c r="C301" s="15" t="s">
        <v>10</v>
      </c>
      <c r="D301" s="15" t="s">
        <v>914</v>
      </c>
      <c r="E301" s="15" t="s">
        <v>5</v>
      </c>
      <c r="F301" s="15" t="s">
        <v>5</v>
      </c>
      <c r="G301" s="15" t="s">
        <v>900</v>
      </c>
      <c r="H301" s="15" t="s">
        <v>912</v>
      </c>
      <c r="I301" s="15" t="s">
        <v>938</v>
      </c>
      <c r="J301" s="17">
        <v>0.61699999999999999</v>
      </c>
      <c r="K301" s="15" t="str">
        <f t="shared" si="4"/>
        <v>ES01_EMEA Static Central</v>
      </c>
      <c r="L301" s="15"/>
      <c r="M301" s="15" t="s">
        <v>917</v>
      </c>
      <c r="N301" s="15">
        <v>14</v>
      </c>
      <c r="O301" s="15" t="s">
        <v>1881</v>
      </c>
      <c r="P301" s="19" t="s">
        <v>1886</v>
      </c>
    </row>
    <row r="302" spans="1:16" ht="15" hidden="1" customHeight="1" outlineLevel="1" x14ac:dyDescent="0.3">
      <c r="A302" s="13" t="s">
        <v>2144</v>
      </c>
      <c r="B302" s="15" t="s">
        <v>1020</v>
      </c>
      <c r="C302" s="15" t="s">
        <v>1021</v>
      </c>
      <c r="D302" s="15" t="s">
        <v>892</v>
      </c>
      <c r="E302" s="15"/>
      <c r="F302" s="15" t="s">
        <v>440</v>
      </c>
      <c r="G302" s="15" t="s">
        <v>900</v>
      </c>
      <c r="H302" s="15" t="s">
        <v>912</v>
      </c>
      <c r="I302" s="15" t="s">
        <v>913</v>
      </c>
      <c r="J302" s="15"/>
      <c r="K302" s="15" t="str">
        <f t="shared" si="4"/>
        <v>ES03_EMEA SME Team</v>
      </c>
      <c r="L302" s="15"/>
      <c r="M302" s="15" t="s">
        <v>896</v>
      </c>
      <c r="N302" s="15">
        <v>14</v>
      </c>
      <c r="O302" s="15" t="s">
        <v>1881</v>
      </c>
      <c r="P302" s="19" t="s">
        <v>1886</v>
      </c>
    </row>
    <row r="303" spans="1:16" ht="15" hidden="1" customHeight="1" outlineLevel="1" x14ac:dyDescent="0.3">
      <c r="A303" s="13" t="s">
        <v>2144</v>
      </c>
      <c r="B303" s="15" t="s">
        <v>1022</v>
      </c>
      <c r="C303" s="15" t="s">
        <v>1023</v>
      </c>
      <c r="D303" s="15" t="s">
        <v>1849</v>
      </c>
      <c r="E303" s="15" t="s">
        <v>5</v>
      </c>
      <c r="F303" s="15" t="s">
        <v>5</v>
      </c>
      <c r="G303" s="15" t="s">
        <v>900</v>
      </c>
      <c r="H303" s="15" t="s">
        <v>912</v>
      </c>
      <c r="I303" s="15" t="s">
        <v>913</v>
      </c>
      <c r="J303" s="15"/>
      <c r="K303" s="15" t="str">
        <f t="shared" si="4"/>
        <v>ES06_EMEA Technical Support Operations</v>
      </c>
      <c r="L303" s="15"/>
      <c r="M303" s="15" t="s">
        <v>896</v>
      </c>
      <c r="N303" s="15">
        <v>14</v>
      </c>
      <c r="O303" s="15" t="s">
        <v>1881</v>
      </c>
      <c r="P303" s="19" t="s">
        <v>1886</v>
      </c>
    </row>
    <row r="304" spans="1:16" ht="15" hidden="1" customHeight="1" outlineLevel="1" x14ac:dyDescent="0.3">
      <c r="A304" s="13" t="s">
        <v>2144</v>
      </c>
      <c r="B304" s="15" t="s">
        <v>1024</v>
      </c>
      <c r="C304" s="15" t="s">
        <v>1025</v>
      </c>
      <c r="D304" s="15" t="s">
        <v>892</v>
      </c>
      <c r="E304" s="15"/>
      <c r="F304" s="15" t="s">
        <v>740</v>
      </c>
      <c r="G304" s="15" t="s">
        <v>900</v>
      </c>
      <c r="H304" s="15" t="s">
        <v>912</v>
      </c>
      <c r="I304" s="15" t="s">
        <v>913</v>
      </c>
      <c r="J304" s="15"/>
      <c r="K304" s="15" t="str">
        <f t="shared" si="4"/>
        <v>ES07_EMEA VX Rail Storage</v>
      </c>
      <c r="L304" s="15"/>
      <c r="M304" s="15" t="s">
        <v>896</v>
      </c>
      <c r="N304" s="15">
        <v>14</v>
      </c>
      <c r="O304" s="15" t="s">
        <v>1881</v>
      </c>
      <c r="P304" s="19" t="s">
        <v>1886</v>
      </c>
    </row>
    <row r="305" spans="1:16" ht="15" hidden="1" customHeight="1" outlineLevel="1" x14ac:dyDescent="0.3">
      <c r="A305" s="13" t="s">
        <v>2144</v>
      </c>
      <c r="B305" s="15" t="s">
        <v>1027</v>
      </c>
      <c r="C305" s="15" t="s">
        <v>1028</v>
      </c>
      <c r="D305" s="15" t="s">
        <v>1843</v>
      </c>
      <c r="E305" s="15" t="s">
        <v>934</v>
      </c>
      <c r="F305" s="15"/>
      <c r="G305" s="15" t="s">
        <v>900</v>
      </c>
      <c r="H305" s="15" t="s">
        <v>903</v>
      </c>
      <c r="I305" s="15" t="s">
        <v>906</v>
      </c>
      <c r="J305" s="18"/>
      <c r="K305" s="15" t="str">
        <f t="shared" si="4"/>
        <v>GB01_UKISA Client DSP (BGL)</v>
      </c>
      <c r="L305" s="15"/>
      <c r="M305" s="15"/>
      <c r="N305" s="15"/>
      <c r="O305" s="15" t="s">
        <v>1881</v>
      </c>
      <c r="P305" s="19" t="s">
        <v>1886</v>
      </c>
    </row>
    <row r="306" spans="1:16" ht="15" hidden="1" customHeight="1" outlineLevel="1" x14ac:dyDescent="0.3">
      <c r="A306" s="13" t="s">
        <v>2144</v>
      </c>
      <c r="B306" s="15" t="s">
        <v>1031</v>
      </c>
      <c r="C306" s="15" t="s">
        <v>1032</v>
      </c>
      <c r="D306" s="15" t="s">
        <v>892</v>
      </c>
      <c r="E306" s="15"/>
      <c r="F306" s="15" t="s">
        <v>1033</v>
      </c>
      <c r="G306" s="15" t="s">
        <v>900</v>
      </c>
      <c r="H306" s="15" t="s">
        <v>912</v>
      </c>
      <c r="I306" s="15" t="s">
        <v>913</v>
      </c>
      <c r="J306" s="15"/>
      <c r="K306" s="15" t="str">
        <f t="shared" si="4"/>
        <v>GB19_EMEA ProSupp SST</v>
      </c>
      <c r="L306" s="15"/>
      <c r="M306" s="15" t="s">
        <v>896</v>
      </c>
      <c r="N306" s="15">
        <v>14</v>
      </c>
      <c r="O306" s="15" t="s">
        <v>1881</v>
      </c>
      <c r="P306" s="19" t="s">
        <v>1886</v>
      </c>
    </row>
    <row r="307" spans="1:16" s="32" customFormat="1" ht="15" hidden="1" customHeight="1" outlineLevel="1" x14ac:dyDescent="0.3">
      <c r="A307" s="13" t="s">
        <v>2144</v>
      </c>
      <c r="B307" s="15" t="s">
        <v>1034</v>
      </c>
      <c r="C307" s="15" t="s">
        <v>1035</v>
      </c>
      <c r="D307" s="15" t="s">
        <v>892</v>
      </c>
      <c r="E307" s="15"/>
      <c r="F307" s="15" t="s">
        <v>439</v>
      </c>
      <c r="G307" s="15" t="s">
        <v>900</v>
      </c>
      <c r="H307" s="15" t="s">
        <v>912</v>
      </c>
      <c r="I307" s="15" t="s">
        <v>913</v>
      </c>
      <c r="J307" s="15"/>
      <c r="K307" s="15" t="str">
        <f t="shared" si="4"/>
        <v>GB23_Proactive Systems Maintenance EMEA</v>
      </c>
      <c r="L307" s="15"/>
      <c r="M307" s="15" t="s">
        <v>896</v>
      </c>
      <c r="N307" s="15">
        <v>14</v>
      </c>
      <c r="O307" s="15" t="s">
        <v>1881</v>
      </c>
      <c r="P307" s="19" t="s">
        <v>1886</v>
      </c>
    </row>
    <row r="308" spans="1:16" ht="15" hidden="1" customHeight="1" outlineLevel="1" x14ac:dyDescent="0.3">
      <c r="A308" s="13" t="s">
        <v>2144</v>
      </c>
      <c r="B308" s="15" t="s">
        <v>1036</v>
      </c>
      <c r="C308" s="15" t="s">
        <v>1037</v>
      </c>
      <c r="D308" s="15" t="s">
        <v>1850</v>
      </c>
      <c r="E308" s="15" t="s">
        <v>440</v>
      </c>
      <c r="F308" s="15" t="s">
        <v>440</v>
      </c>
      <c r="G308" s="15" t="s">
        <v>900</v>
      </c>
      <c r="H308" s="15" t="s">
        <v>929</v>
      </c>
      <c r="I308" s="15" t="s">
        <v>929</v>
      </c>
      <c r="J308" s="17"/>
      <c r="K308" s="15" t="str">
        <f t="shared" si="4"/>
        <v>GC11_AST Quality Coach</v>
      </c>
      <c r="L308" s="15"/>
      <c r="M308" s="15"/>
      <c r="N308" s="15">
        <v>0</v>
      </c>
      <c r="O308" s="15" t="s">
        <v>1881</v>
      </c>
      <c r="P308" s="19" t="s">
        <v>1886</v>
      </c>
    </row>
    <row r="309" spans="1:16" ht="15" hidden="1" customHeight="1" outlineLevel="1" x14ac:dyDescent="0.3">
      <c r="A309" s="13" t="s">
        <v>2144</v>
      </c>
      <c r="B309" s="15" t="s">
        <v>1048</v>
      </c>
      <c r="C309" s="15" t="s">
        <v>1049</v>
      </c>
      <c r="D309" s="15" t="s">
        <v>914</v>
      </c>
      <c r="E309" s="15" t="s">
        <v>5</v>
      </c>
      <c r="F309" s="15" t="s">
        <v>5</v>
      </c>
      <c r="G309" s="15" t="s">
        <v>900</v>
      </c>
      <c r="H309" s="15" t="s">
        <v>903</v>
      </c>
      <c r="I309" s="15" t="s">
        <v>906</v>
      </c>
      <c r="J309" s="17">
        <v>0.629</v>
      </c>
      <c r="K309" s="15" t="str">
        <f t="shared" si="4"/>
        <v>HC06_EMEA Static Revenue</v>
      </c>
      <c r="L309" s="15"/>
      <c r="M309" s="15" t="s">
        <v>917</v>
      </c>
      <c r="N309" s="15">
        <v>14</v>
      </c>
      <c r="O309" s="15" t="s">
        <v>1881</v>
      </c>
      <c r="P309" s="19" t="s">
        <v>1886</v>
      </c>
    </row>
    <row r="310" spans="1:16" ht="13" hidden="1" outlineLevel="1" x14ac:dyDescent="0.3">
      <c r="A310" s="13" t="s">
        <v>2144</v>
      </c>
      <c r="B310" s="15" t="s">
        <v>1050</v>
      </c>
      <c r="C310" s="15" t="s">
        <v>1051</v>
      </c>
      <c r="D310" s="15" t="s">
        <v>892</v>
      </c>
      <c r="E310" s="15"/>
      <c r="F310" s="15" t="s">
        <v>960</v>
      </c>
      <c r="G310" s="15" t="s">
        <v>900</v>
      </c>
      <c r="H310" s="15" t="s">
        <v>901</v>
      </c>
      <c r="I310" s="15" t="s">
        <v>894</v>
      </c>
      <c r="J310" s="15"/>
      <c r="K310" s="15" t="str">
        <f t="shared" si="4"/>
        <v>HE03_HES Global CST Management</v>
      </c>
      <c r="L310" s="15"/>
      <c r="M310" s="15" t="s">
        <v>896</v>
      </c>
      <c r="N310" s="15">
        <v>14</v>
      </c>
      <c r="O310" s="15" t="s">
        <v>1881</v>
      </c>
      <c r="P310" s="19" t="s">
        <v>1886</v>
      </c>
    </row>
    <row r="311" spans="1:16" ht="15" hidden="1" customHeight="1" outlineLevel="1" x14ac:dyDescent="0.3">
      <c r="A311" s="13" t="s">
        <v>2144</v>
      </c>
      <c r="B311" s="15" t="s">
        <v>1052</v>
      </c>
      <c r="C311" s="15" t="s">
        <v>1407</v>
      </c>
      <c r="D311" s="15" t="s">
        <v>892</v>
      </c>
      <c r="E311" s="15"/>
      <c r="F311" s="15" t="s">
        <v>960</v>
      </c>
      <c r="G311" s="15" t="s">
        <v>900</v>
      </c>
      <c r="H311" s="15" t="s">
        <v>901</v>
      </c>
      <c r="I311" s="15" t="s">
        <v>894</v>
      </c>
      <c r="J311" s="15"/>
      <c r="K311" s="15" t="str">
        <f t="shared" si="4"/>
        <v>HE04_HES Global CST VIC</v>
      </c>
      <c r="L311" s="15"/>
      <c r="M311" s="15" t="s">
        <v>896</v>
      </c>
      <c r="N311" s="15">
        <v>14</v>
      </c>
      <c r="O311" s="15" t="s">
        <v>1881</v>
      </c>
      <c r="P311" s="19" t="s">
        <v>1886</v>
      </c>
    </row>
    <row r="312" spans="1:16" ht="15" hidden="1" customHeight="1" outlineLevel="1" x14ac:dyDescent="0.3">
      <c r="A312" s="13" t="s">
        <v>2144</v>
      </c>
      <c r="B312" s="15" t="s">
        <v>1053</v>
      </c>
      <c r="C312" s="15" t="s">
        <v>1054</v>
      </c>
      <c r="D312" s="15" t="s">
        <v>892</v>
      </c>
      <c r="E312" s="15"/>
      <c r="F312" s="15" t="s">
        <v>1055</v>
      </c>
      <c r="G312" s="15" t="s">
        <v>900</v>
      </c>
      <c r="H312" s="15" t="s">
        <v>929</v>
      </c>
      <c r="I312" s="15" t="s">
        <v>979</v>
      </c>
      <c r="J312" s="15"/>
      <c r="K312" s="15" t="str">
        <f t="shared" si="4"/>
        <v>HE09_HES Global Remote Proactive</v>
      </c>
      <c r="L312" s="15"/>
      <c r="M312" s="15" t="s">
        <v>896</v>
      </c>
      <c r="N312" s="15">
        <v>14</v>
      </c>
      <c r="O312" s="15" t="s">
        <v>1881</v>
      </c>
      <c r="P312" s="19" t="s">
        <v>1886</v>
      </c>
    </row>
    <row r="313" spans="1:16" ht="15" hidden="1" customHeight="1" outlineLevel="1" x14ac:dyDescent="0.3">
      <c r="A313" s="13" t="s">
        <v>2144</v>
      </c>
      <c r="B313" s="15" t="s">
        <v>1056</v>
      </c>
      <c r="C313" s="15" t="s">
        <v>1057</v>
      </c>
      <c r="D313" s="15" t="s">
        <v>892</v>
      </c>
      <c r="E313" s="15"/>
      <c r="F313" s="15" t="s">
        <v>1058</v>
      </c>
      <c r="G313" s="15" t="s">
        <v>900</v>
      </c>
      <c r="H313" s="15" t="s">
        <v>929</v>
      </c>
      <c r="I313" s="15" t="s">
        <v>979</v>
      </c>
      <c r="J313" s="15"/>
      <c r="K313" s="15" t="str">
        <f t="shared" si="4"/>
        <v>HE16_HES Global DSE</v>
      </c>
      <c r="L313" s="15"/>
      <c r="M313" s="15" t="s">
        <v>896</v>
      </c>
      <c r="N313" s="15">
        <v>14</v>
      </c>
      <c r="O313" s="15" t="s">
        <v>1881</v>
      </c>
      <c r="P313" s="19" t="s">
        <v>1886</v>
      </c>
    </row>
    <row r="314" spans="1:16" ht="15" hidden="1" customHeight="1" outlineLevel="1" x14ac:dyDescent="0.3">
      <c r="A314" s="13" t="s">
        <v>2144</v>
      </c>
      <c r="B314" s="15" t="s">
        <v>1061</v>
      </c>
      <c r="C314" s="15" t="s">
        <v>1062</v>
      </c>
      <c r="D314" s="15" t="s">
        <v>892</v>
      </c>
      <c r="E314" s="15" t="s">
        <v>436</v>
      </c>
      <c r="F314" s="15" t="s">
        <v>960</v>
      </c>
      <c r="G314" s="15" t="s">
        <v>900</v>
      </c>
      <c r="H314" s="15" t="s">
        <v>929</v>
      </c>
      <c r="I314" s="15" t="s">
        <v>929</v>
      </c>
      <c r="J314" s="17">
        <v>0.63300000000000001</v>
      </c>
      <c r="K314" s="15" t="str">
        <f t="shared" si="4"/>
        <v>HE52_HES Global RCM</v>
      </c>
      <c r="L314" s="15"/>
      <c r="M314" s="15" t="s">
        <v>896</v>
      </c>
      <c r="N314" s="15">
        <v>14</v>
      </c>
      <c r="O314" s="15" t="s">
        <v>1881</v>
      </c>
      <c r="P314" s="19" t="s">
        <v>1886</v>
      </c>
    </row>
    <row r="315" spans="1:16" ht="15" hidden="1" customHeight="1" outlineLevel="1" x14ac:dyDescent="0.3">
      <c r="A315" s="13" t="s">
        <v>2144</v>
      </c>
      <c r="B315" s="15" t="s">
        <v>824</v>
      </c>
      <c r="C315" s="15" t="s">
        <v>825</v>
      </c>
      <c r="D315" s="15" t="s">
        <v>1843</v>
      </c>
      <c r="E315" s="15" t="s">
        <v>934</v>
      </c>
      <c r="F315" s="15"/>
      <c r="G315" s="15" t="s">
        <v>8</v>
      </c>
      <c r="H315" s="15"/>
      <c r="I315" s="15"/>
      <c r="J315" s="15"/>
      <c r="K315" s="15" t="str">
        <f t="shared" si="4"/>
        <v>IN01_Workstation IND</v>
      </c>
      <c r="L315" s="15"/>
      <c r="M315" s="15" t="s">
        <v>896</v>
      </c>
      <c r="N315" s="15"/>
      <c r="O315" s="15" t="s">
        <v>1881</v>
      </c>
      <c r="P315" s="19" t="s">
        <v>1886</v>
      </c>
    </row>
    <row r="316" spans="1:16" ht="15" hidden="1" customHeight="1" outlineLevel="1" x14ac:dyDescent="0.3">
      <c r="A316" s="13" t="s">
        <v>2144</v>
      </c>
      <c r="B316" s="15" t="s">
        <v>826</v>
      </c>
      <c r="C316" s="15" t="s">
        <v>827</v>
      </c>
      <c r="D316" s="15" t="s">
        <v>1846</v>
      </c>
      <c r="E316" s="15" t="s">
        <v>934</v>
      </c>
      <c r="F316" s="15"/>
      <c r="G316" s="15" t="s">
        <v>8</v>
      </c>
      <c r="H316" s="15"/>
      <c r="I316" s="15"/>
      <c r="J316" s="15"/>
      <c r="K316" s="15" t="str">
        <f t="shared" si="4"/>
        <v>INCV_India Core Concentrix</v>
      </c>
      <c r="L316" s="15"/>
      <c r="M316" s="15" t="s">
        <v>896</v>
      </c>
      <c r="N316" s="15"/>
      <c r="O316" s="15" t="s">
        <v>1881</v>
      </c>
      <c r="P316" s="19" t="s">
        <v>1886</v>
      </c>
    </row>
    <row r="317" spans="1:16" ht="15" hidden="1" customHeight="1" outlineLevel="1" x14ac:dyDescent="0.3">
      <c r="A317" s="13" t="s">
        <v>2144</v>
      </c>
      <c r="B317" s="15" t="s">
        <v>828</v>
      </c>
      <c r="C317" s="15" t="s">
        <v>829</v>
      </c>
      <c r="D317" s="15" t="s">
        <v>1846</v>
      </c>
      <c r="E317" s="15" t="s">
        <v>934</v>
      </c>
      <c r="F317" s="15"/>
      <c r="G317" s="15" t="s">
        <v>8</v>
      </c>
      <c r="H317" s="15"/>
      <c r="I317" s="15"/>
      <c r="J317" s="15"/>
      <c r="K317" s="15" t="str">
        <f t="shared" si="4"/>
        <v>INPX_India Premium Support</v>
      </c>
      <c r="L317" s="15"/>
      <c r="M317" s="15" t="s">
        <v>896</v>
      </c>
      <c r="N317" s="15"/>
      <c r="O317" s="15" t="s">
        <v>1881</v>
      </c>
      <c r="P317" s="19" t="s">
        <v>1886</v>
      </c>
    </row>
    <row r="318" spans="1:16" ht="15" hidden="1" customHeight="1" outlineLevel="1" x14ac:dyDescent="0.3">
      <c r="A318" s="13" t="s">
        <v>2144</v>
      </c>
      <c r="B318" s="15" t="s">
        <v>1077</v>
      </c>
      <c r="C318" s="15" t="s">
        <v>1078</v>
      </c>
      <c r="D318" s="15" t="s">
        <v>928</v>
      </c>
      <c r="E318" s="15" t="s">
        <v>440</v>
      </c>
      <c r="F318" s="15" t="s">
        <v>440</v>
      </c>
      <c r="G318" s="15" t="s">
        <v>900</v>
      </c>
      <c r="H318" s="15" t="s">
        <v>912</v>
      </c>
      <c r="I318" s="15"/>
      <c r="J318" s="17">
        <v>0.61699999999999999</v>
      </c>
      <c r="K318" s="15" t="str">
        <f t="shared" si="4"/>
        <v>IT10_ITA Social Media (MTP)</v>
      </c>
      <c r="L318" s="15"/>
      <c r="M318" s="15" t="s">
        <v>930</v>
      </c>
      <c r="N318" s="15">
        <v>0</v>
      </c>
      <c r="O318" s="15" t="s">
        <v>1881</v>
      </c>
      <c r="P318" s="19" t="s">
        <v>1886</v>
      </c>
    </row>
    <row r="319" spans="1:16" ht="15" hidden="1" customHeight="1" outlineLevel="1" x14ac:dyDescent="0.3">
      <c r="A319" s="13" t="s">
        <v>2144</v>
      </c>
      <c r="B319" s="15" t="s">
        <v>1081</v>
      </c>
      <c r="C319" s="15" t="s">
        <v>1082</v>
      </c>
      <c r="D319" s="15" t="s">
        <v>892</v>
      </c>
      <c r="E319" s="15"/>
      <c r="F319" s="15" t="s">
        <v>439</v>
      </c>
      <c r="G319" s="15" t="s">
        <v>900</v>
      </c>
      <c r="H319" s="15" t="s">
        <v>903</v>
      </c>
      <c r="I319" s="15" t="s">
        <v>1083</v>
      </c>
      <c r="J319" s="15"/>
      <c r="K319" s="15" t="str">
        <f t="shared" si="4"/>
        <v>MY15_Proactive Systems Maintenance SA</v>
      </c>
      <c r="L319" s="15"/>
      <c r="M319" s="15" t="s">
        <v>896</v>
      </c>
      <c r="N319" s="15">
        <v>14</v>
      </c>
      <c r="O319" s="15" t="s">
        <v>1881</v>
      </c>
      <c r="P319" s="19" t="s">
        <v>1886</v>
      </c>
    </row>
    <row r="320" spans="1:16" ht="15" hidden="1" customHeight="1" outlineLevel="1" x14ac:dyDescent="0.3">
      <c r="A320" s="13" t="s">
        <v>2144</v>
      </c>
      <c r="B320" s="15" t="s">
        <v>836</v>
      </c>
      <c r="C320" s="15" t="s">
        <v>837</v>
      </c>
      <c r="D320" s="15" t="s">
        <v>1846</v>
      </c>
      <c r="E320" s="15" t="s">
        <v>934</v>
      </c>
      <c r="F320" s="15"/>
      <c r="G320" s="15" t="s">
        <v>8</v>
      </c>
      <c r="H320" s="15"/>
      <c r="I320" s="15"/>
      <c r="J320" s="15"/>
      <c r="K320" s="15" t="str">
        <f t="shared" si="4"/>
        <v>NALC_NA Basic Core Concentrix</v>
      </c>
      <c r="L320" s="15"/>
      <c r="M320" s="15" t="s">
        <v>896</v>
      </c>
      <c r="N320" s="15"/>
      <c r="O320" s="15" t="s">
        <v>1881</v>
      </c>
      <c r="P320" s="19" t="s">
        <v>1886</v>
      </c>
    </row>
    <row r="321" spans="1:16" ht="15" hidden="1" customHeight="1" outlineLevel="1" x14ac:dyDescent="0.3">
      <c r="A321" s="13" t="s">
        <v>2144</v>
      </c>
      <c r="B321" s="15" t="s">
        <v>838</v>
      </c>
      <c r="C321" s="15" t="s">
        <v>839</v>
      </c>
      <c r="D321" s="15" t="s">
        <v>1843</v>
      </c>
      <c r="E321" s="15" t="s">
        <v>934</v>
      </c>
      <c r="F321" s="15"/>
      <c r="G321" s="15" t="s">
        <v>8</v>
      </c>
      <c r="H321" s="15"/>
      <c r="I321" s="15"/>
      <c r="J321" s="15"/>
      <c r="K321" s="15" t="str">
        <f t="shared" si="4"/>
        <v>NC04_Client ProSupport US</v>
      </c>
      <c r="L321" s="15"/>
      <c r="M321" s="15" t="s">
        <v>896</v>
      </c>
      <c r="N321" s="15"/>
      <c r="O321" s="15" t="s">
        <v>1881</v>
      </c>
      <c r="P321" s="19" t="s">
        <v>1886</v>
      </c>
    </row>
    <row r="322" spans="1:16" ht="15" hidden="1" customHeight="1" outlineLevel="1" x14ac:dyDescent="0.3">
      <c r="A322" s="13" t="s">
        <v>2144</v>
      </c>
      <c r="B322" s="15" t="s">
        <v>1084</v>
      </c>
      <c r="C322" s="15" t="s">
        <v>1085</v>
      </c>
      <c r="D322" s="15" t="s">
        <v>928</v>
      </c>
      <c r="E322" s="15" t="s">
        <v>440</v>
      </c>
      <c r="F322" s="15" t="s">
        <v>440</v>
      </c>
      <c r="G322" s="15" t="s">
        <v>900</v>
      </c>
      <c r="H322" s="15" t="s">
        <v>893</v>
      </c>
      <c r="I322" s="15"/>
      <c r="J322" s="17">
        <v>0.64800000000000002</v>
      </c>
      <c r="K322" s="15" t="str">
        <f t="shared" ref="K322:K385" si="5">B322&amp;"_"&amp;C322</f>
        <v>NC14_Social Media English (AMER)</v>
      </c>
      <c r="L322" s="15"/>
      <c r="M322" s="15" t="s">
        <v>930</v>
      </c>
      <c r="N322" s="15">
        <v>0</v>
      </c>
      <c r="O322" s="15" t="s">
        <v>1881</v>
      </c>
      <c r="P322" s="19" t="s">
        <v>1886</v>
      </c>
    </row>
    <row r="323" spans="1:16" ht="15" hidden="1" customHeight="1" outlineLevel="1" x14ac:dyDescent="0.3">
      <c r="A323" s="13" t="s">
        <v>2144</v>
      </c>
      <c r="B323" s="15" t="s">
        <v>1088</v>
      </c>
      <c r="C323" s="15" t="s">
        <v>1089</v>
      </c>
      <c r="D323" s="15" t="s">
        <v>892</v>
      </c>
      <c r="E323" s="15"/>
      <c r="F323" s="15" t="s">
        <v>439</v>
      </c>
      <c r="G323" s="15" t="s">
        <v>900</v>
      </c>
      <c r="H323" s="15" t="s">
        <v>901</v>
      </c>
      <c r="I323" s="15" t="s">
        <v>894</v>
      </c>
      <c r="J323" s="15"/>
      <c r="K323" s="15" t="str">
        <f t="shared" si="5"/>
        <v>NE21_Server eSupport Case Director US</v>
      </c>
      <c r="L323" s="15"/>
      <c r="M323" s="15" t="s">
        <v>896</v>
      </c>
      <c r="N323" s="15">
        <v>14</v>
      </c>
      <c r="O323" s="15" t="s">
        <v>1881</v>
      </c>
      <c r="P323" s="19" t="s">
        <v>1886</v>
      </c>
    </row>
    <row r="324" spans="1:16" ht="15" hidden="1" customHeight="1" outlineLevel="1" x14ac:dyDescent="0.3">
      <c r="A324" s="13" t="s">
        <v>2144</v>
      </c>
      <c r="B324" s="15" t="s">
        <v>1090</v>
      </c>
      <c r="C324" s="15" t="s">
        <v>1091</v>
      </c>
      <c r="D324" s="15" t="s">
        <v>892</v>
      </c>
      <c r="E324" s="15"/>
      <c r="F324" s="15" t="s">
        <v>439</v>
      </c>
      <c r="G324" s="15" t="s">
        <v>900</v>
      </c>
      <c r="H324" s="15" t="s">
        <v>901</v>
      </c>
      <c r="I324" s="15" t="s">
        <v>894</v>
      </c>
      <c r="J324" s="15"/>
      <c r="K324" s="15" t="str">
        <f t="shared" si="5"/>
        <v>NE29_Proactive Systems Maintenance NA</v>
      </c>
      <c r="L324" s="15"/>
      <c r="M324" s="15" t="s">
        <v>896</v>
      </c>
      <c r="N324" s="15">
        <v>14</v>
      </c>
      <c r="O324" s="15" t="s">
        <v>1881</v>
      </c>
      <c r="P324" s="19" t="s">
        <v>1886</v>
      </c>
    </row>
    <row r="325" spans="1:16" ht="15" hidden="1" customHeight="1" outlineLevel="1" x14ac:dyDescent="0.3">
      <c r="A325" s="13" t="s">
        <v>2144</v>
      </c>
      <c r="B325" s="15" t="s">
        <v>1094</v>
      </c>
      <c r="C325" s="15" t="s">
        <v>1095</v>
      </c>
      <c r="D325" s="15" t="s">
        <v>914</v>
      </c>
      <c r="E325" s="15"/>
      <c r="F325" s="15" t="s">
        <v>440</v>
      </c>
      <c r="G325" s="15" t="s">
        <v>900</v>
      </c>
      <c r="H325" s="15" t="s">
        <v>929</v>
      </c>
      <c r="I325" s="15" t="s">
        <v>929</v>
      </c>
      <c r="J325" s="17">
        <v>0.63300000000000001</v>
      </c>
      <c r="K325" s="15" t="str">
        <f t="shared" si="5"/>
        <v>NF02_APJ Non-Frontline</v>
      </c>
      <c r="L325" s="15"/>
      <c r="M325" s="15" t="s">
        <v>917</v>
      </c>
      <c r="N325" s="15">
        <v>14</v>
      </c>
      <c r="O325" s="15" t="s">
        <v>1881</v>
      </c>
      <c r="P325" s="19" t="s">
        <v>1886</v>
      </c>
    </row>
    <row r="326" spans="1:16" ht="15" hidden="1" customHeight="1" outlineLevel="1" x14ac:dyDescent="0.3">
      <c r="A326" s="13" t="s">
        <v>2144</v>
      </c>
      <c r="B326" s="15" t="s">
        <v>1100</v>
      </c>
      <c r="C326" s="15" t="s">
        <v>1101</v>
      </c>
      <c r="D326" s="15" t="s">
        <v>1852</v>
      </c>
      <c r="E326" s="15"/>
      <c r="F326" s="15"/>
      <c r="G326" s="15" t="s">
        <v>900</v>
      </c>
      <c r="H326" s="15"/>
      <c r="I326" s="15"/>
      <c r="J326" s="15"/>
      <c r="K326" s="15" t="str">
        <f t="shared" si="5"/>
        <v>NF05_Social Media Non-Frontline</v>
      </c>
      <c r="L326" s="15"/>
      <c r="M326" s="15" t="s">
        <v>896</v>
      </c>
      <c r="N326" s="15"/>
      <c r="O326" s="15" t="s">
        <v>1881</v>
      </c>
      <c r="P326" s="19" t="s">
        <v>1886</v>
      </c>
    </row>
    <row r="327" spans="1:16" ht="15" hidden="1" customHeight="1" outlineLevel="1" x14ac:dyDescent="0.3">
      <c r="A327" s="13" t="s">
        <v>2144</v>
      </c>
      <c r="B327" s="15" t="s">
        <v>1108</v>
      </c>
      <c r="C327" s="15" t="s">
        <v>1109</v>
      </c>
      <c r="D327" s="15" t="s">
        <v>892</v>
      </c>
      <c r="E327" s="20" t="s">
        <v>44</v>
      </c>
      <c r="F327" s="15" t="s">
        <v>440</v>
      </c>
      <c r="G327" s="15" t="s">
        <v>900</v>
      </c>
      <c r="H327" s="15" t="s">
        <v>929</v>
      </c>
      <c r="I327" s="15" t="s">
        <v>979</v>
      </c>
      <c r="J327" s="15"/>
      <c r="K327" s="15" t="str">
        <f t="shared" si="5"/>
        <v>NF11_DPD/UDS NR-FLS</v>
      </c>
      <c r="L327" s="15"/>
      <c r="M327" s="15" t="s">
        <v>896</v>
      </c>
      <c r="N327" s="15"/>
      <c r="O327" s="15" t="s">
        <v>1881</v>
      </c>
      <c r="P327" s="19" t="s">
        <v>1886</v>
      </c>
    </row>
    <row r="328" spans="1:16" ht="15" hidden="1" customHeight="1" outlineLevel="1" x14ac:dyDescent="0.3">
      <c r="A328" s="13" t="s">
        <v>2144</v>
      </c>
      <c r="B328" s="15" t="s">
        <v>1115</v>
      </c>
      <c r="C328" s="15" t="s">
        <v>1116</v>
      </c>
      <c r="D328" s="15" t="s">
        <v>914</v>
      </c>
      <c r="E328" s="15"/>
      <c r="F328" s="15" t="s">
        <v>440</v>
      </c>
      <c r="G328" s="15" t="s">
        <v>900</v>
      </c>
      <c r="H328" s="15" t="s">
        <v>929</v>
      </c>
      <c r="I328" s="15" t="s">
        <v>929</v>
      </c>
      <c r="J328" s="17">
        <v>0.63300000000000001</v>
      </c>
      <c r="K328" s="15" t="str">
        <f t="shared" si="5"/>
        <v>NF14_EMEA Manager</v>
      </c>
      <c r="L328" s="15"/>
      <c r="M328" s="15" t="s">
        <v>896</v>
      </c>
      <c r="N328" s="15">
        <v>14</v>
      </c>
      <c r="O328" s="15" t="s">
        <v>1881</v>
      </c>
      <c r="P328" s="19" t="s">
        <v>1886</v>
      </c>
    </row>
    <row r="329" spans="1:16" ht="15" hidden="1" customHeight="1" outlineLevel="1" x14ac:dyDescent="0.3">
      <c r="A329" s="13" t="s">
        <v>2144</v>
      </c>
      <c r="B329" s="15" t="s">
        <v>1117</v>
      </c>
      <c r="C329" s="15" t="s">
        <v>1118</v>
      </c>
      <c r="D329" s="15" t="s">
        <v>892</v>
      </c>
      <c r="E329" s="15"/>
      <c r="F329" s="15"/>
      <c r="G329" s="15" t="s">
        <v>900</v>
      </c>
      <c r="H329" s="15"/>
      <c r="I329" s="15"/>
      <c r="J329" s="15"/>
      <c r="K329" s="15" t="str">
        <f t="shared" si="5"/>
        <v>NF15_EMEA Non-Frontline</v>
      </c>
      <c r="L329" s="15"/>
      <c r="M329" s="15" t="s">
        <v>896</v>
      </c>
      <c r="N329" s="15"/>
      <c r="O329" s="15" t="s">
        <v>1881</v>
      </c>
      <c r="P329" s="19" t="s">
        <v>1886</v>
      </c>
    </row>
    <row r="330" spans="1:16" ht="15" hidden="1" customHeight="1" outlineLevel="1" x14ac:dyDescent="0.3">
      <c r="A330" s="13" t="s">
        <v>2144</v>
      </c>
      <c r="B330" s="15" t="s">
        <v>1119</v>
      </c>
      <c r="C330" s="15" t="s">
        <v>1120</v>
      </c>
      <c r="D330" s="15" t="s">
        <v>892</v>
      </c>
      <c r="E330" s="15"/>
      <c r="F330" s="15" t="s">
        <v>440</v>
      </c>
      <c r="G330" s="15" t="s">
        <v>900</v>
      </c>
      <c r="H330" s="15" t="s">
        <v>929</v>
      </c>
      <c r="I330" s="15" t="s">
        <v>979</v>
      </c>
      <c r="J330" s="15"/>
      <c r="K330" s="15" t="str">
        <f t="shared" si="5"/>
        <v>NF16_EMEA NR-FLS</v>
      </c>
      <c r="L330" s="15"/>
      <c r="M330" s="15" t="s">
        <v>896</v>
      </c>
      <c r="N330" s="15"/>
      <c r="O330" s="15" t="s">
        <v>1881</v>
      </c>
      <c r="P330" s="19" t="s">
        <v>1886</v>
      </c>
    </row>
    <row r="331" spans="1:16" ht="15" hidden="1" customHeight="1" outlineLevel="1" x14ac:dyDescent="0.3">
      <c r="A331" s="13" t="s">
        <v>2144</v>
      </c>
      <c r="B331" s="15" t="s">
        <v>1123</v>
      </c>
      <c r="C331" s="15" t="s">
        <v>1124</v>
      </c>
      <c r="D331" s="15" t="s">
        <v>928</v>
      </c>
      <c r="E331" s="15"/>
      <c r="F331" s="15" t="s">
        <v>440</v>
      </c>
      <c r="G331" s="15" t="s">
        <v>900</v>
      </c>
      <c r="H331" s="15" t="s">
        <v>929</v>
      </c>
      <c r="I331" s="15" t="s">
        <v>929</v>
      </c>
      <c r="J331" s="17">
        <v>0.63300000000000001</v>
      </c>
      <c r="K331" s="15" t="str">
        <f t="shared" si="5"/>
        <v>NF18_HCS Manager</v>
      </c>
      <c r="L331" s="15"/>
      <c r="M331" s="15" t="s">
        <v>896</v>
      </c>
      <c r="N331" s="15">
        <v>14</v>
      </c>
      <c r="O331" s="15" t="s">
        <v>1881</v>
      </c>
      <c r="P331" s="19" t="s">
        <v>1886</v>
      </c>
    </row>
    <row r="332" spans="1:16" ht="15" hidden="1" customHeight="1" outlineLevel="1" x14ac:dyDescent="0.3">
      <c r="A332" s="13" t="s">
        <v>2144</v>
      </c>
      <c r="B332" s="15" t="s">
        <v>1127</v>
      </c>
      <c r="C332" s="15" t="s">
        <v>1128</v>
      </c>
      <c r="D332" s="15" t="s">
        <v>892</v>
      </c>
      <c r="E332" s="20" t="s">
        <v>158</v>
      </c>
      <c r="F332" s="15" t="s">
        <v>440</v>
      </c>
      <c r="G332" s="15" t="s">
        <v>900</v>
      </c>
      <c r="H332" s="15" t="s">
        <v>929</v>
      </c>
      <c r="I332" s="15" t="s">
        <v>979</v>
      </c>
      <c r="J332" s="15"/>
      <c r="K332" s="15" t="str">
        <f t="shared" si="5"/>
        <v>NF20_HCS NR-FLS</v>
      </c>
      <c r="L332" s="15"/>
      <c r="M332" s="15" t="s">
        <v>896</v>
      </c>
      <c r="N332" s="15"/>
      <c r="O332" s="15" t="s">
        <v>1881</v>
      </c>
      <c r="P332" s="19" t="s">
        <v>1886</v>
      </c>
    </row>
    <row r="333" spans="1:16" ht="15" hidden="1" customHeight="1" outlineLevel="1" x14ac:dyDescent="0.3">
      <c r="A333" s="13" t="s">
        <v>2144</v>
      </c>
      <c r="B333" s="15" t="s">
        <v>1135</v>
      </c>
      <c r="C333" s="15" t="s">
        <v>1136</v>
      </c>
      <c r="D333" s="15" t="s">
        <v>892</v>
      </c>
      <c r="E333" s="15"/>
      <c r="F333" s="15" t="s">
        <v>440</v>
      </c>
      <c r="G333" s="15" t="s">
        <v>900</v>
      </c>
      <c r="H333" s="15" t="s">
        <v>929</v>
      </c>
      <c r="I333" s="15" t="s">
        <v>979</v>
      </c>
      <c r="J333" s="15"/>
      <c r="K333" s="15" t="str">
        <f t="shared" si="5"/>
        <v>NF24_HES NR-FLS</v>
      </c>
      <c r="L333" s="15"/>
      <c r="M333" s="15" t="s">
        <v>896</v>
      </c>
      <c r="N333" s="15"/>
      <c r="O333" s="15" t="s">
        <v>1881</v>
      </c>
      <c r="P333" s="19" t="s">
        <v>1886</v>
      </c>
    </row>
    <row r="334" spans="1:16" ht="15" hidden="1" customHeight="1" outlineLevel="1" x14ac:dyDescent="0.3">
      <c r="A334" s="13" t="s">
        <v>2144</v>
      </c>
      <c r="B334" s="15" t="s">
        <v>1141</v>
      </c>
      <c r="C334" s="15" t="s">
        <v>1142</v>
      </c>
      <c r="D334" s="15" t="s">
        <v>1044</v>
      </c>
      <c r="E334" s="15"/>
      <c r="F334" s="15" t="s">
        <v>440</v>
      </c>
      <c r="G334" s="15" t="s">
        <v>900</v>
      </c>
      <c r="H334" s="15" t="s">
        <v>935</v>
      </c>
      <c r="I334" s="15" t="s">
        <v>936</v>
      </c>
      <c r="J334" s="17">
        <v>0.57099999999999995</v>
      </c>
      <c r="K334" s="15" t="str">
        <f t="shared" si="5"/>
        <v>NF27_LATAM Manager</v>
      </c>
      <c r="L334" s="15"/>
      <c r="M334" s="15" t="s">
        <v>896</v>
      </c>
      <c r="N334" s="15">
        <v>14</v>
      </c>
      <c r="O334" s="15" t="s">
        <v>1881</v>
      </c>
      <c r="P334" s="19" t="s">
        <v>1886</v>
      </c>
    </row>
    <row r="335" spans="1:16" ht="15" hidden="1" customHeight="1" outlineLevel="1" x14ac:dyDescent="0.3">
      <c r="A335" s="13" t="s">
        <v>2144</v>
      </c>
      <c r="B335" s="15" t="s">
        <v>1145</v>
      </c>
      <c r="C335" s="15" t="s">
        <v>1146</v>
      </c>
      <c r="D335" s="15" t="s">
        <v>892</v>
      </c>
      <c r="E335" s="15"/>
      <c r="F335" s="15" t="s">
        <v>440</v>
      </c>
      <c r="G335" s="15" t="s">
        <v>900</v>
      </c>
      <c r="H335" s="15" t="s">
        <v>929</v>
      </c>
      <c r="I335" s="15" t="s">
        <v>979</v>
      </c>
      <c r="J335" s="15"/>
      <c r="K335" s="15" t="str">
        <f t="shared" si="5"/>
        <v>NF29_LATAM NR-FLS</v>
      </c>
      <c r="L335" s="15"/>
      <c r="M335" s="15" t="s">
        <v>896</v>
      </c>
      <c r="N335" s="15"/>
      <c r="O335" s="15" t="s">
        <v>1881</v>
      </c>
      <c r="P335" s="19" t="s">
        <v>1886</v>
      </c>
    </row>
    <row r="336" spans="1:16" s="11" customFormat="1" ht="15" hidden="1" customHeight="1" outlineLevel="1" x14ac:dyDescent="0.3">
      <c r="A336" s="13" t="s">
        <v>2144</v>
      </c>
      <c r="B336" s="15" t="s">
        <v>1149</v>
      </c>
      <c r="C336" s="15" t="s">
        <v>1150</v>
      </c>
      <c r="D336" s="15" t="s">
        <v>914</v>
      </c>
      <c r="E336" s="15"/>
      <c r="F336" s="15" t="s">
        <v>440</v>
      </c>
      <c r="G336" s="15" t="s">
        <v>900</v>
      </c>
      <c r="H336" s="15" t="s">
        <v>929</v>
      </c>
      <c r="I336" s="15" t="s">
        <v>929</v>
      </c>
      <c r="J336" s="17">
        <v>0.63300000000000001</v>
      </c>
      <c r="K336" s="15" t="str">
        <f t="shared" si="5"/>
        <v>NF31_NAMER Manager</v>
      </c>
      <c r="L336" s="15"/>
      <c r="M336" s="15" t="s">
        <v>896</v>
      </c>
      <c r="N336" s="15">
        <v>14</v>
      </c>
      <c r="O336" s="15" t="s">
        <v>1881</v>
      </c>
      <c r="P336" s="19" t="s">
        <v>1886</v>
      </c>
    </row>
    <row r="337" spans="1:16" ht="15" hidden="1" customHeight="1" outlineLevel="1" x14ac:dyDescent="0.3">
      <c r="A337" s="13" t="s">
        <v>2144</v>
      </c>
      <c r="B337" s="15" t="s">
        <v>1151</v>
      </c>
      <c r="C337" s="15" t="s">
        <v>1925</v>
      </c>
      <c r="D337" s="15" t="s">
        <v>892</v>
      </c>
      <c r="E337" s="15"/>
      <c r="F337" s="15" t="s">
        <v>440</v>
      </c>
      <c r="G337" s="15" t="s">
        <v>900</v>
      </c>
      <c r="H337" s="15" t="s">
        <v>893</v>
      </c>
      <c r="I337" s="15" t="s">
        <v>894</v>
      </c>
      <c r="J337" s="17">
        <v>0.64800000000000002</v>
      </c>
      <c r="K337" s="15" t="str">
        <f t="shared" si="5"/>
        <v>NF32_NCS Non-Frontline</v>
      </c>
      <c r="L337" s="15"/>
      <c r="M337" s="15" t="s">
        <v>896</v>
      </c>
      <c r="N337" s="15">
        <v>14</v>
      </c>
      <c r="O337" s="15" t="s">
        <v>1881</v>
      </c>
      <c r="P337" s="19" t="s">
        <v>1886</v>
      </c>
    </row>
    <row r="338" spans="1:16" ht="15" hidden="1" customHeight="1" outlineLevel="1" x14ac:dyDescent="0.3">
      <c r="A338" s="13" t="s">
        <v>2144</v>
      </c>
      <c r="B338" s="15" t="s">
        <v>1153</v>
      </c>
      <c r="C338" s="15" t="s">
        <v>1154</v>
      </c>
      <c r="D338" s="15" t="s">
        <v>892</v>
      </c>
      <c r="E338" s="15"/>
      <c r="F338" s="15" t="s">
        <v>440</v>
      </c>
      <c r="G338" s="15" t="s">
        <v>900</v>
      </c>
      <c r="H338" s="15" t="s">
        <v>929</v>
      </c>
      <c r="I338" s="15" t="s">
        <v>979</v>
      </c>
      <c r="J338" s="15"/>
      <c r="K338" s="15" t="str">
        <f t="shared" si="5"/>
        <v>NF33_NAMER NR-FLS</v>
      </c>
      <c r="L338" s="15"/>
      <c r="M338" s="15" t="s">
        <v>896</v>
      </c>
      <c r="N338" s="15"/>
      <c r="O338" s="15" t="s">
        <v>1881</v>
      </c>
      <c r="P338" s="19" t="s">
        <v>1886</v>
      </c>
    </row>
    <row r="339" spans="1:16" ht="15" hidden="1" customHeight="1" outlineLevel="1" x14ac:dyDescent="0.3">
      <c r="A339" s="13" t="s">
        <v>2144</v>
      </c>
      <c r="B339" s="15" t="s">
        <v>1160</v>
      </c>
      <c r="C339" s="15" t="s">
        <v>1161</v>
      </c>
      <c r="D339" s="15" t="s">
        <v>965</v>
      </c>
      <c r="E339" s="15"/>
      <c r="F339" s="15" t="s">
        <v>440</v>
      </c>
      <c r="G339" s="15" t="s">
        <v>900</v>
      </c>
      <c r="H339" s="15" t="s">
        <v>929</v>
      </c>
      <c r="I339" s="15" t="s">
        <v>929</v>
      </c>
      <c r="J339" s="17">
        <v>0.63300000000000001</v>
      </c>
      <c r="K339" s="15" t="str">
        <f t="shared" si="5"/>
        <v>NF36_Service Engineering Manager</v>
      </c>
      <c r="L339" s="15"/>
      <c r="M339" s="15" t="s">
        <v>896</v>
      </c>
      <c r="N339" s="15">
        <v>14</v>
      </c>
      <c r="O339" s="15" t="s">
        <v>1881</v>
      </c>
      <c r="P339" s="19" t="s">
        <v>1886</v>
      </c>
    </row>
    <row r="340" spans="1:16" ht="15" hidden="1" customHeight="1" outlineLevel="1" x14ac:dyDescent="0.3">
      <c r="A340" s="13" t="s">
        <v>2144</v>
      </c>
      <c r="B340" s="15" t="s">
        <v>1164</v>
      </c>
      <c r="C340" s="15" t="s">
        <v>1165</v>
      </c>
      <c r="D340" s="15" t="s">
        <v>892</v>
      </c>
      <c r="E340" s="15"/>
      <c r="F340" s="15" t="s">
        <v>440</v>
      </c>
      <c r="G340" s="15" t="s">
        <v>900</v>
      </c>
      <c r="H340" s="15" t="s">
        <v>929</v>
      </c>
      <c r="I340" s="15" t="s">
        <v>979</v>
      </c>
      <c r="J340" s="15"/>
      <c r="K340" s="15" t="str">
        <f t="shared" si="5"/>
        <v>NF40_Service Engineering Technical Lead</v>
      </c>
      <c r="L340" s="15"/>
      <c r="M340" s="15" t="s">
        <v>896</v>
      </c>
      <c r="N340" s="15"/>
      <c r="O340" s="15" t="s">
        <v>1881</v>
      </c>
      <c r="P340" s="19" t="s">
        <v>1886</v>
      </c>
    </row>
    <row r="341" spans="1:16" ht="15" hidden="1" customHeight="1" outlineLevel="1" x14ac:dyDescent="0.3">
      <c r="A341" s="13" t="s">
        <v>2144</v>
      </c>
      <c r="B341" s="15" t="s">
        <v>1166</v>
      </c>
      <c r="C341" s="15" t="s">
        <v>1167</v>
      </c>
      <c r="D341" s="15" t="s">
        <v>892</v>
      </c>
      <c r="E341" s="15"/>
      <c r="F341" s="15" t="s">
        <v>440</v>
      </c>
      <c r="G341" s="15" t="s">
        <v>900</v>
      </c>
      <c r="H341" s="15" t="s">
        <v>929</v>
      </c>
      <c r="I341" s="15" t="s">
        <v>929</v>
      </c>
      <c r="J341" s="17">
        <v>0.63300000000000001</v>
      </c>
      <c r="K341" s="15" t="str">
        <f t="shared" si="5"/>
        <v>NF41_SSO Manager</v>
      </c>
      <c r="L341" s="15"/>
      <c r="M341" s="15" t="s">
        <v>896</v>
      </c>
      <c r="N341" s="15">
        <v>14</v>
      </c>
      <c r="O341" s="15" t="s">
        <v>1881</v>
      </c>
      <c r="P341" s="19" t="s">
        <v>1886</v>
      </c>
    </row>
    <row r="342" spans="1:16" ht="15" hidden="1" customHeight="1" outlineLevel="1" x14ac:dyDescent="0.3">
      <c r="A342" s="13" t="s">
        <v>2144</v>
      </c>
      <c r="B342" s="15" t="s">
        <v>1172</v>
      </c>
      <c r="C342" s="15" t="s">
        <v>1173</v>
      </c>
      <c r="D342" s="15" t="s">
        <v>892</v>
      </c>
      <c r="E342" s="15"/>
      <c r="F342" s="15" t="s">
        <v>440</v>
      </c>
      <c r="G342" s="15" t="s">
        <v>900</v>
      </c>
      <c r="H342" s="15" t="s">
        <v>912</v>
      </c>
      <c r="I342" s="15" t="s">
        <v>966</v>
      </c>
      <c r="J342" s="17">
        <v>0.61699999999999999</v>
      </c>
      <c r="K342" s="15" t="str">
        <f t="shared" si="5"/>
        <v>NF44_SSO Quality Coach</v>
      </c>
      <c r="L342" s="15"/>
      <c r="M342" s="15" t="s">
        <v>972</v>
      </c>
      <c r="N342" s="15">
        <v>14</v>
      </c>
      <c r="O342" s="15" t="s">
        <v>1881</v>
      </c>
      <c r="P342" s="19" t="s">
        <v>1886</v>
      </c>
    </row>
    <row r="343" spans="1:16" s="15" customFormat="1" ht="15" hidden="1" customHeight="1" outlineLevel="1" x14ac:dyDescent="0.3">
      <c r="A343" s="13" t="s">
        <v>2144</v>
      </c>
      <c r="B343" s="15" t="s">
        <v>1174</v>
      </c>
      <c r="C343" s="15" t="s">
        <v>1175</v>
      </c>
      <c r="D343" s="15" t="s">
        <v>1855</v>
      </c>
      <c r="F343" s="15" t="s">
        <v>440</v>
      </c>
      <c r="G343" s="15" t="s">
        <v>900</v>
      </c>
      <c r="H343" s="15" t="s">
        <v>929</v>
      </c>
      <c r="I343" s="15" t="s">
        <v>979</v>
      </c>
      <c r="K343" s="15" t="str">
        <f t="shared" si="5"/>
        <v>NF45_STRATEGY Non-Frontline</v>
      </c>
      <c r="M343" s="15" t="s">
        <v>896</v>
      </c>
      <c r="O343" s="15" t="s">
        <v>1881</v>
      </c>
      <c r="P343" s="19" t="s">
        <v>1886</v>
      </c>
    </row>
    <row r="344" spans="1:16" s="15" customFormat="1" ht="15" hidden="1" customHeight="1" outlineLevel="1" collapsed="1" x14ac:dyDescent="0.3">
      <c r="A344" s="13" t="s">
        <v>2144</v>
      </c>
      <c r="B344" s="15" t="s">
        <v>1176</v>
      </c>
      <c r="C344" s="15" t="s">
        <v>1177</v>
      </c>
      <c r="D344" s="15" t="s">
        <v>892</v>
      </c>
      <c r="F344" s="15" t="s">
        <v>440</v>
      </c>
      <c r="G344" s="15" t="s">
        <v>900</v>
      </c>
      <c r="H344" s="15" t="s">
        <v>929</v>
      </c>
      <c r="I344" s="15" t="s">
        <v>929</v>
      </c>
      <c r="J344" s="17">
        <v>0.63300000000000001</v>
      </c>
      <c r="K344" s="15" t="str">
        <f t="shared" si="5"/>
        <v>NF46_WHITLOW ELT</v>
      </c>
      <c r="M344" s="15" t="s">
        <v>896</v>
      </c>
      <c r="N344" s="15">
        <v>14</v>
      </c>
      <c r="O344" s="15" t="s">
        <v>1881</v>
      </c>
      <c r="P344" s="19" t="s">
        <v>1886</v>
      </c>
    </row>
    <row r="345" spans="1:16" s="15" customFormat="1" ht="15" hidden="1" customHeight="1" outlineLevel="1" collapsed="1" x14ac:dyDescent="0.3">
      <c r="A345" s="13" t="s">
        <v>2144</v>
      </c>
      <c r="B345" s="15" t="s">
        <v>1178</v>
      </c>
      <c r="C345" s="15" t="s">
        <v>1179</v>
      </c>
      <c r="D345" s="15" t="s">
        <v>892</v>
      </c>
      <c r="F345" s="15" t="s">
        <v>440</v>
      </c>
      <c r="G345" s="15" t="s">
        <v>900</v>
      </c>
      <c r="H345" s="15" t="s">
        <v>929</v>
      </c>
      <c r="I345" s="15" t="s">
        <v>979</v>
      </c>
      <c r="K345" s="15" t="str">
        <f t="shared" si="5"/>
        <v>NF47_SSO WFM</v>
      </c>
      <c r="M345" s="15" t="s">
        <v>896</v>
      </c>
      <c r="O345" s="15" t="s">
        <v>1881</v>
      </c>
      <c r="P345" s="19" t="s">
        <v>1886</v>
      </c>
    </row>
    <row r="346" spans="1:16" s="15" customFormat="1" ht="15" hidden="1" customHeight="1" outlineLevel="1" collapsed="1" x14ac:dyDescent="0.3">
      <c r="A346" s="13" t="s">
        <v>2144</v>
      </c>
      <c r="B346" s="15" t="s">
        <v>1181</v>
      </c>
      <c r="C346" s="15" t="s">
        <v>1182</v>
      </c>
      <c r="D346" s="15" t="s">
        <v>1856</v>
      </c>
      <c r="F346" s="15" t="s">
        <v>440</v>
      </c>
      <c r="G346" s="15" t="s">
        <v>900</v>
      </c>
      <c r="H346" s="15" t="s">
        <v>929</v>
      </c>
      <c r="I346" s="15" t="s">
        <v>979</v>
      </c>
      <c r="K346" s="15" t="str">
        <f t="shared" si="5"/>
        <v>NF48_RM Manager</v>
      </c>
      <c r="M346" s="15" t="s">
        <v>896</v>
      </c>
      <c r="O346" s="15" t="s">
        <v>1881</v>
      </c>
      <c r="P346" s="19" t="s">
        <v>1886</v>
      </c>
    </row>
    <row r="347" spans="1:16" s="15" customFormat="1" ht="15" hidden="1" customHeight="1" outlineLevel="1" collapsed="1" x14ac:dyDescent="0.3">
      <c r="A347" s="13" t="s">
        <v>2144</v>
      </c>
      <c r="B347" s="15" t="s">
        <v>1183</v>
      </c>
      <c r="C347" s="15" t="s">
        <v>1184</v>
      </c>
      <c r="D347" s="15" t="s">
        <v>892</v>
      </c>
      <c r="F347" s="15" t="s">
        <v>440</v>
      </c>
      <c r="G347" s="15" t="s">
        <v>900</v>
      </c>
      <c r="H347" s="15" t="s">
        <v>929</v>
      </c>
      <c r="I347" s="15" t="s">
        <v>979</v>
      </c>
      <c r="K347" s="15" t="str">
        <f t="shared" si="5"/>
        <v>NF49_RM NR-FLS</v>
      </c>
      <c r="M347" s="15" t="s">
        <v>896</v>
      </c>
      <c r="O347" s="15" t="s">
        <v>1881</v>
      </c>
      <c r="P347" s="19" t="s">
        <v>1886</v>
      </c>
    </row>
    <row r="348" spans="1:16" s="15" customFormat="1" ht="15" hidden="1" customHeight="1" outlineLevel="1" collapsed="1" x14ac:dyDescent="0.3">
      <c r="A348" s="13" t="s">
        <v>2144</v>
      </c>
      <c r="B348" s="15" t="s">
        <v>1185</v>
      </c>
      <c r="C348" s="15" t="s">
        <v>1186</v>
      </c>
      <c r="D348" s="15" t="s">
        <v>892</v>
      </c>
      <c r="F348" s="15" t="s">
        <v>440</v>
      </c>
      <c r="G348" s="15" t="s">
        <v>900</v>
      </c>
      <c r="H348" s="15" t="s">
        <v>929</v>
      </c>
      <c r="I348" s="15" t="s">
        <v>979</v>
      </c>
      <c r="K348" s="15" t="str">
        <f t="shared" si="5"/>
        <v>NF50_Service Engineering WFM</v>
      </c>
      <c r="M348" s="15" t="s">
        <v>896</v>
      </c>
      <c r="O348" s="15" t="s">
        <v>1881</v>
      </c>
      <c r="P348" s="19" t="s">
        <v>1886</v>
      </c>
    </row>
    <row r="349" spans="1:16" s="15" customFormat="1" ht="15" hidden="1" customHeight="1" outlineLevel="1" collapsed="1" x14ac:dyDescent="0.3">
      <c r="A349" s="13" t="s">
        <v>2144</v>
      </c>
      <c r="B349" s="15" t="s">
        <v>1187</v>
      </c>
      <c r="C349" s="15" t="s">
        <v>1188</v>
      </c>
      <c r="D349" s="15" t="s">
        <v>892</v>
      </c>
      <c r="F349" s="15" t="s">
        <v>266</v>
      </c>
      <c r="G349" s="15" t="s">
        <v>900</v>
      </c>
      <c r="H349" s="15" t="s">
        <v>929</v>
      </c>
      <c r="I349" s="15" t="s">
        <v>929</v>
      </c>
      <c r="J349" s="17">
        <v>0.63300000000000001</v>
      </c>
      <c r="K349" s="15" t="str">
        <f t="shared" si="5"/>
        <v>NF53_Global TELCO Networking</v>
      </c>
      <c r="M349" s="15" t="s">
        <v>896</v>
      </c>
      <c r="N349" s="15">
        <v>14</v>
      </c>
      <c r="O349" s="15" t="s">
        <v>1881</v>
      </c>
      <c r="P349" s="19" t="s">
        <v>1886</v>
      </c>
    </row>
    <row r="350" spans="1:16" s="15" customFormat="1" ht="15" hidden="1" customHeight="1" outlineLevel="1" collapsed="1" x14ac:dyDescent="0.3">
      <c r="A350" s="13" t="s">
        <v>2144</v>
      </c>
      <c r="B350" s="15" t="s">
        <v>1189</v>
      </c>
      <c r="C350" s="15" t="s">
        <v>1190</v>
      </c>
      <c r="D350" s="15" t="s">
        <v>892</v>
      </c>
      <c r="F350" s="15" t="s">
        <v>439</v>
      </c>
      <c r="G350" s="15" t="s">
        <v>900</v>
      </c>
      <c r="H350" s="15" t="s">
        <v>929</v>
      </c>
      <c r="I350" s="15" t="s">
        <v>979</v>
      </c>
      <c r="K350" s="15" t="str">
        <f t="shared" si="5"/>
        <v>NF54_Global TELCO - Server</v>
      </c>
      <c r="M350" s="15" t="s">
        <v>896</v>
      </c>
      <c r="O350" s="15" t="s">
        <v>1881</v>
      </c>
      <c r="P350" s="19" t="s">
        <v>1886</v>
      </c>
    </row>
    <row r="351" spans="1:16" s="15" customFormat="1" ht="15" hidden="1" customHeight="1" outlineLevel="1" collapsed="1" x14ac:dyDescent="0.3">
      <c r="A351" s="13" t="s">
        <v>2144</v>
      </c>
      <c r="B351" s="15" t="s">
        <v>840</v>
      </c>
      <c r="C351" s="15" t="s">
        <v>841</v>
      </c>
      <c r="D351" s="15" t="s">
        <v>1846</v>
      </c>
      <c r="E351" s="15" t="s">
        <v>934</v>
      </c>
      <c r="G351" s="15" t="s">
        <v>8</v>
      </c>
      <c r="K351" s="15" t="str">
        <f t="shared" si="5"/>
        <v>PHSS_NA Premium Support</v>
      </c>
      <c r="M351" s="15" t="s">
        <v>896</v>
      </c>
      <c r="O351" s="15" t="s">
        <v>1881</v>
      </c>
      <c r="P351" s="19" t="s">
        <v>1886</v>
      </c>
    </row>
    <row r="352" spans="1:16" s="15" customFormat="1" ht="15" hidden="1" customHeight="1" outlineLevel="1" collapsed="1" x14ac:dyDescent="0.3">
      <c r="A352" s="13" t="s">
        <v>2144</v>
      </c>
      <c r="B352" s="15" t="s">
        <v>1196</v>
      </c>
      <c r="C352" s="15" t="s">
        <v>1197</v>
      </c>
      <c r="D352" s="15" t="s">
        <v>914</v>
      </c>
      <c r="E352" s="15" t="s">
        <v>440</v>
      </c>
      <c r="F352" s="15" t="s">
        <v>440</v>
      </c>
      <c r="G352" s="15" t="s">
        <v>900</v>
      </c>
      <c r="J352" s="17"/>
      <c r="K352" s="15" t="str">
        <f t="shared" si="5"/>
        <v>PM01_Partner Management</v>
      </c>
      <c r="M352" s="15" t="s">
        <v>917</v>
      </c>
      <c r="N352" s="15">
        <v>0</v>
      </c>
      <c r="O352" s="15" t="s">
        <v>1881</v>
      </c>
      <c r="P352" s="19" t="s">
        <v>1886</v>
      </c>
    </row>
    <row r="353" spans="1:16" s="15" customFormat="1" ht="15" hidden="1" customHeight="1" outlineLevel="1" collapsed="1" x14ac:dyDescent="0.3">
      <c r="A353" s="13" t="s">
        <v>2144</v>
      </c>
      <c r="B353" s="15" t="s">
        <v>1198</v>
      </c>
      <c r="C353" s="15" t="s">
        <v>1199</v>
      </c>
      <c r="D353" s="15" t="s">
        <v>892</v>
      </c>
      <c r="E353" s="15" t="s">
        <v>439</v>
      </c>
      <c r="F353" s="15" t="s">
        <v>995</v>
      </c>
      <c r="G353" s="15" t="s">
        <v>900</v>
      </c>
      <c r="H353" s="15" t="s">
        <v>996</v>
      </c>
      <c r="I353" s="15" t="s">
        <v>1200</v>
      </c>
      <c r="K353" s="15" t="str">
        <f t="shared" si="5"/>
        <v>PP21_APJ English CTE</v>
      </c>
      <c r="M353" s="15" t="s">
        <v>896</v>
      </c>
      <c r="O353" s="15" t="s">
        <v>1881</v>
      </c>
      <c r="P353" s="19" t="s">
        <v>1886</v>
      </c>
    </row>
    <row r="354" spans="1:16" s="15" customFormat="1" ht="15" hidden="1" customHeight="1" outlineLevel="1" collapsed="1" x14ac:dyDescent="0.3">
      <c r="A354" s="13" t="s">
        <v>2144</v>
      </c>
      <c r="B354" s="15" t="s">
        <v>730</v>
      </c>
      <c r="C354" s="15" t="s">
        <v>731</v>
      </c>
      <c r="D354" s="15" t="s">
        <v>1856</v>
      </c>
      <c r="E354" s="15" t="s">
        <v>440</v>
      </c>
      <c r="F354" s="15" t="s">
        <v>440</v>
      </c>
      <c r="G354" s="15" t="s">
        <v>8</v>
      </c>
      <c r="H354" s="15" t="s">
        <v>903</v>
      </c>
      <c r="I354" s="15" t="s">
        <v>909</v>
      </c>
      <c r="J354" s="17">
        <v>0.629</v>
      </c>
      <c r="K354" s="15" t="str">
        <f t="shared" si="5"/>
        <v>RE03_APJ Support Resolution Team</v>
      </c>
      <c r="M354" s="15" t="s">
        <v>896</v>
      </c>
      <c r="O354" s="15" t="s">
        <v>1881</v>
      </c>
      <c r="P354" s="19" t="s">
        <v>1886</v>
      </c>
    </row>
    <row r="355" spans="1:16" s="15" customFormat="1" ht="15" hidden="1" customHeight="1" outlineLevel="1" collapsed="1" x14ac:dyDescent="0.3">
      <c r="A355" s="13" t="s">
        <v>2144</v>
      </c>
      <c r="B355" s="15" t="s">
        <v>1203</v>
      </c>
      <c r="C355" s="15" t="s">
        <v>1204</v>
      </c>
      <c r="D355" s="15" t="s">
        <v>892</v>
      </c>
      <c r="F355" s="15" t="s">
        <v>439</v>
      </c>
      <c r="G355" s="15" t="s">
        <v>900</v>
      </c>
      <c r="H355" s="15" t="s">
        <v>901</v>
      </c>
      <c r="I355" s="15" t="s">
        <v>1076</v>
      </c>
      <c r="K355" s="15" t="str">
        <f t="shared" si="5"/>
        <v>RL10_Triage Enterprise Support Panama</v>
      </c>
      <c r="M355" s="15" t="s">
        <v>896</v>
      </c>
      <c r="O355" s="15" t="s">
        <v>1881</v>
      </c>
      <c r="P355" s="19" t="s">
        <v>1886</v>
      </c>
    </row>
    <row r="356" spans="1:16" s="15" customFormat="1" ht="15" hidden="1" customHeight="1" outlineLevel="1" collapsed="1" x14ac:dyDescent="0.3">
      <c r="A356" s="13" t="s">
        <v>2144</v>
      </c>
      <c r="B356" s="15" t="s">
        <v>732</v>
      </c>
      <c r="C356" s="15" t="s">
        <v>733</v>
      </c>
      <c r="D356" s="15" t="s">
        <v>1844</v>
      </c>
      <c r="E356" s="15" t="s">
        <v>440</v>
      </c>
      <c r="F356" s="15" t="s">
        <v>440</v>
      </c>
      <c r="G356" s="15" t="s">
        <v>8</v>
      </c>
      <c r="H356" s="15" t="s">
        <v>935</v>
      </c>
      <c r="I356" s="15" t="s">
        <v>1076</v>
      </c>
      <c r="J356" s="17">
        <v>0.626</v>
      </c>
      <c r="K356" s="15" t="str">
        <f t="shared" si="5"/>
        <v>RL12_RM ROLA</v>
      </c>
      <c r="M356" s="15" t="s">
        <v>896</v>
      </c>
      <c r="O356" s="15" t="s">
        <v>1881</v>
      </c>
      <c r="P356" s="19" t="s">
        <v>1886</v>
      </c>
    </row>
    <row r="357" spans="1:16" s="15" customFormat="1" ht="15" hidden="1" customHeight="1" outlineLevel="1" collapsed="1" x14ac:dyDescent="0.3">
      <c r="A357" s="13" t="s">
        <v>2144</v>
      </c>
      <c r="B357" s="15" t="s">
        <v>734</v>
      </c>
      <c r="C357" s="15" t="s">
        <v>735</v>
      </c>
      <c r="D357" s="15" t="s">
        <v>1844</v>
      </c>
      <c r="E357" s="15" t="s">
        <v>440</v>
      </c>
      <c r="F357" s="15" t="s">
        <v>440</v>
      </c>
      <c r="G357" s="15" t="s">
        <v>8</v>
      </c>
      <c r="H357" s="15" t="s">
        <v>893</v>
      </c>
      <c r="I357" s="15" t="s">
        <v>894</v>
      </c>
      <c r="J357" s="17">
        <v>0.64800000000000002</v>
      </c>
      <c r="K357" s="15" t="str">
        <f t="shared" si="5"/>
        <v>RM02_RM NA Enterprise</v>
      </c>
      <c r="M357" s="15" t="s">
        <v>896</v>
      </c>
      <c r="N357" s="15">
        <v>14</v>
      </c>
      <c r="O357" s="15" t="s">
        <v>1881</v>
      </c>
      <c r="P357" s="19" t="s">
        <v>1886</v>
      </c>
    </row>
    <row r="358" spans="1:16" s="15" customFormat="1" ht="15" hidden="1" customHeight="1" outlineLevel="1" collapsed="1" x14ac:dyDescent="0.3">
      <c r="A358" s="13" t="s">
        <v>2144</v>
      </c>
      <c r="B358" s="15" t="s">
        <v>1206</v>
      </c>
      <c r="C358" s="15" t="s">
        <v>1207</v>
      </c>
      <c r="D358" s="15" t="s">
        <v>965</v>
      </c>
      <c r="E358" s="15" t="s">
        <v>436</v>
      </c>
      <c r="F358" s="15" t="s">
        <v>439</v>
      </c>
      <c r="G358" s="15" t="s">
        <v>900</v>
      </c>
      <c r="H358" s="15" t="s">
        <v>929</v>
      </c>
      <c r="I358" s="15" t="s">
        <v>929</v>
      </c>
      <c r="J358" s="17">
        <v>0.63300000000000001</v>
      </c>
      <c r="K358" s="15" t="str">
        <f t="shared" si="5"/>
        <v>RP01_RPS Manager</v>
      </c>
      <c r="M358" s="15" t="s">
        <v>972</v>
      </c>
      <c r="N358" s="15">
        <v>14</v>
      </c>
      <c r="O358" s="15" t="s">
        <v>1881</v>
      </c>
      <c r="P358" s="19" t="s">
        <v>1886</v>
      </c>
    </row>
    <row r="359" spans="1:16" s="15" customFormat="1" ht="15" hidden="1" customHeight="1" outlineLevel="1" collapsed="1" x14ac:dyDescent="0.3">
      <c r="A359" s="13" t="s">
        <v>2144</v>
      </c>
      <c r="B359" s="15" t="s">
        <v>1208</v>
      </c>
      <c r="C359" s="15" t="s">
        <v>1209</v>
      </c>
      <c r="D359" s="15" t="s">
        <v>965</v>
      </c>
      <c r="E359" s="15" t="s">
        <v>436</v>
      </c>
      <c r="F359" s="15" t="s">
        <v>439</v>
      </c>
      <c r="G359" s="15" t="s">
        <v>900</v>
      </c>
      <c r="H359" s="15" t="s">
        <v>929</v>
      </c>
      <c r="I359" s="15" t="s">
        <v>929</v>
      </c>
      <c r="J359" s="17">
        <v>0.63300000000000001</v>
      </c>
      <c r="K359" s="15" t="str">
        <f t="shared" si="5"/>
        <v>RP02_RPS WFM</v>
      </c>
      <c r="M359" s="15" t="s">
        <v>1883</v>
      </c>
      <c r="N359" s="15">
        <v>14</v>
      </c>
      <c r="O359" s="15" t="s">
        <v>1881</v>
      </c>
      <c r="P359" s="19" t="s">
        <v>1886</v>
      </c>
    </row>
    <row r="360" spans="1:16" s="15" customFormat="1" ht="15" hidden="1" customHeight="1" outlineLevel="1" collapsed="1" x14ac:dyDescent="0.3">
      <c r="A360" s="13" t="s">
        <v>2144</v>
      </c>
      <c r="B360" s="15" t="s">
        <v>1210</v>
      </c>
      <c r="C360" s="15" t="s">
        <v>1211</v>
      </c>
      <c r="D360" s="15" t="s">
        <v>892</v>
      </c>
      <c r="E360" s="15" t="s">
        <v>436</v>
      </c>
      <c r="F360" s="15" t="s">
        <v>439</v>
      </c>
      <c r="G360" s="15" t="s">
        <v>900</v>
      </c>
      <c r="H360" s="15" t="s">
        <v>929</v>
      </c>
      <c r="I360" s="15" t="s">
        <v>929</v>
      </c>
      <c r="J360" s="17">
        <v>0.63300000000000001</v>
      </c>
      <c r="K360" s="15" t="str">
        <f t="shared" si="5"/>
        <v>RP03_RPS Non-Frontline</v>
      </c>
      <c r="M360" s="15" t="s">
        <v>896</v>
      </c>
      <c r="N360" s="15">
        <v>14</v>
      </c>
      <c r="O360" s="15" t="s">
        <v>1881</v>
      </c>
      <c r="P360" s="19" t="s">
        <v>1886</v>
      </c>
    </row>
    <row r="361" spans="1:16" s="15" customFormat="1" ht="15" hidden="1" customHeight="1" outlineLevel="1" collapsed="1" x14ac:dyDescent="0.3">
      <c r="A361" s="13" t="s">
        <v>2144</v>
      </c>
      <c r="B361" s="15" t="s">
        <v>1212</v>
      </c>
      <c r="C361" s="15" t="s">
        <v>1213</v>
      </c>
      <c r="D361" s="15" t="s">
        <v>928</v>
      </c>
      <c r="E361" s="15" t="s">
        <v>440</v>
      </c>
      <c r="F361" s="15" t="s">
        <v>440</v>
      </c>
      <c r="G361" s="15" t="s">
        <v>900</v>
      </c>
      <c r="H361" s="15" t="s">
        <v>903</v>
      </c>
      <c r="I361" s="15" t="s">
        <v>906</v>
      </c>
      <c r="J361" s="17">
        <v>0.629</v>
      </c>
      <c r="K361" s="15" t="str">
        <f t="shared" si="5"/>
        <v>SM02_Social Media English (APJ)</v>
      </c>
      <c r="M361" s="15" t="s">
        <v>930</v>
      </c>
      <c r="N361" s="15">
        <v>14</v>
      </c>
      <c r="O361" s="15" t="s">
        <v>1881</v>
      </c>
      <c r="P361" s="19" t="s">
        <v>1886</v>
      </c>
    </row>
    <row r="362" spans="1:16" s="15" customFormat="1" ht="15" hidden="1" customHeight="1" outlineLevel="1" collapsed="1" x14ac:dyDescent="0.3">
      <c r="A362" s="13" t="s">
        <v>2144</v>
      </c>
      <c r="B362" s="15" t="s">
        <v>1214</v>
      </c>
      <c r="C362" s="15" t="s">
        <v>1215</v>
      </c>
      <c r="D362" s="15" t="s">
        <v>892</v>
      </c>
      <c r="F362" s="15" t="s">
        <v>440</v>
      </c>
      <c r="G362" s="15" t="s">
        <v>900</v>
      </c>
      <c r="H362" s="15" t="s">
        <v>901</v>
      </c>
      <c r="I362" s="15" t="s">
        <v>894</v>
      </c>
      <c r="K362" s="15" t="str">
        <f t="shared" si="5"/>
        <v>SMP1_SMPE English Storage SC</v>
      </c>
      <c r="M362" s="15" t="s">
        <v>896</v>
      </c>
      <c r="O362" s="15" t="s">
        <v>1881</v>
      </c>
      <c r="P362" s="19" t="s">
        <v>1886</v>
      </c>
    </row>
    <row r="363" spans="1:16" s="15" customFormat="1" ht="15" hidden="1" customHeight="1" outlineLevel="1" collapsed="1" x14ac:dyDescent="0.3">
      <c r="A363" s="13" t="s">
        <v>2144</v>
      </c>
      <c r="B363" s="15" t="s">
        <v>1216</v>
      </c>
      <c r="C363" s="15" t="s">
        <v>1217</v>
      </c>
      <c r="D363" s="15" t="s">
        <v>892</v>
      </c>
      <c r="F363" s="15" t="s">
        <v>440</v>
      </c>
      <c r="G363" s="15" t="s">
        <v>900</v>
      </c>
      <c r="H363" s="15" t="s">
        <v>901</v>
      </c>
      <c r="I363" s="15" t="s">
        <v>894</v>
      </c>
      <c r="K363" s="15" t="str">
        <f t="shared" si="5"/>
        <v>SMP2_SMPE English Storage MD</v>
      </c>
      <c r="M363" s="15" t="s">
        <v>896</v>
      </c>
      <c r="O363" s="15" t="s">
        <v>1881</v>
      </c>
      <c r="P363" s="19" t="s">
        <v>1886</v>
      </c>
    </row>
    <row r="364" spans="1:16" ht="15" hidden="1" customHeight="1" outlineLevel="1" x14ac:dyDescent="0.3">
      <c r="A364" s="13" t="s">
        <v>2144</v>
      </c>
      <c r="B364" s="15" t="s">
        <v>1218</v>
      </c>
      <c r="C364" s="15" t="s">
        <v>1219</v>
      </c>
      <c r="D364" s="15" t="s">
        <v>892</v>
      </c>
      <c r="E364" s="15"/>
      <c r="F364" s="15" t="s">
        <v>266</v>
      </c>
      <c r="G364" s="15" t="s">
        <v>900</v>
      </c>
      <c r="H364" s="15" t="s">
        <v>901</v>
      </c>
      <c r="I364" s="15" t="s">
        <v>894</v>
      </c>
      <c r="J364" s="15"/>
      <c r="K364" s="15" t="str">
        <f t="shared" si="5"/>
        <v>SMP3_SMPE English Networking</v>
      </c>
      <c r="L364" s="15"/>
      <c r="M364" s="15" t="s">
        <v>896</v>
      </c>
      <c r="N364" s="15"/>
      <c r="O364" s="15" t="s">
        <v>1881</v>
      </c>
      <c r="P364" s="19" t="s">
        <v>1886</v>
      </c>
    </row>
    <row r="365" spans="1:16" ht="15" hidden="1" customHeight="1" outlineLevel="1" collapsed="1" x14ac:dyDescent="0.3">
      <c r="A365" s="13" t="s">
        <v>2144</v>
      </c>
      <c r="B365" s="15" t="s">
        <v>1220</v>
      </c>
      <c r="C365" s="15" t="s">
        <v>1221</v>
      </c>
      <c r="D365" s="15" t="s">
        <v>892</v>
      </c>
      <c r="E365" s="15"/>
      <c r="F365" s="15" t="s">
        <v>439</v>
      </c>
      <c r="G365" s="15" t="s">
        <v>900</v>
      </c>
      <c r="H365" s="15" t="s">
        <v>901</v>
      </c>
      <c r="I365" s="15" t="s">
        <v>894</v>
      </c>
      <c r="J365" s="15"/>
      <c r="K365" s="15" t="str">
        <f t="shared" si="5"/>
        <v>SMP4_SMPE English Server</v>
      </c>
      <c r="L365" s="15"/>
      <c r="M365" s="15" t="s">
        <v>896</v>
      </c>
      <c r="N365" s="15"/>
      <c r="O365" s="15" t="s">
        <v>1881</v>
      </c>
      <c r="P365" s="19" t="s">
        <v>1886</v>
      </c>
    </row>
    <row r="366" spans="1:16" ht="15" hidden="1" customHeight="1" outlineLevel="1" collapsed="1" x14ac:dyDescent="0.3">
      <c r="A366" s="13" t="s">
        <v>2144</v>
      </c>
      <c r="B366" s="15" t="s">
        <v>1222</v>
      </c>
      <c r="C366" s="15" t="s">
        <v>1223</v>
      </c>
      <c r="D366" s="15" t="s">
        <v>892</v>
      </c>
      <c r="E366" s="15"/>
      <c r="F366" s="15" t="s">
        <v>440</v>
      </c>
      <c r="G366" s="15" t="s">
        <v>900</v>
      </c>
      <c r="H366" s="15" t="s">
        <v>901</v>
      </c>
      <c r="I366" s="15" t="s">
        <v>894</v>
      </c>
      <c r="J366" s="15"/>
      <c r="K366" s="15" t="str">
        <f t="shared" si="5"/>
        <v>SMP5_SMPE English Storage PS</v>
      </c>
      <c r="L366" s="15"/>
      <c r="M366" s="15" t="s">
        <v>896</v>
      </c>
      <c r="N366" s="15"/>
      <c r="O366" s="15" t="s">
        <v>1881</v>
      </c>
      <c r="P366" s="19" t="s">
        <v>1886</v>
      </c>
    </row>
    <row r="367" spans="1:16" ht="15" hidden="1" customHeight="1" outlineLevel="1" collapsed="1" x14ac:dyDescent="0.3">
      <c r="A367" s="13" t="s">
        <v>2144</v>
      </c>
      <c r="B367" s="15" t="s">
        <v>1224</v>
      </c>
      <c r="C367" s="15" t="s">
        <v>1225</v>
      </c>
      <c r="D367" s="15" t="s">
        <v>892</v>
      </c>
      <c r="E367" s="15"/>
      <c r="F367" s="15" t="s">
        <v>440</v>
      </c>
      <c r="G367" s="15" t="s">
        <v>900</v>
      </c>
      <c r="H367" s="15" t="s">
        <v>901</v>
      </c>
      <c r="I367" s="15" t="s">
        <v>894</v>
      </c>
      <c r="J367" s="15"/>
      <c r="K367" s="15" t="str">
        <f t="shared" si="5"/>
        <v>SMP6_SMPE English LVTS</v>
      </c>
      <c r="L367" s="15"/>
      <c r="M367" s="15" t="s">
        <v>896</v>
      </c>
      <c r="N367" s="15"/>
      <c r="O367" s="15" t="s">
        <v>1881</v>
      </c>
      <c r="P367" s="19" t="s">
        <v>1886</v>
      </c>
    </row>
    <row r="368" spans="1:16" ht="15" hidden="1" customHeight="1" outlineLevel="1" collapsed="1" x14ac:dyDescent="0.3">
      <c r="A368" s="13" t="s">
        <v>2144</v>
      </c>
      <c r="B368" s="15" t="s">
        <v>1226</v>
      </c>
      <c r="C368" s="15" t="s">
        <v>1227</v>
      </c>
      <c r="D368" s="15" t="s">
        <v>892</v>
      </c>
      <c r="E368" s="15"/>
      <c r="F368" s="15" t="s">
        <v>440</v>
      </c>
      <c r="G368" s="15" t="s">
        <v>900</v>
      </c>
      <c r="H368" s="15" t="s">
        <v>901</v>
      </c>
      <c r="I368" s="15" t="s">
        <v>894</v>
      </c>
      <c r="J368" s="15"/>
      <c r="K368" s="15" t="str">
        <f t="shared" si="5"/>
        <v>SMP7_SMPE English Nutanix</v>
      </c>
      <c r="L368" s="15"/>
      <c r="M368" s="15" t="s">
        <v>896</v>
      </c>
      <c r="N368" s="15"/>
      <c r="O368" s="15" t="s">
        <v>1881</v>
      </c>
      <c r="P368" s="19" t="s">
        <v>1886</v>
      </c>
    </row>
    <row r="369" spans="1:18" ht="15" hidden="1" customHeight="1" outlineLevel="1" collapsed="1" x14ac:dyDescent="0.3">
      <c r="A369" s="13" t="s">
        <v>2144</v>
      </c>
      <c r="B369" s="15" t="s">
        <v>1228</v>
      </c>
      <c r="C369" s="15" t="s">
        <v>1229</v>
      </c>
      <c r="D369" s="15" t="s">
        <v>892</v>
      </c>
      <c r="E369" s="15"/>
      <c r="F369" s="15" t="s">
        <v>440</v>
      </c>
      <c r="G369" s="15" t="s">
        <v>900</v>
      </c>
      <c r="H369" s="15" t="s">
        <v>901</v>
      </c>
      <c r="I369" s="15" t="s">
        <v>894</v>
      </c>
      <c r="J369" s="15"/>
      <c r="K369" s="15" t="str">
        <f t="shared" si="5"/>
        <v>SMP8_SMPE English Microsoft</v>
      </c>
      <c r="L369" s="15"/>
      <c r="M369" s="15" t="s">
        <v>896</v>
      </c>
      <c r="N369" s="15"/>
      <c r="O369" s="15" t="s">
        <v>1881</v>
      </c>
      <c r="P369" s="19" t="s">
        <v>1886</v>
      </c>
    </row>
    <row r="370" spans="1:18" ht="15" hidden="1" customHeight="1" outlineLevel="1" collapsed="1" x14ac:dyDescent="0.3">
      <c r="A370" s="13" t="s">
        <v>2144</v>
      </c>
      <c r="B370" s="15" t="s">
        <v>1230</v>
      </c>
      <c r="C370" s="15" t="s">
        <v>1231</v>
      </c>
      <c r="D370" s="15" t="s">
        <v>892</v>
      </c>
      <c r="E370" s="15" t="s">
        <v>947</v>
      </c>
      <c r="F370" s="15" t="s">
        <v>440</v>
      </c>
      <c r="G370" s="15" t="s">
        <v>900</v>
      </c>
      <c r="H370" s="15" t="s">
        <v>912</v>
      </c>
      <c r="I370" s="15" t="s">
        <v>1026</v>
      </c>
      <c r="J370" s="17">
        <v>0.61699999999999999</v>
      </c>
      <c r="K370" s="15" t="str">
        <f t="shared" si="5"/>
        <v>SP10_SPA Social Media (MTP)</v>
      </c>
      <c r="L370" s="15"/>
      <c r="M370" s="15" t="s">
        <v>896</v>
      </c>
      <c r="N370" s="15">
        <v>14</v>
      </c>
      <c r="O370" s="15" t="s">
        <v>1881</v>
      </c>
      <c r="P370" s="19" t="s">
        <v>1886</v>
      </c>
    </row>
    <row r="371" spans="1:18" ht="15" hidden="1" customHeight="1" outlineLevel="1" collapsed="1" x14ac:dyDescent="0.3">
      <c r="A371" s="13" t="s">
        <v>2144</v>
      </c>
      <c r="B371" s="15" t="s">
        <v>1233</v>
      </c>
      <c r="C371" s="15" t="s">
        <v>1234</v>
      </c>
      <c r="D371" s="15" t="s">
        <v>1846</v>
      </c>
      <c r="E371" s="15" t="s">
        <v>934</v>
      </c>
      <c r="F371" s="15" t="s">
        <v>934</v>
      </c>
      <c r="G371" s="15" t="s">
        <v>900</v>
      </c>
      <c r="H371" s="15" t="s">
        <v>903</v>
      </c>
      <c r="I371" s="15" t="s">
        <v>1235</v>
      </c>
      <c r="J371" s="15"/>
      <c r="K371" s="15" t="str">
        <f t="shared" si="5"/>
        <v>TH04_Client Prosupport TH (CTX)</v>
      </c>
      <c r="L371" s="15"/>
      <c r="M371" s="15" t="s">
        <v>896</v>
      </c>
      <c r="N371" s="15"/>
      <c r="O371" s="15" t="s">
        <v>1881</v>
      </c>
      <c r="P371" s="19" t="s">
        <v>1886</v>
      </c>
    </row>
    <row r="372" spans="1:18" ht="15" hidden="1" customHeight="1" outlineLevel="1" collapsed="1" x14ac:dyDescent="0.3">
      <c r="A372" s="13" t="s">
        <v>2144</v>
      </c>
      <c r="B372" s="15" t="s">
        <v>1236</v>
      </c>
      <c r="C372" s="15" t="s">
        <v>1237</v>
      </c>
      <c r="D372" s="15" t="s">
        <v>1846</v>
      </c>
      <c r="E372" s="15" t="s">
        <v>934</v>
      </c>
      <c r="F372" s="15" t="s">
        <v>1238</v>
      </c>
      <c r="G372" s="15" t="s">
        <v>900</v>
      </c>
      <c r="H372" s="15" t="s">
        <v>903</v>
      </c>
      <c r="I372" s="15" t="s">
        <v>909</v>
      </c>
      <c r="J372" s="15"/>
      <c r="K372" s="15" t="str">
        <f t="shared" si="5"/>
        <v>THBW_CCC Workstation BW</v>
      </c>
      <c r="L372" s="15"/>
      <c r="M372" s="15" t="s">
        <v>896</v>
      </c>
      <c r="N372" s="15"/>
      <c r="O372" s="15" t="s">
        <v>1881</v>
      </c>
      <c r="P372" s="19" t="s">
        <v>1886</v>
      </c>
    </row>
    <row r="373" spans="1:18" ht="15" hidden="1" customHeight="1" outlineLevel="1" collapsed="1" x14ac:dyDescent="0.3">
      <c r="A373" s="13" t="s">
        <v>2144</v>
      </c>
      <c r="B373" s="15" t="s">
        <v>603</v>
      </c>
      <c r="C373" s="15" t="s">
        <v>604</v>
      </c>
      <c r="D373" s="15" t="s">
        <v>965</v>
      </c>
      <c r="E373" s="15" t="s">
        <v>439</v>
      </c>
      <c r="F373" s="15" t="s">
        <v>439</v>
      </c>
      <c r="G373" s="15" t="s">
        <v>8</v>
      </c>
      <c r="H373" s="15" t="s">
        <v>903</v>
      </c>
      <c r="I373" s="15" t="s">
        <v>906</v>
      </c>
      <c r="J373" s="17">
        <v>0.629</v>
      </c>
      <c r="K373" s="15" t="str">
        <f t="shared" si="5"/>
        <v>UK03_BLR Ent Basic (Alternate)</v>
      </c>
      <c r="L373" s="15"/>
      <c r="M373" s="15" t="s">
        <v>1883</v>
      </c>
      <c r="N373" s="15">
        <v>16</v>
      </c>
      <c r="O373" s="15" t="s">
        <v>1881</v>
      </c>
      <c r="P373" s="19" t="s">
        <v>1886</v>
      </c>
    </row>
    <row r="374" spans="1:18" ht="15" hidden="1" customHeight="1" outlineLevel="1" collapsed="1" x14ac:dyDescent="0.3">
      <c r="A374" s="13" t="s">
        <v>2144</v>
      </c>
      <c r="B374" s="15" t="s">
        <v>1240</v>
      </c>
      <c r="C374" s="15" t="s">
        <v>1241</v>
      </c>
      <c r="D374" s="15" t="s">
        <v>1846</v>
      </c>
      <c r="E374" s="15"/>
      <c r="F374" s="15"/>
      <c r="G374" s="15" t="s">
        <v>900</v>
      </c>
      <c r="H374" s="15"/>
      <c r="I374" s="15"/>
      <c r="J374" s="15"/>
      <c r="K374" s="15" t="str">
        <f t="shared" si="5"/>
        <v>UNOP_NA OOP Resolver</v>
      </c>
      <c r="L374" s="15"/>
      <c r="M374" s="15" t="s">
        <v>896</v>
      </c>
      <c r="N374" s="15"/>
      <c r="O374" s="15" t="s">
        <v>1881</v>
      </c>
      <c r="P374" s="19" t="s">
        <v>1886</v>
      </c>
    </row>
    <row r="375" spans="1:18" ht="15" hidden="1" customHeight="1" outlineLevel="1" collapsed="1" x14ac:dyDescent="0.3">
      <c r="A375" s="13" t="s">
        <v>2144</v>
      </c>
      <c r="B375" s="15" t="s">
        <v>1242</v>
      </c>
      <c r="C375" s="15" t="s">
        <v>1243</v>
      </c>
      <c r="D375" s="15" t="s">
        <v>892</v>
      </c>
      <c r="E375" s="15"/>
      <c r="F375" s="15" t="s">
        <v>934</v>
      </c>
      <c r="G375" s="15" t="s">
        <v>900</v>
      </c>
      <c r="H375" s="15" t="s">
        <v>903</v>
      </c>
      <c r="I375" s="15" t="s">
        <v>1244</v>
      </c>
      <c r="J375" s="15"/>
      <c r="K375" s="15" t="str">
        <f t="shared" si="5"/>
        <v>VN02_Client Prosupport VN (CTX)</v>
      </c>
      <c r="L375" s="15"/>
      <c r="M375" s="15" t="s">
        <v>896</v>
      </c>
      <c r="N375" s="15"/>
      <c r="O375" s="15" t="s">
        <v>1881</v>
      </c>
      <c r="P375" s="19" t="s">
        <v>1886</v>
      </c>
    </row>
    <row r="376" spans="1:18" s="15" customFormat="1" ht="15" hidden="1" customHeight="1" outlineLevel="1" x14ac:dyDescent="0.3">
      <c r="A376" s="13" t="s">
        <v>2144</v>
      </c>
      <c r="B376" s="15" t="s">
        <v>850</v>
      </c>
      <c r="C376" s="15" t="s">
        <v>851</v>
      </c>
      <c r="D376" s="15" t="s">
        <v>1843</v>
      </c>
      <c r="E376" s="15" t="s">
        <v>934</v>
      </c>
      <c r="G376" s="15" t="s">
        <v>8</v>
      </c>
      <c r="K376" s="15" t="str">
        <f t="shared" si="5"/>
        <v>VN04_Client Pro/Core VN</v>
      </c>
      <c r="M376" s="15" t="s">
        <v>896</v>
      </c>
      <c r="O376" s="15" t="s">
        <v>1881</v>
      </c>
      <c r="P376" s="19" t="s">
        <v>1886</v>
      </c>
    </row>
    <row r="377" spans="1:18" s="15" customFormat="1" ht="15" hidden="1" customHeight="1" outlineLevel="1" collapsed="1" x14ac:dyDescent="0.3">
      <c r="A377" s="13" t="s">
        <v>2144</v>
      </c>
      <c r="B377" s="15" t="s">
        <v>1245</v>
      </c>
      <c r="C377" s="15" t="s">
        <v>1246</v>
      </c>
      <c r="D377" s="15" t="s">
        <v>892</v>
      </c>
      <c r="F377" s="15" t="s">
        <v>960</v>
      </c>
      <c r="G377" s="15" t="s">
        <v>900</v>
      </c>
      <c r="H377" s="15" t="s">
        <v>929</v>
      </c>
      <c r="I377" s="15" t="s">
        <v>979</v>
      </c>
      <c r="J377" s="17">
        <v>0.63300000000000001</v>
      </c>
      <c r="K377" s="15" t="str">
        <f t="shared" si="5"/>
        <v>WM01_Workflow Management</v>
      </c>
      <c r="M377" s="15" t="s">
        <v>896</v>
      </c>
      <c r="O377" s="15" t="s">
        <v>1881</v>
      </c>
      <c r="P377" s="19" t="s">
        <v>1886</v>
      </c>
    </row>
    <row r="378" spans="1:18" s="32" customFormat="1" ht="15" hidden="1" customHeight="1" outlineLevel="1" collapsed="1" x14ac:dyDescent="0.3">
      <c r="A378" s="13" t="s">
        <v>2144</v>
      </c>
      <c r="B378" s="15" t="s">
        <v>1247</v>
      </c>
      <c r="C378" s="15" t="s">
        <v>1248</v>
      </c>
      <c r="D378" s="15" t="s">
        <v>965</v>
      </c>
      <c r="E378" s="15" t="s">
        <v>1180</v>
      </c>
      <c r="F378" s="15" t="s">
        <v>960</v>
      </c>
      <c r="G378" s="15" t="s">
        <v>900</v>
      </c>
      <c r="H378" s="15" t="s">
        <v>893</v>
      </c>
      <c r="I378" s="15" t="s">
        <v>894</v>
      </c>
      <c r="J378" s="17">
        <v>0.64800000000000002</v>
      </c>
      <c r="K378" s="15" t="str">
        <f t="shared" si="5"/>
        <v>WM02_NAMER WFM</v>
      </c>
      <c r="L378" s="15"/>
      <c r="M378" s="15" t="s">
        <v>1883</v>
      </c>
      <c r="N378" s="15">
        <v>14</v>
      </c>
      <c r="O378" s="15" t="s">
        <v>1881</v>
      </c>
      <c r="P378" s="19" t="s">
        <v>1886</v>
      </c>
    </row>
    <row r="379" spans="1:18" s="32" customFormat="1" ht="15" hidden="1" customHeight="1" outlineLevel="1" collapsed="1" x14ac:dyDescent="0.3">
      <c r="A379" s="13" t="s">
        <v>2144</v>
      </c>
      <c r="B379" s="15" t="s">
        <v>1251</v>
      </c>
      <c r="C379" s="15" t="s">
        <v>1252</v>
      </c>
      <c r="D379" s="15" t="s">
        <v>892</v>
      </c>
      <c r="E379" s="15" t="s">
        <v>1180</v>
      </c>
      <c r="F379" s="15" t="s">
        <v>960</v>
      </c>
      <c r="G379" s="15" t="s">
        <v>900</v>
      </c>
      <c r="H379" s="15" t="s">
        <v>935</v>
      </c>
      <c r="I379" s="15" t="s">
        <v>936</v>
      </c>
      <c r="J379" s="17">
        <v>0.57099999999999995</v>
      </c>
      <c r="K379" s="15" t="str">
        <f t="shared" si="5"/>
        <v>WM04_LATAM WFM</v>
      </c>
      <c r="L379" s="15"/>
      <c r="M379" s="15" t="s">
        <v>896</v>
      </c>
      <c r="N379" s="15">
        <v>14</v>
      </c>
      <c r="O379" s="15" t="s">
        <v>1881</v>
      </c>
      <c r="P379" s="19" t="s">
        <v>1886</v>
      </c>
    </row>
    <row r="380" spans="1:18" ht="15" hidden="1" customHeight="1" collapsed="1" x14ac:dyDescent="0.3">
      <c r="A380" s="13" t="s">
        <v>2144</v>
      </c>
      <c r="B380" s="13" t="s">
        <v>945</v>
      </c>
      <c r="C380" s="13" t="s">
        <v>946</v>
      </c>
      <c r="D380" s="13" t="s">
        <v>928</v>
      </c>
      <c r="E380" s="13" t="s">
        <v>440</v>
      </c>
      <c r="F380" s="13" t="s">
        <v>440</v>
      </c>
      <c r="G380" s="13" t="s">
        <v>8</v>
      </c>
      <c r="H380" s="13" t="s">
        <v>903</v>
      </c>
      <c r="I380" s="13" t="s">
        <v>909</v>
      </c>
      <c r="J380" s="14">
        <v>0.63900000000000001</v>
      </c>
      <c r="K380" s="13" t="str">
        <f t="shared" si="5"/>
        <v>CC12_Social Media CCC</v>
      </c>
      <c r="M380" s="13" t="s">
        <v>930</v>
      </c>
      <c r="N380" s="13">
        <v>14</v>
      </c>
      <c r="O380" s="13" t="s">
        <v>1881</v>
      </c>
      <c r="P380" s="34" t="s">
        <v>1958</v>
      </c>
    </row>
    <row r="381" spans="1:18" ht="15" hidden="1" customHeight="1" collapsed="1" x14ac:dyDescent="0.3">
      <c r="A381" s="13" t="s">
        <v>2144</v>
      </c>
      <c r="B381" s="13" t="s">
        <v>303</v>
      </c>
      <c r="C381" s="13" t="s">
        <v>304</v>
      </c>
      <c r="D381" s="13" t="s">
        <v>973</v>
      </c>
      <c r="E381" s="13" t="s">
        <v>301</v>
      </c>
      <c r="F381" s="13" t="s">
        <v>302</v>
      </c>
      <c r="G381" s="13" t="s">
        <v>8</v>
      </c>
      <c r="H381" s="13" t="s">
        <v>929</v>
      </c>
      <c r="I381" s="13" t="s">
        <v>894</v>
      </c>
      <c r="J381" s="14">
        <v>0.63300000000000001</v>
      </c>
      <c r="K381" s="13" t="str">
        <f t="shared" si="5"/>
        <v>CT23_GLOBAL HES BSAFE</v>
      </c>
      <c r="M381" s="13" t="s">
        <v>972</v>
      </c>
      <c r="N381" s="13">
        <v>24</v>
      </c>
      <c r="O381" s="13" t="s">
        <v>1881</v>
      </c>
      <c r="P381" s="34" t="s">
        <v>1958</v>
      </c>
    </row>
    <row r="382" spans="1:18" s="15" customFormat="1" ht="15" hidden="1" customHeight="1" collapsed="1" x14ac:dyDescent="0.3">
      <c r="A382" s="13" t="s">
        <v>2144</v>
      </c>
      <c r="B382" s="13" t="s">
        <v>974</v>
      </c>
      <c r="C382" s="13" t="s">
        <v>975</v>
      </c>
      <c r="D382" s="13" t="s">
        <v>1044</v>
      </c>
      <c r="E382" s="13" t="s">
        <v>976</v>
      </c>
      <c r="F382" s="13" t="s">
        <v>960</v>
      </c>
      <c r="G382" s="13" t="s">
        <v>900</v>
      </c>
      <c r="H382" s="13" t="s">
        <v>929</v>
      </c>
      <c r="I382" s="13" t="s">
        <v>929</v>
      </c>
      <c r="J382" s="14">
        <v>0.63300000000000001</v>
      </c>
      <c r="K382" s="13" t="str">
        <f t="shared" si="5"/>
        <v>CT24_HCS Global DSE</v>
      </c>
      <c r="L382" s="13"/>
      <c r="M382" s="13" t="s">
        <v>972</v>
      </c>
      <c r="N382" s="13">
        <v>14</v>
      </c>
      <c r="O382" s="13" t="s">
        <v>1881</v>
      </c>
      <c r="P382" s="34" t="s">
        <v>1958</v>
      </c>
      <c r="R382" s="13"/>
    </row>
    <row r="383" spans="1:18" ht="15" hidden="1" customHeight="1" collapsed="1" x14ac:dyDescent="0.3">
      <c r="A383" s="13" t="s">
        <v>2144</v>
      </c>
      <c r="B383" s="13" t="s">
        <v>471</v>
      </c>
      <c r="C383" s="13" t="s">
        <v>472</v>
      </c>
      <c r="D383" s="13" t="s">
        <v>928</v>
      </c>
      <c r="E383" s="13" t="s">
        <v>439</v>
      </c>
      <c r="F383" s="13" t="s">
        <v>439</v>
      </c>
      <c r="G383" s="13" t="s">
        <v>8</v>
      </c>
      <c r="H383" s="13" t="s">
        <v>929</v>
      </c>
      <c r="I383" s="13" t="s">
        <v>929</v>
      </c>
      <c r="J383" s="14">
        <v>0.63300000000000001</v>
      </c>
      <c r="K383" s="13" t="str">
        <f t="shared" si="5"/>
        <v>CT25_Global Compute Hardware</v>
      </c>
      <c r="M383" s="13" t="s">
        <v>1810</v>
      </c>
      <c r="N383" s="13">
        <v>14</v>
      </c>
      <c r="O383" s="13" t="s">
        <v>1881</v>
      </c>
      <c r="P383" s="34" t="s">
        <v>1958</v>
      </c>
    </row>
    <row r="384" spans="1:18" ht="15" hidden="1" customHeight="1" collapsed="1" x14ac:dyDescent="0.3">
      <c r="A384" s="13" t="s">
        <v>2144</v>
      </c>
      <c r="B384" s="13" t="s">
        <v>473</v>
      </c>
      <c r="C384" s="13" t="s">
        <v>474</v>
      </c>
      <c r="D384" s="13" t="s">
        <v>928</v>
      </c>
      <c r="E384" s="13" t="s">
        <v>439</v>
      </c>
      <c r="F384" s="13" t="s">
        <v>439</v>
      </c>
      <c r="G384" s="13" t="s">
        <v>8</v>
      </c>
      <c r="H384" s="13" t="s">
        <v>929</v>
      </c>
      <c r="I384" s="13" t="s">
        <v>929</v>
      </c>
      <c r="J384" s="14">
        <v>0.63300000000000001</v>
      </c>
      <c r="K384" s="13" t="str">
        <f t="shared" si="5"/>
        <v>CT27_Global Compute Software</v>
      </c>
      <c r="M384" s="13" t="s">
        <v>1810</v>
      </c>
      <c r="N384" s="13">
        <v>14</v>
      </c>
      <c r="O384" s="13" t="s">
        <v>1881</v>
      </c>
      <c r="P384" s="34" t="s">
        <v>1958</v>
      </c>
      <c r="Q384" s="13" t="s">
        <v>2132</v>
      </c>
    </row>
    <row r="385" spans="1:17" ht="15" hidden="1" customHeight="1" collapsed="1" x14ac:dyDescent="0.3">
      <c r="A385" s="13" t="s">
        <v>2144</v>
      </c>
      <c r="B385" s="13" t="s">
        <v>277</v>
      </c>
      <c r="C385" s="13" t="s">
        <v>278</v>
      </c>
      <c r="D385" s="13" t="s">
        <v>928</v>
      </c>
      <c r="E385" s="13" t="s">
        <v>266</v>
      </c>
      <c r="F385" s="13" t="s">
        <v>266</v>
      </c>
      <c r="G385" s="13" t="s">
        <v>8</v>
      </c>
      <c r="H385" s="13" t="s">
        <v>929</v>
      </c>
      <c r="I385" s="13" t="s">
        <v>929</v>
      </c>
      <c r="J385" s="14">
        <v>0.63300000000000001</v>
      </c>
      <c r="K385" s="13" t="str">
        <f t="shared" si="5"/>
        <v>CT30_Global Networking</v>
      </c>
      <c r="M385" s="13" t="s">
        <v>1810</v>
      </c>
      <c r="N385" s="13">
        <v>14</v>
      </c>
      <c r="O385" s="13" t="s">
        <v>1881</v>
      </c>
      <c r="P385" s="34" t="s">
        <v>1958</v>
      </c>
    </row>
    <row r="386" spans="1:17" ht="15" hidden="1" customHeight="1" collapsed="1" x14ac:dyDescent="0.3">
      <c r="A386" s="13" t="s">
        <v>2144</v>
      </c>
      <c r="B386" s="13" t="s">
        <v>866</v>
      </c>
      <c r="C386" s="13" t="s">
        <v>867</v>
      </c>
      <c r="D386" s="13" t="s">
        <v>914</v>
      </c>
      <c r="E386" s="13" t="s">
        <v>865</v>
      </c>
      <c r="F386" s="13" t="s">
        <v>865</v>
      </c>
      <c r="G386" s="13" t="s">
        <v>8</v>
      </c>
      <c r="H386" s="13" t="s">
        <v>903</v>
      </c>
      <c r="I386" s="13" t="s">
        <v>918</v>
      </c>
      <c r="J386" s="14">
        <v>0.58199999999999996</v>
      </c>
      <c r="K386" s="13" t="str">
        <f t="shared" ref="K386:K449" si="6">B386&amp;"_"&amp;C386</f>
        <v>CT37_APJ HES CST Japanese</v>
      </c>
      <c r="M386" s="13" t="s">
        <v>917</v>
      </c>
      <c r="N386" s="13">
        <v>12</v>
      </c>
      <c r="O386" s="13" t="s">
        <v>1881</v>
      </c>
      <c r="P386" s="34" t="s">
        <v>1958</v>
      </c>
    </row>
    <row r="387" spans="1:17" ht="15" hidden="1" customHeight="1" collapsed="1" x14ac:dyDescent="0.3">
      <c r="A387" s="13" t="s">
        <v>2144</v>
      </c>
      <c r="B387" s="13" t="s">
        <v>986</v>
      </c>
      <c r="C387" s="13" t="s">
        <v>987</v>
      </c>
      <c r="D387" s="13" t="s">
        <v>965</v>
      </c>
      <c r="E387" s="13" t="s">
        <v>436</v>
      </c>
      <c r="F387" s="13" t="s">
        <v>439</v>
      </c>
      <c r="G387" s="13" t="s">
        <v>900</v>
      </c>
      <c r="H387" s="13" t="s">
        <v>929</v>
      </c>
      <c r="I387" s="13" t="s">
        <v>929</v>
      </c>
      <c r="J387" s="14">
        <v>0.63300000000000001</v>
      </c>
      <c r="K387" s="13" t="str">
        <f t="shared" si="6"/>
        <v>CT68_RPS Proactive Systems Maintenance</v>
      </c>
      <c r="M387" s="13" t="s">
        <v>1883</v>
      </c>
      <c r="N387" s="13">
        <v>14</v>
      </c>
      <c r="O387" s="13" t="s">
        <v>1881</v>
      </c>
      <c r="P387" s="34" t="s">
        <v>1958</v>
      </c>
    </row>
    <row r="388" spans="1:17" ht="15" hidden="1" customHeight="1" collapsed="1" x14ac:dyDescent="0.3">
      <c r="A388" s="13" t="s">
        <v>2144</v>
      </c>
      <c r="B388" s="13" t="s">
        <v>988</v>
      </c>
      <c r="C388" s="13" t="s">
        <v>989</v>
      </c>
      <c r="D388" s="13" t="s">
        <v>928</v>
      </c>
      <c r="E388" s="13" t="s">
        <v>440</v>
      </c>
      <c r="F388" s="13" t="s">
        <v>440</v>
      </c>
      <c r="G388" s="13" t="s">
        <v>8</v>
      </c>
      <c r="H388" s="13" t="s">
        <v>903</v>
      </c>
      <c r="I388" s="13" t="s">
        <v>906</v>
      </c>
      <c r="J388" s="14">
        <v>0.629</v>
      </c>
      <c r="K388" s="13" t="str">
        <f t="shared" si="6"/>
        <v>CT69_Social Media English</v>
      </c>
      <c r="M388" s="13" t="s">
        <v>930</v>
      </c>
      <c r="N388" s="13">
        <v>14</v>
      </c>
      <c r="O388" s="13" t="s">
        <v>1881</v>
      </c>
      <c r="P388" s="34" t="s">
        <v>1958</v>
      </c>
      <c r="Q388" s="13" t="s">
        <v>2133</v>
      </c>
    </row>
    <row r="389" spans="1:17" ht="15" hidden="1" customHeight="1" collapsed="1" x14ac:dyDescent="0.3">
      <c r="A389" s="13" t="s">
        <v>2144</v>
      </c>
      <c r="B389" s="13" t="s">
        <v>1038</v>
      </c>
      <c r="C389" s="13" t="s">
        <v>1039</v>
      </c>
      <c r="D389" s="13" t="s">
        <v>965</v>
      </c>
      <c r="E389" s="13" t="s">
        <v>440</v>
      </c>
      <c r="F389" s="13" t="s">
        <v>440</v>
      </c>
      <c r="G389" s="13" t="s">
        <v>900</v>
      </c>
      <c r="H389" s="13" t="s">
        <v>929</v>
      </c>
      <c r="I389" s="13" t="s">
        <v>929</v>
      </c>
      <c r="J389" s="14"/>
      <c r="K389" s="13" t="str">
        <f t="shared" si="6"/>
        <v>GC12_E2E Quality Coach</v>
      </c>
      <c r="M389" s="13" t="s">
        <v>1883</v>
      </c>
      <c r="N389" s="13">
        <v>0</v>
      </c>
      <c r="O389" s="13" t="s">
        <v>1881</v>
      </c>
      <c r="P389" s="34" t="s">
        <v>1958</v>
      </c>
    </row>
    <row r="390" spans="1:17" ht="15" hidden="1" customHeight="1" collapsed="1" x14ac:dyDescent="0.3">
      <c r="A390" s="13" t="s">
        <v>2144</v>
      </c>
      <c r="B390" s="13" t="s">
        <v>1040</v>
      </c>
      <c r="C390" s="13" t="s">
        <v>1041</v>
      </c>
      <c r="D390" s="13" t="s">
        <v>965</v>
      </c>
      <c r="E390" s="13" t="s">
        <v>440</v>
      </c>
      <c r="F390" s="13" t="s">
        <v>440</v>
      </c>
      <c r="G390" s="13" t="s">
        <v>900</v>
      </c>
      <c r="H390" s="13" t="s">
        <v>929</v>
      </c>
      <c r="I390" s="13" t="s">
        <v>929</v>
      </c>
      <c r="J390" s="14"/>
      <c r="K390" s="13" t="str">
        <f t="shared" si="6"/>
        <v>GC13_GIST Quality Coach</v>
      </c>
      <c r="M390" s="13" t="s">
        <v>1883</v>
      </c>
      <c r="N390" s="13">
        <v>0</v>
      </c>
      <c r="O390" s="13" t="s">
        <v>1881</v>
      </c>
      <c r="P390" s="34" t="s">
        <v>1958</v>
      </c>
    </row>
    <row r="391" spans="1:17" ht="15" hidden="1" customHeight="1" collapsed="1" x14ac:dyDescent="0.3">
      <c r="A391" s="13" t="s">
        <v>2144</v>
      </c>
      <c r="B391" s="13" t="s">
        <v>1042</v>
      </c>
      <c r="C391" s="13" t="s">
        <v>1043</v>
      </c>
      <c r="D391" s="13" t="s">
        <v>965</v>
      </c>
      <c r="E391" s="13" t="s">
        <v>440</v>
      </c>
      <c r="F391" s="13" t="s">
        <v>440</v>
      </c>
      <c r="G391" s="13" t="s">
        <v>900</v>
      </c>
      <c r="H391" s="13" t="s">
        <v>929</v>
      </c>
      <c r="I391" s="13" t="s">
        <v>929</v>
      </c>
      <c r="J391" s="14"/>
      <c r="K391" s="13" t="str">
        <f t="shared" si="6"/>
        <v>GC14_Licensing Quality Coach</v>
      </c>
      <c r="M391" s="13" t="s">
        <v>1883</v>
      </c>
      <c r="N391" s="13">
        <v>0</v>
      </c>
      <c r="O391" s="13" t="s">
        <v>1881</v>
      </c>
      <c r="P391" s="34" t="s">
        <v>1958</v>
      </c>
    </row>
    <row r="392" spans="1:17" ht="15" hidden="1" customHeight="1" collapsed="1" x14ac:dyDescent="0.3">
      <c r="A392" s="13" t="s">
        <v>2144</v>
      </c>
      <c r="B392" s="36" t="s">
        <v>1953</v>
      </c>
      <c r="C392" s="13" t="s">
        <v>1954</v>
      </c>
      <c r="D392" s="13" t="s">
        <v>928</v>
      </c>
      <c r="E392" s="13" t="s">
        <v>439</v>
      </c>
      <c r="F392" s="13" t="s">
        <v>439</v>
      </c>
      <c r="G392" s="13" t="s">
        <v>900</v>
      </c>
      <c r="H392" s="13" t="s">
        <v>929</v>
      </c>
      <c r="I392" s="13" t="s">
        <v>929</v>
      </c>
      <c r="K392" s="13" t="str">
        <f t="shared" si="6"/>
        <v>GCF1_Global Compute Community Forum</v>
      </c>
      <c r="M392" s="13" t="s">
        <v>1810</v>
      </c>
      <c r="O392" s="13" t="s">
        <v>1881</v>
      </c>
      <c r="P392" s="34" t="s">
        <v>1958</v>
      </c>
    </row>
    <row r="393" spans="1:17" ht="15" hidden="1" customHeight="1" collapsed="1" x14ac:dyDescent="0.3">
      <c r="A393" s="13" t="s">
        <v>2144</v>
      </c>
      <c r="B393" s="13" t="s">
        <v>531</v>
      </c>
      <c r="C393" s="13" t="s">
        <v>532</v>
      </c>
      <c r="D393" s="13" t="s">
        <v>928</v>
      </c>
      <c r="E393" s="13" t="s">
        <v>439</v>
      </c>
      <c r="F393" s="13" t="s">
        <v>439</v>
      </c>
      <c r="G393" s="13" t="s">
        <v>8</v>
      </c>
      <c r="H393" s="13" t="s">
        <v>912</v>
      </c>
      <c r="I393" s="13" t="s">
        <v>1009</v>
      </c>
      <c r="J393" s="14">
        <v>0.61699999999999999</v>
      </c>
      <c r="K393" s="13" t="str">
        <f t="shared" si="6"/>
        <v>HC07_German Trainees</v>
      </c>
      <c r="M393" s="13" t="s">
        <v>1810</v>
      </c>
      <c r="N393" s="13">
        <v>14</v>
      </c>
      <c r="O393" s="13" t="s">
        <v>1881</v>
      </c>
      <c r="P393" s="34" t="s">
        <v>1958</v>
      </c>
    </row>
    <row r="394" spans="1:17" ht="15" hidden="1" customHeight="1" collapsed="1" x14ac:dyDescent="0.3">
      <c r="A394" s="13" t="s">
        <v>2144</v>
      </c>
      <c r="B394" s="13" t="s">
        <v>872</v>
      </c>
      <c r="C394" s="13" t="s">
        <v>873</v>
      </c>
      <c r="D394" s="13" t="s">
        <v>914</v>
      </c>
      <c r="E394" s="13" t="s">
        <v>865</v>
      </c>
      <c r="F394" s="13" t="s">
        <v>865</v>
      </c>
      <c r="G394" s="13" t="s">
        <v>8</v>
      </c>
      <c r="H394" s="13" t="s">
        <v>903</v>
      </c>
      <c r="I394" s="13" t="s">
        <v>1063</v>
      </c>
      <c r="J394" s="14">
        <v>0.629</v>
      </c>
      <c r="K394" s="13" t="str">
        <f t="shared" si="6"/>
        <v>HE73_APJ HES CST Korean</v>
      </c>
      <c r="M394" s="13" t="s">
        <v>917</v>
      </c>
      <c r="N394" s="13">
        <v>18</v>
      </c>
      <c r="O394" s="13" t="s">
        <v>1881</v>
      </c>
      <c r="P394" s="34" t="s">
        <v>1958</v>
      </c>
    </row>
    <row r="395" spans="1:17" ht="15" hidden="1" customHeight="1" collapsed="1" x14ac:dyDescent="0.3">
      <c r="A395" s="13" t="s">
        <v>2144</v>
      </c>
      <c r="B395" s="32" t="s">
        <v>1092</v>
      </c>
      <c r="C395" s="32" t="s">
        <v>1093</v>
      </c>
      <c r="D395" s="32" t="s">
        <v>914</v>
      </c>
      <c r="E395" s="32"/>
      <c r="F395" s="32" t="s">
        <v>440</v>
      </c>
      <c r="G395" s="32" t="s">
        <v>900</v>
      </c>
      <c r="H395" s="32" t="s">
        <v>929</v>
      </c>
      <c r="I395" s="32" t="s">
        <v>929</v>
      </c>
      <c r="J395" s="33">
        <v>0.63300000000000001</v>
      </c>
      <c r="K395" s="32" t="str">
        <f t="shared" si="6"/>
        <v>NF01_APJ Manager</v>
      </c>
      <c r="L395" s="32"/>
      <c r="M395" s="32" t="s">
        <v>896</v>
      </c>
      <c r="N395" s="32">
        <v>14</v>
      </c>
      <c r="O395" s="32" t="s">
        <v>1881</v>
      </c>
      <c r="P395" s="34" t="s">
        <v>1958</v>
      </c>
    </row>
    <row r="396" spans="1:17" ht="15" hidden="1" customHeight="1" collapsed="1" x14ac:dyDescent="0.3">
      <c r="A396" s="13" t="s">
        <v>2144</v>
      </c>
      <c r="B396" s="13" t="s">
        <v>1098</v>
      </c>
      <c r="C396" s="13" t="s">
        <v>1099</v>
      </c>
      <c r="D396" s="13" t="s">
        <v>914</v>
      </c>
      <c r="E396" s="13" t="s">
        <v>440</v>
      </c>
      <c r="F396" s="13" t="s">
        <v>440</v>
      </c>
      <c r="G396" s="13" t="s">
        <v>900</v>
      </c>
      <c r="H396" s="13" t="s">
        <v>929</v>
      </c>
      <c r="I396" s="13" t="s">
        <v>929</v>
      </c>
      <c r="J396" s="14">
        <v>0.63300000000000001</v>
      </c>
      <c r="K396" s="13" t="str">
        <f t="shared" si="6"/>
        <v>NF04_APJ Quality Coach</v>
      </c>
      <c r="M396" s="13" t="s">
        <v>917</v>
      </c>
      <c r="N396" s="13">
        <v>14</v>
      </c>
      <c r="O396" s="13" t="s">
        <v>1881</v>
      </c>
      <c r="P396" s="34" t="s">
        <v>1958</v>
      </c>
    </row>
    <row r="397" spans="1:17" ht="15" hidden="1" customHeight="1" collapsed="1" x14ac:dyDescent="0.3">
      <c r="A397" s="13" t="s">
        <v>2144</v>
      </c>
      <c r="B397" s="13" t="s">
        <v>1102</v>
      </c>
      <c r="C397" s="13" t="s">
        <v>1103</v>
      </c>
      <c r="D397" s="13" t="s">
        <v>928</v>
      </c>
      <c r="E397" s="13" t="s">
        <v>440</v>
      </c>
      <c r="F397" s="13" t="s">
        <v>440</v>
      </c>
      <c r="G397" s="13" t="s">
        <v>900</v>
      </c>
      <c r="J397" s="14"/>
      <c r="K397" s="13" t="str">
        <f t="shared" si="6"/>
        <v>NF06_Social Media Quality Coach</v>
      </c>
      <c r="M397" s="13" t="s">
        <v>930</v>
      </c>
      <c r="N397" s="13">
        <v>0</v>
      </c>
      <c r="O397" s="13" t="s">
        <v>1881</v>
      </c>
      <c r="P397" s="34" t="s">
        <v>1958</v>
      </c>
    </row>
    <row r="398" spans="1:17" ht="15" hidden="1" customHeight="1" collapsed="1" x14ac:dyDescent="0.3">
      <c r="A398" s="13" t="s">
        <v>2144</v>
      </c>
      <c r="B398" s="13" t="s">
        <v>1104</v>
      </c>
      <c r="C398" s="13" t="s">
        <v>1105</v>
      </c>
      <c r="D398" s="13" t="s">
        <v>1044</v>
      </c>
      <c r="E398" s="13" t="s">
        <v>440</v>
      </c>
      <c r="F398" s="13" t="s">
        <v>440</v>
      </c>
      <c r="G398" s="13" t="s">
        <v>900</v>
      </c>
      <c r="H398" s="13" t="s">
        <v>929</v>
      </c>
      <c r="I398" s="13" t="s">
        <v>929</v>
      </c>
      <c r="J398" s="14">
        <v>0.63300000000000001</v>
      </c>
      <c r="K398" s="13" t="str">
        <f t="shared" si="6"/>
        <v>NF09_DPD/UDS Manager</v>
      </c>
      <c r="M398" s="13" t="s">
        <v>937</v>
      </c>
      <c r="N398" s="13">
        <v>14</v>
      </c>
      <c r="O398" s="13" t="s">
        <v>1881</v>
      </c>
      <c r="P398" s="34" t="s">
        <v>1958</v>
      </c>
    </row>
    <row r="399" spans="1:17" ht="15" hidden="1" customHeight="1" collapsed="1" x14ac:dyDescent="0.3">
      <c r="A399" s="13" t="s">
        <v>2144</v>
      </c>
      <c r="B399" s="13" t="s">
        <v>1106</v>
      </c>
      <c r="C399" s="13" t="s">
        <v>1107</v>
      </c>
      <c r="D399" s="13" t="s">
        <v>1044</v>
      </c>
      <c r="E399" s="13" t="s">
        <v>440</v>
      </c>
      <c r="F399" s="13" t="s">
        <v>440</v>
      </c>
      <c r="G399" s="13" t="s">
        <v>900</v>
      </c>
      <c r="H399" s="13" t="s">
        <v>912</v>
      </c>
      <c r="I399" s="13" t="s">
        <v>966</v>
      </c>
      <c r="J399" s="14">
        <v>0.61699999999999999</v>
      </c>
      <c r="K399" s="13" t="str">
        <f t="shared" si="6"/>
        <v>NF10_DPD/UDS Non-Frontline</v>
      </c>
      <c r="M399" s="13" t="s">
        <v>937</v>
      </c>
      <c r="N399" s="13">
        <v>14</v>
      </c>
      <c r="O399" s="13" t="s">
        <v>1881</v>
      </c>
      <c r="P399" s="34" t="s">
        <v>1958</v>
      </c>
    </row>
    <row r="400" spans="1:17" ht="15" hidden="1" customHeight="1" collapsed="1" x14ac:dyDescent="0.3">
      <c r="A400" s="13" t="s">
        <v>2144</v>
      </c>
      <c r="B400" s="13" t="s">
        <v>1110</v>
      </c>
      <c r="C400" s="13" t="s">
        <v>1111</v>
      </c>
      <c r="D400" s="13" t="s">
        <v>1044</v>
      </c>
      <c r="E400" s="13" t="s">
        <v>440</v>
      </c>
      <c r="F400" s="13" t="s">
        <v>440</v>
      </c>
      <c r="G400" s="13" t="s">
        <v>900</v>
      </c>
      <c r="H400" s="13" t="s">
        <v>929</v>
      </c>
      <c r="I400" s="13" t="s">
        <v>929</v>
      </c>
      <c r="J400" s="14">
        <v>0.63300000000000001</v>
      </c>
      <c r="K400" s="13" t="str">
        <f t="shared" si="6"/>
        <v>NF12_DPD/UDS Quality Coach</v>
      </c>
      <c r="M400" s="13" t="s">
        <v>937</v>
      </c>
      <c r="N400" s="13">
        <v>14</v>
      </c>
      <c r="O400" s="13" t="s">
        <v>1881</v>
      </c>
      <c r="P400" s="34" t="s">
        <v>1958</v>
      </c>
    </row>
    <row r="401" spans="1:18" ht="15" hidden="1" customHeight="1" collapsed="1" x14ac:dyDescent="0.3">
      <c r="A401" s="13" t="s">
        <v>2144</v>
      </c>
      <c r="B401" s="13" t="s">
        <v>1112</v>
      </c>
      <c r="C401" s="13" t="s">
        <v>1113</v>
      </c>
      <c r="D401" s="13" t="s">
        <v>1044</v>
      </c>
      <c r="E401" s="13" t="s">
        <v>440</v>
      </c>
      <c r="F401" s="13" t="s">
        <v>440</v>
      </c>
      <c r="G401" s="13" t="s">
        <v>900</v>
      </c>
      <c r="H401" s="13" t="s">
        <v>893</v>
      </c>
      <c r="I401" s="13" t="s">
        <v>894</v>
      </c>
      <c r="J401" s="14">
        <v>0.64800000000000002</v>
      </c>
      <c r="K401" s="13" t="str">
        <f t="shared" si="6"/>
        <v>NF13_DPD/UDS Technical Lead</v>
      </c>
      <c r="M401" s="13" t="s">
        <v>937</v>
      </c>
      <c r="N401" s="13">
        <v>14</v>
      </c>
      <c r="O401" s="13" t="s">
        <v>1881</v>
      </c>
      <c r="P401" s="34" t="s">
        <v>1958</v>
      </c>
    </row>
    <row r="402" spans="1:18" ht="15" hidden="1" customHeight="1" collapsed="1" x14ac:dyDescent="0.3">
      <c r="A402" s="13" t="s">
        <v>2144</v>
      </c>
      <c r="B402" s="13" t="s">
        <v>1121</v>
      </c>
      <c r="C402" s="13" t="s">
        <v>1122</v>
      </c>
      <c r="D402" s="13" t="s">
        <v>928</v>
      </c>
      <c r="E402" s="13" t="s">
        <v>440</v>
      </c>
      <c r="F402" s="13" t="s">
        <v>440</v>
      </c>
      <c r="G402" s="13" t="s">
        <v>900</v>
      </c>
      <c r="H402" s="13" t="s">
        <v>929</v>
      </c>
      <c r="I402" s="13" t="s">
        <v>929</v>
      </c>
      <c r="J402" s="14">
        <v>0.63300000000000001</v>
      </c>
      <c r="K402" s="13" t="str">
        <f t="shared" si="6"/>
        <v>NF17_EMEA Quality Coach</v>
      </c>
      <c r="M402" s="13" t="s">
        <v>917</v>
      </c>
      <c r="N402" s="13">
        <v>14</v>
      </c>
      <c r="O402" s="13" t="s">
        <v>1881</v>
      </c>
      <c r="P402" s="34" t="s">
        <v>1958</v>
      </c>
    </row>
    <row r="403" spans="1:18" ht="15" hidden="1" customHeight="1" collapsed="1" x14ac:dyDescent="0.3">
      <c r="A403" s="13" t="s">
        <v>2144</v>
      </c>
      <c r="B403" s="32" t="s">
        <v>1125</v>
      </c>
      <c r="C403" s="32" t="s">
        <v>1126</v>
      </c>
      <c r="D403" s="32" t="s">
        <v>928</v>
      </c>
      <c r="E403" s="32" t="s">
        <v>440</v>
      </c>
      <c r="F403" s="32" t="s">
        <v>440</v>
      </c>
      <c r="G403" s="32" t="s">
        <v>900</v>
      </c>
      <c r="H403" s="32" t="s">
        <v>929</v>
      </c>
      <c r="I403" s="32" t="s">
        <v>929</v>
      </c>
      <c r="J403" s="33">
        <v>0.63300000000000001</v>
      </c>
      <c r="K403" s="32" t="str">
        <f t="shared" si="6"/>
        <v>NF19_HCS Non-Frontline</v>
      </c>
      <c r="L403" s="32"/>
      <c r="M403" s="32" t="s">
        <v>972</v>
      </c>
      <c r="N403" s="32">
        <v>14</v>
      </c>
      <c r="O403" s="32" t="s">
        <v>1881</v>
      </c>
      <c r="P403" s="34" t="s">
        <v>1958</v>
      </c>
    </row>
    <row r="404" spans="1:18" ht="15" hidden="1" customHeight="1" collapsed="1" x14ac:dyDescent="0.3">
      <c r="A404" s="13" t="s">
        <v>2144</v>
      </c>
      <c r="B404" s="13" t="s">
        <v>1129</v>
      </c>
      <c r="C404" s="13" t="s">
        <v>1130</v>
      </c>
      <c r="D404" s="13" t="s">
        <v>928</v>
      </c>
      <c r="E404" s="13" t="s">
        <v>440</v>
      </c>
      <c r="F404" s="13" t="s">
        <v>440</v>
      </c>
      <c r="G404" s="13" t="s">
        <v>900</v>
      </c>
      <c r="H404" s="13" t="s">
        <v>929</v>
      </c>
      <c r="I404" s="13" t="s">
        <v>929</v>
      </c>
      <c r="J404" s="14">
        <v>0.63300000000000001</v>
      </c>
      <c r="K404" s="13" t="str">
        <f t="shared" si="6"/>
        <v>NF21_HCS Technical Lead</v>
      </c>
      <c r="M404" s="13" t="s">
        <v>930</v>
      </c>
      <c r="N404" s="13">
        <v>14</v>
      </c>
      <c r="O404" s="13" t="s">
        <v>1881</v>
      </c>
      <c r="P404" s="34" t="s">
        <v>1958</v>
      </c>
    </row>
    <row r="405" spans="1:18" ht="15" hidden="1" customHeight="1" collapsed="1" x14ac:dyDescent="0.3">
      <c r="A405" s="13" t="s">
        <v>2144</v>
      </c>
      <c r="B405" s="13" t="s">
        <v>1131</v>
      </c>
      <c r="C405" s="13" t="s">
        <v>1132</v>
      </c>
      <c r="D405" s="13" t="s">
        <v>973</v>
      </c>
      <c r="E405" s="13" t="s">
        <v>440</v>
      </c>
      <c r="F405" s="13" t="s">
        <v>440</v>
      </c>
      <c r="G405" s="13" t="s">
        <v>900</v>
      </c>
      <c r="H405" s="13" t="s">
        <v>929</v>
      </c>
      <c r="I405" s="13" t="s">
        <v>929</v>
      </c>
      <c r="J405" s="14">
        <v>0.63300000000000001</v>
      </c>
      <c r="K405" s="13" t="str">
        <f t="shared" si="6"/>
        <v>NF22_HES Manager</v>
      </c>
      <c r="M405" s="13" t="s">
        <v>896</v>
      </c>
      <c r="N405" s="13">
        <v>14</v>
      </c>
      <c r="O405" s="13" t="s">
        <v>1881</v>
      </c>
      <c r="P405" s="34" t="s">
        <v>1958</v>
      </c>
    </row>
    <row r="406" spans="1:18" ht="15" hidden="1" customHeight="1" collapsed="1" x14ac:dyDescent="0.3">
      <c r="A406" s="13" t="s">
        <v>2144</v>
      </c>
      <c r="B406" s="13" t="s">
        <v>1133</v>
      </c>
      <c r="C406" s="13" t="s">
        <v>1134</v>
      </c>
      <c r="D406" s="13" t="s">
        <v>973</v>
      </c>
      <c r="E406" s="13" t="s">
        <v>440</v>
      </c>
      <c r="F406" s="13" t="s">
        <v>440</v>
      </c>
      <c r="G406" s="13" t="s">
        <v>900</v>
      </c>
      <c r="H406" s="13" t="s">
        <v>912</v>
      </c>
      <c r="I406" s="13" t="s">
        <v>966</v>
      </c>
      <c r="J406" s="14">
        <v>0.61699999999999999</v>
      </c>
      <c r="K406" s="13" t="str">
        <f t="shared" si="6"/>
        <v>NF23_HES Non-Frontline</v>
      </c>
      <c r="M406" s="13" t="s">
        <v>972</v>
      </c>
      <c r="N406" s="13">
        <v>14</v>
      </c>
      <c r="O406" s="13" t="s">
        <v>1881</v>
      </c>
      <c r="P406" s="34" t="s">
        <v>1958</v>
      </c>
    </row>
    <row r="407" spans="1:18" ht="15" hidden="1" customHeight="1" collapsed="1" x14ac:dyDescent="0.3">
      <c r="A407" s="13" t="s">
        <v>2144</v>
      </c>
      <c r="B407" s="13" t="s">
        <v>1137</v>
      </c>
      <c r="C407" s="13" t="s">
        <v>1138</v>
      </c>
      <c r="D407" s="13" t="s">
        <v>973</v>
      </c>
      <c r="E407" s="13" t="s">
        <v>440</v>
      </c>
      <c r="F407" s="13" t="s">
        <v>440</v>
      </c>
      <c r="G407" s="13" t="s">
        <v>900</v>
      </c>
      <c r="H407" s="13" t="s">
        <v>929</v>
      </c>
      <c r="I407" s="13" t="s">
        <v>929</v>
      </c>
      <c r="J407" s="14">
        <v>0.63300000000000001</v>
      </c>
      <c r="K407" s="13" t="str">
        <f t="shared" si="6"/>
        <v>NF25_HES Quality Coach</v>
      </c>
      <c r="M407" s="13" t="s">
        <v>972</v>
      </c>
      <c r="N407" s="13">
        <v>14</v>
      </c>
      <c r="O407" s="13" t="s">
        <v>1881</v>
      </c>
      <c r="P407" s="34" t="s">
        <v>1958</v>
      </c>
    </row>
    <row r="408" spans="1:18" ht="15" hidden="1" customHeight="1" collapsed="1" x14ac:dyDescent="0.3">
      <c r="A408" s="13" t="s">
        <v>2144</v>
      </c>
      <c r="B408" s="13" t="s">
        <v>1139</v>
      </c>
      <c r="C408" s="13" t="s">
        <v>1140</v>
      </c>
      <c r="D408" s="13" t="s">
        <v>973</v>
      </c>
      <c r="E408" s="13" t="s">
        <v>440</v>
      </c>
      <c r="F408" s="13" t="s">
        <v>440</v>
      </c>
      <c r="G408" s="13" t="s">
        <v>900</v>
      </c>
      <c r="H408" s="13" t="s">
        <v>893</v>
      </c>
      <c r="I408" s="13" t="s">
        <v>894</v>
      </c>
      <c r="J408" s="14">
        <v>0.64800000000000002</v>
      </c>
      <c r="K408" s="13" t="str">
        <f t="shared" si="6"/>
        <v>NF26_HES Technical Lead</v>
      </c>
      <c r="M408" s="13" t="s">
        <v>972</v>
      </c>
      <c r="N408" s="13">
        <v>14</v>
      </c>
      <c r="O408" s="13" t="s">
        <v>1881</v>
      </c>
      <c r="P408" s="34" t="s">
        <v>1958</v>
      </c>
    </row>
    <row r="409" spans="1:18" ht="15" hidden="1" customHeight="1" collapsed="1" x14ac:dyDescent="0.3">
      <c r="A409" s="13" t="s">
        <v>2144</v>
      </c>
      <c r="B409" s="13" t="s">
        <v>1143</v>
      </c>
      <c r="C409" s="13" t="s">
        <v>1144</v>
      </c>
      <c r="D409" s="13" t="s">
        <v>973</v>
      </c>
      <c r="E409" s="13" t="s">
        <v>440</v>
      </c>
      <c r="F409" s="13" t="s">
        <v>440</v>
      </c>
      <c r="G409" s="13" t="s">
        <v>900</v>
      </c>
      <c r="H409" s="13" t="s">
        <v>935</v>
      </c>
      <c r="I409" s="13" t="s">
        <v>936</v>
      </c>
      <c r="J409" s="14">
        <v>0.57099999999999995</v>
      </c>
      <c r="K409" s="13" t="str">
        <f t="shared" si="6"/>
        <v>NF28_LATAM Non-Frontline</v>
      </c>
      <c r="M409" s="13" t="s">
        <v>896</v>
      </c>
      <c r="N409" s="13">
        <v>14</v>
      </c>
      <c r="O409" s="13" t="s">
        <v>1881</v>
      </c>
      <c r="P409" s="34" t="s">
        <v>1958</v>
      </c>
    </row>
    <row r="410" spans="1:18" ht="15" hidden="1" customHeight="1" collapsed="1" x14ac:dyDescent="0.3">
      <c r="A410" s="13" t="s">
        <v>2144</v>
      </c>
      <c r="B410" s="13" t="s">
        <v>1147</v>
      </c>
      <c r="C410" s="13" t="s">
        <v>1148</v>
      </c>
      <c r="D410" s="13" t="s">
        <v>928</v>
      </c>
      <c r="E410" s="13" t="s">
        <v>440</v>
      </c>
      <c r="F410" s="13" t="s">
        <v>440</v>
      </c>
      <c r="G410" s="13" t="s">
        <v>900</v>
      </c>
      <c r="H410" s="13" t="s">
        <v>935</v>
      </c>
      <c r="I410" s="13" t="s">
        <v>936</v>
      </c>
      <c r="J410" s="14">
        <v>0.57099999999999995</v>
      </c>
      <c r="K410" s="13" t="str">
        <f t="shared" si="6"/>
        <v>NF30_LATAM Quality Coach</v>
      </c>
      <c r="M410" s="13" t="s">
        <v>937</v>
      </c>
      <c r="N410" s="13">
        <v>14</v>
      </c>
      <c r="O410" s="13" t="s">
        <v>1881</v>
      </c>
      <c r="P410" s="34" t="s">
        <v>1958</v>
      </c>
    </row>
    <row r="411" spans="1:18" ht="15" hidden="1" customHeight="1" collapsed="1" x14ac:dyDescent="0.3">
      <c r="A411" s="13" t="s">
        <v>2144</v>
      </c>
      <c r="B411" s="13" t="s">
        <v>1155</v>
      </c>
      <c r="C411" s="13" t="s">
        <v>1156</v>
      </c>
      <c r="D411" s="13" t="s">
        <v>928</v>
      </c>
      <c r="E411" s="13" t="s">
        <v>440</v>
      </c>
      <c r="F411" s="13" t="s">
        <v>440</v>
      </c>
      <c r="G411" s="13" t="s">
        <v>900</v>
      </c>
      <c r="H411" s="13" t="s">
        <v>929</v>
      </c>
      <c r="I411" s="13" t="s">
        <v>929</v>
      </c>
      <c r="J411" s="14">
        <v>0.63300000000000001</v>
      </c>
      <c r="K411" s="13" t="str">
        <f t="shared" si="6"/>
        <v>NF34_NAMER Quality Coach</v>
      </c>
      <c r="M411" s="13" t="s">
        <v>972</v>
      </c>
      <c r="N411" s="13">
        <v>14</v>
      </c>
      <c r="O411" s="13" t="s">
        <v>1881</v>
      </c>
      <c r="P411" s="34" t="s">
        <v>1958</v>
      </c>
    </row>
    <row r="412" spans="1:18" ht="15" hidden="1" customHeight="1" collapsed="1" x14ac:dyDescent="0.3">
      <c r="A412" s="13" t="s">
        <v>2144</v>
      </c>
      <c r="B412" s="13" t="s">
        <v>1157</v>
      </c>
      <c r="C412" s="13" t="s">
        <v>1158</v>
      </c>
      <c r="D412" s="13" t="s">
        <v>973</v>
      </c>
      <c r="E412" s="13" t="s">
        <v>440</v>
      </c>
      <c r="F412" s="13" t="s">
        <v>440</v>
      </c>
      <c r="G412" s="13" t="s">
        <v>900</v>
      </c>
      <c r="H412" s="13" t="s">
        <v>935</v>
      </c>
      <c r="I412" s="13" t="s">
        <v>1159</v>
      </c>
      <c r="J412" s="14">
        <v>0.626</v>
      </c>
      <c r="K412" s="13" t="str">
        <f t="shared" si="6"/>
        <v>NF35_NAMER Technical Lead</v>
      </c>
      <c r="M412" s="13" t="s">
        <v>972</v>
      </c>
      <c r="N412" s="13">
        <v>14</v>
      </c>
      <c r="O412" s="13" t="s">
        <v>1881</v>
      </c>
      <c r="P412" s="34" t="s">
        <v>1958</v>
      </c>
    </row>
    <row r="413" spans="1:18" ht="15" hidden="1" customHeight="1" collapsed="1" x14ac:dyDescent="0.3">
      <c r="A413" s="13" t="s">
        <v>2144</v>
      </c>
      <c r="B413" s="13" t="s">
        <v>1162</v>
      </c>
      <c r="C413" s="13" t="s">
        <v>1163</v>
      </c>
      <c r="D413" s="13" t="s">
        <v>1854</v>
      </c>
      <c r="E413" s="13" t="s">
        <v>440</v>
      </c>
      <c r="F413" s="13" t="s">
        <v>440</v>
      </c>
      <c r="G413" s="13" t="s">
        <v>900</v>
      </c>
      <c r="H413" s="13" t="s">
        <v>929</v>
      </c>
      <c r="I413" s="13" t="s">
        <v>929</v>
      </c>
      <c r="J413" s="14">
        <v>0.63300000000000001</v>
      </c>
      <c r="K413" s="13" t="str">
        <f t="shared" si="6"/>
        <v>NF37_Service Engineering Non-Frontline</v>
      </c>
      <c r="M413" s="13" t="s">
        <v>896</v>
      </c>
      <c r="N413" s="13">
        <v>14</v>
      </c>
      <c r="O413" s="13" t="s">
        <v>1881</v>
      </c>
      <c r="P413" s="34" t="s">
        <v>1958</v>
      </c>
    </row>
    <row r="414" spans="1:18" s="32" customFormat="1" ht="15" hidden="1" customHeight="1" collapsed="1" x14ac:dyDescent="0.3">
      <c r="A414" s="13" t="s">
        <v>2144</v>
      </c>
      <c r="B414" s="13" t="s">
        <v>1168</v>
      </c>
      <c r="C414" s="13" t="s">
        <v>1169</v>
      </c>
      <c r="D414" s="13" t="s">
        <v>1935</v>
      </c>
      <c r="E414" s="13" t="s">
        <v>440</v>
      </c>
      <c r="F414" s="13" t="s">
        <v>440</v>
      </c>
      <c r="G414" s="13" t="s">
        <v>900</v>
      </c>
      <c r="H414" s="13" t="s">
        <v>929</v>
      </c>
      <c r="I414" s="13" t="s">
        <v>929</v>
      </c>
      <c r="J414" s="14">
        <v>0.63300000000000001</v>
      </c>
      <c r="K414" s="13" t="str">
        <f t="shared" si="6"/>
        <v>NF42_SSO Non-Frontline</v>
      </c>
      <c r="L414" s="13"/>
      <c r="M414" s="13" t="s">
        <v>972</v>
      </c>
      <c r="N414" s="13">
        <v>14</v>
      </c>
      <c r="O414" s="13" t="s">
        <v>1881</v>
      </c>
      <c r="P414" s="34" t="s">
        <v>1958</v>
      </c>
      <c r="R414" s="13"/>
    </row>
    <row r="415" spans="1:18" ht="15" hidden="1" customHeight="1" collapsed="1" x14ac:dyDescent="0.3">
      <c r="A415" s="13" t="s">
        <v>2144</v>
      </c>
      <c r="B415" s="13" t="s">
        <v>1170</v>
      </c>
      <c r="C415" s="13" t="s">
        <v>1171</v>
      </c>
      <c r="D415" s="13" t="s">
        <v>1845</v>
      </c>
      <c r="E415" s="13" t="s">
        <v>440</v>
      </c>
      <c r="F415" s="13" t="s">
        <v>440</v>
      </c>
      <c r="G415" s="13" t="s">
        <v>900</v>
      </c>
      <c r="H415" s="13" t="s">
        <v>929</v>
      </c>
      <c r="I415" s="13" t="s">
        <v>929</v>
      </c>
      <c r="J415" s="14">
        <v>0.63300000000000001</v>
      </c>
      <c r="K415" s="13" t="str">
        <f t="shared" si="6"/>
        <v>NF43_SSO NR-FLS</v>
      </c>
      <c r="M415" s="13" t="s">
        <v>972</v>
      </c>
      <c r="N415" s="13">
        <v>14</v>
      </c>
      <c r="O415" s="13" t="s">
        <v>1881</v>
      </c>
      <c r="P415" s="34" t="s">
        <v>1958</v>
      </c>
    </row>
    <row r="416" spans="1:18" ht="15" hidden="1" customHeight="1" collapsed="1" x14ac:dyDescent="0.3">
      <c r="A416" s="13" t="s">
        <v>2144</v>
      </c>
      <c r="B416" s="13" t="s">
        <v>1191</v>
      </c>
      <c r="C416" s="13" t="s">
        <v>1192</v>
      </c>
      <c r="D416" s="13" t="s">
        <v>928</v>
      </c>
      <c r="E416" s="13" t="s">
        <v>440</v>
      </c>
      <c r="F416" s="13" t="s">
        <v>440</v>
      </c>
      <c r="G416" s="13" t="s">
        <v>900</v>
      </c>
      <c r="H416" s="13" t="s">
        <v>912</v>
      </c>
      <c r="I416" s="13" t="s">
        <v>966</v>
      </c>
      <c r="J416" s="14">
        <v>0.61699999999999999</v>
      </c>
      <c r="K416" s="13" t="str">
        <f t="shared" si="6"/>
        <v>NF56_HCS Quality Coach</v>
      </c>
      <c r="M416" s="13" t="s">
        <v>930</v>
      </c>
      <c r="N416" s="13">
        <v>14</v>
      </c>
      <c r="O416" s="13" t="s">
        <v>1881</v>
      </c>
      <c r="P416" s="34" t="s">
        <v>1958</v>
      </c>
    </row>
    <row r="417" spans="1:18" ht="15" hidden="1" customHeight="1" collapsed="1" x14ac:dyDescent="0.3">
      <c r="A417" s="13" t="s">
        <v>2144</v>
      </c>
      <c r="B417" s="13" t="s">
        <v>1193</v>
      </c>
      <c r="C417" s="13" t="s">
        <v>1194</v>
      </c>
      <c r="D417" s="13" t="s">
        <v>928</v>
      </c>
      <c r="E417" s="13" t="s">
        <v>440</v>
      </c>
      <c r="F417" s="13" t="s">
        <v>440</v>
      </c>
      <c r="G417" s="13" t="s">
        <v>8</v>
      </c>
      <c r="H417" s="13" t="s">
        <v>929</v>
      </c>
      <c r="I417" s="13" t="s">
        <v>929</v>
      </c>
      <c r="J417" s="14">
        <v>0.63300000000000001</v>
      </c>
      <c r="K417" s="13" t="str">
        <f t="shared" si="6"/>
        <v>NF57_Global TELCO</v>
      </c>
      <c r="M417" s="13" t="s">
        <v>1810</v>
      </c>
      <c r="N417" s="13">
        <v>14</v>
      </c>
      <c r="O417" s="13" t="s">
        <v>1881</v>
      </c>
      <c r="P417" s="34" t="s">
        <v>1958</v>
      </c>
    </row>
    <row r="418" spans="1:18" ht="15" hidden="1" customHeight="1" collapsed="1" x14ac:dyDescent="0.3">
      <c r="A418" s="13" t="s">
        <v>2144</v>
      </c>
      <c r="B418" s="36" t="s">
        <v>1955</v>
      </c>
      <c r="C418" s="13" t="s">
        <v>1956</v>
      </c>
      <c r="D418" s="13" t="s">
        <v>1957</v>
      </c>
      <c r="E418" s="13" t="s">
        <v>439</v>
      </c>
      <c r="F418" s="13" t="s">
        <v>439</v>
      </c>
      <c r="G418" s="13" t="s">
        <v>900</v>
      </c>
      <c r="H418" s="13" t="s">
        <v>929</v>
      </c>
      <c r="I418" s="13" t="s">
        <v>929</v>
      </c>
      <c r="K418" s="13" t="str">
        <f t="shared" si="6"/>
        <v>NF58_Global HCS Content Creators</v>
      </c>
      <c r="M418" s="13" t="s">
        <v>1810</v>
      </c>
      <c r="O418" s="13" t="s">
        <v>1881</v>
      </c>
      <c r="P418" s="34" t="s">
        <v>1958</v>
      </c>
    </row>
    <row r="419" spans="1:18" ht="15" hidden="1" customHeight="1" collapsed="1" x14ac:dyDescent="0.3">
      <c r="A419" s="13" t="s">
        <v>2144</v>
      </c>
      <c r="B419" s="13" t="s">
        <v>1893</v>
      </c>
      <c r="C419" s="13" t="s">
        <v>1926</v>
      </c>
      <c r="D419" s="13" t="s">
        <v>928</v>
      </c>
      <c r="E419" s="13" t="s">
        <v>976</v>
      </c>
      <c r="F419" s="13" t="s">
        <v>960</v>
      </c>
      <c r="G419" s="13" t="s">
        <v>900</v>
      </c>
      <c r="H419" s="13" t="s">
        <v>929</v>
      </c>
      <c r="I419" s="13" t="s">
        <v>929</v>
      </c>
      <c r="J419" s="14">
        <v>0.63300000000000001</v>
      </c>
      <c r="K419" s="13" t="str">
        <f t="shared" si="6"/>
        <v xml:space="preserve">PE01_Global PowerEdge DSE </v>
      </c>
      <c r="M419" s="13" t="s">
        <v>1810</v>
      </c>
      <c r="N419" s="13">
        <v>14</v>
      </c>
      <c r="O419" s="13" t="s">
        <v>1881</v>
      </c>
      <c r="P419" s="34" t="s">
        <v>1958</v>
      </c>
    </row>
    <row r="420" spans="1:18" ht="15" hidden="1" customHeight="1" collapsed="1" x14ac:dyDescent="0.3">
      <c r="A420" s="13" t="s">
        <v>2144</v>
      </c>
      <c r="B420" s="13" t="s">
        <v>581</v>
      </c>
      <c r="C420" s="13" t="s">
        <v>582</v>
      </c>
      <c r="D420" s="13" t="s">
        <v>928</v>
      </c>
      <c r="E420" s="13" t="s">
        <v>439</v>
      </c>
      <c r="F420" s="13" t="s">
        <v>439</v>
      </c>
      <c r="G420" s="13" t="s">
        <v>8</v>
      </c>
      <c r="H420" s="13" t="s">
        <v>893</v>
      </c>
      <c r="I420" s="13" t="s">
        <v>894</v>
      </c>
      <c r="J420" s="14">
        <v>0.64800000000000002</v>
      </c>
      <c r="K420" s="13" t="str">
        <f t="shared" si="6"/>
        <v>PF01_PS One Field Consultant</v>
      </c>
      <c r="M420" s="13" t="s">
        <v>1810</v>
      </c>
      <c r="N420" s="13">
        <v>14</v>
      </c>
      <c r="O420" s="13" t="s">
        <v>1881</v>
      </c>
      <c r="P420" s="34" t="s">
        <v>1958</v>
      </c>
    </row>
    <row r="421" spans="1:18" ht="15" hidden="1" customHeight="1" collapsed="1" x14ac:dyDescent="0.3">
      <c r="A421" s="13" t="s">
        <v>2144</v>
      </c>
      <c r="B421" s="13" t="s">
        <v>1201</v>
      </c>
      <c r="C421" s="13" t="s">
        <v>1202</v>
      </c>
      <c r="D421" s="13" t="s">
        <v>914</v>
      </c>
      <c r="E421" s="13" t="s">
        <v>440</v>
      </c>
      <c r="F421" s="13" t="s">
        <v>440</v>
      </c>
      <c r="G421" s="13" t="s">
        <v>900</v>
      </c>
      <c r="J421" s="14"/>
      <c r="K421" s="13" t="str">
        <f t="shared" si="6"/>
        <v>QCE1_EMEA Quality Coach Compute</v>
      </c>
      <c r="M421" s="13" t="s">
        <v>917</v>
      </c>
      <c r="N421" s="13">
        <v>0</v>
      </c>
      <c r="O421" s="13" t="s">
        <v>1881</v>
      </c>
      <c r="P421" s="34" t="s">
        <v>1958</v>
      </c>
    </row>
    <row r="422" spans="1:18" ht="15" hidden="1" customHeight="1" collapsed="1" x14ac:dyDescent="0.3">
      <c r="A422" s="13" t="s">
        <v>2144</v>
      </c>
      <c r="B422" s="11" t="s">
        <v>1793</v>
      </c>
      <c r="C422" s="11" t="s">
        <v>1794</v>
      </c>
      <c r="D422" s="11" t="s">
        <v>965</v>
      </c>
      <c r="E422" s="11" t="s">
        <v>1809</v>
      </c>
      <c r="F422" s="11" t="s">
        <v>1809</v>
      </c>
      <c r="G422" s="11" t="s">
        <v>900</v>
      </c>
      <c r="H422" s="11" t="s">
        <v>929</v>
      </c>
      <c r="I422" s="11"/>
      <c r="J422" s="43">
        <v>0.63300000000000001</v>
      </c>
      <c r="K422" s="11" t="str">
        <f t="shared" si="6"/>
        <v>VCF1_VCF Delivery Engineer</v>
      </c>
      <c r="L422" s="11"/>
      <c r="M422" s="11" t="s">
        <v>1883</v>
      </c>
      <c r="N422" s="11">
        <v>0</v>
      </c>
      <c r="O422" s="11" t="s">
        <v>1881</v>
      </c>
      <c r="P422" s="44" t="s">
        <v>1958</v>
      </c>
    </row>
    <row r="423" spans="1:18" ht="15" hidden="1" customHeight="1" x14ac:dyDescent="0.3">
      <c r="A423" s="13" t="s">
        <v>2144</v>
      </c>
      <c r="B423" s="11" t="s">
        <v>1894</v>
      </c>
      <c r="C423" s="11" t="s">
        <v>1895</v>
      </c>
      <c r="D423" s="11" t="s">
        <v>965</v>
      </c>
      <c r="E423" s="11" t="s">
        <v>1809</v>
      </c>
      <c r="F423" s="11" t="s">
        <v>1809</v>
      </c>
      <c r="G423" s="11" t="s">
        <v>900</v>
      </c>
      <c r="H423" s="11" t="s">
        <v>929</v>
      </c>
      <c r="I423" s="11"/>
      <c r="J423" s="43">
        <v>0.63300000000000001</v>
      </c>
      <c r="K423" s="11" t="str">
        <f t="shared" si="6"/>
        <v>VCF2_VCF Upgrade Coordinator</v>
      </c>
      <c r="L423" s="11"/>
      <c r="M423" s="11" t="s">
        <v>1883</v>
      </c>
      <c r="N423" s="11">
        <v>0</v>
      </c>
      <c r="O423" s="11" t="s">
        <v>1881</v>
      </c>
      <c r="P423" s="44" t="s">
        <v>1958</v>
      </c>
    </row>
    <row r="424" spans="1:18" ht="15" hidden="1" customHeight="1" x14ac:dyDescent="0.3">
      <c r="A424" s="13" t="s">
        <v>2144</v>
      </c>
      <c r="B424" s="13" t="s">
        <v>1249</v>
      </c>
      <c r="C424" s="13" t="s">
        <v>1250</v>
      </c>
      <c r="D424" s="13" t="s">
        <v>965</v>
      </c>
      <c r="E424" s="13" t="s">
        <v>1180</v>
      </c>
      <c r="F424" s="13" t="s">
        <v>960</v>
      </c>
      <c r="G424" s="13" t="s">
        <v>900</v>
      </c>
      <c r="H424" s="13" t="s">
        <v>903</v>
      </c>
      <c r="I424" s="13" t="s">
        <v>906</v>
      </c>
      <c r="J424" s="14">
        <v>0.629</v>
      </c>
      <c r="K424" s="13" t="str">
        <f t="shared" si="6"/>
        <v>WM03_EMEA WFM</v>
      </c>
      <c r="M424" s="13" t="s">
        <v>1883</v>
      </c>
      <c r="N424" s="13">
        <v>14</v>
      </c>
      <c r="O424" s="13" t="s">
        <v>1881</v>
      </c>
      <c r="P424" s="34" t="s">
        <v>1958</v>
      </c>
    </row>
    <row r="425" spans="1:18" ht="15" hidden="1" customHeight="1" x14ac:dyDescent="0.3">
      <c r="A425" s="13" t="s">
        <v>2144</v>
      </c>
      <c r="B425" s="13" t="s">
        <v>1253</v>
      </c>
      <c r="C425" s="13" t="s">
        <v>1871</v>
      </c>
      <c r="D425" s="13" t="s">
        <v>965</v>
      </c>
      <c r="E425" s="13" t="s">
        <v>1180</v>
      </c>
      <c r="F425" s="13" t="s">
        <v>960</v>
      </c>
      <c r="G425" s="13" t="s">
        <v>900</v>
      </c>
      <c r="H425" s="13" t="s">
        <v>903</v>
      </c>
      <c r="I425" s="13" t="s">
        <v>904</v>
      </c>
      <c r="J425" s="14">
        <v>0.629</v>
      </c>
      <c r="K425" s="13" t="str">
        <f t="shared" si="6"/>
        <v>WM05_APJ WFM</v>
      </c>
      <c r="M425" s="13" t="s">
        <v>1883</v>
      </c>
      <c r="N425" s="13">
        <v>14</v>
      </c>
      <c r="O425" s="13" t="s">
        <v>1881</v>
      </c>
      <c r="P425" s="34" t="s">
        <v>1958</v>
      </c>
    </row>
    <row r="426" spans="1:18" s="32" customFormat="1" ht="15" customHeight="1" x14ac:dyDescent="0.3">
      <c r="A426" s="32" t="s">
        <v>1938</v>
      </c>
      <c r="B426" s="13" t="s">
        <v>1938</v>
      </c>
      <c r="C426" s="13" t="s">
        <v>1939</v>
      </c>
      <c r="D426" s="13" t="s">
        <v>973</v>
      </c>
      <c r="E426" s="13" t="s">
        <v>609</v>
      </c>
      <c r="F426" s="13" t="s">
        <v>609</v>
      </c>
      <c r="G426" s="13" t="s">
        <v>8</v>
      </c>
      <c r="H426" s="13" t="s">
        <v>935</v>
      </c>
      <c r="I426" s="13" t="s">
        <v>936</v>
      </c>
      <c r="J426" s="52">
        <v>0.57099999999999995</v>
      </c>
      <c r="K426" s="13" t="str">
        <f t="shared" si="6"/>
        <v>BT11_LATAM Midrange Portuguese</v>
      </c>
      <c r="L426" s="13" t="s">
        <v>2131</v>
      </c>
      <c r="M426" s="13" t="s">
        <v>1885</v>
      </c>
      <c r="N426" s="13">
        <v>24</v>
      </c>
      <c r="O426" s="13" t="s">
        <v>897</v>
      </c>
      <c r="P426" s="34" t="s">
        <v>1958</v>
      </c>
      <c r="R426" s="13"/>
    </row>
    <row r="427" spans="1:18" ht="15" customHeight="1" x14ac:dyDescent="0.3">
      <c r="A427" s="13" t="s">
        <v>1936</v>
      </c>
      <c r="B427" s="13" t="s">
        <v>1936</v>
      </c>
      <c r="C427" s="13" t="s">
        <v>1937</v>
      </c>
      <c r="D427" s="13" t="s">
        <v>973</v>
      </c>
      <c r="E427" s="13" t="s">
        <v>609</v>
      </c>
      <c r="F427" s="13" t="s">
        <v>609</v>
      </c>
      <c r="G427" s="13" t="s">
        <v>8</v>
      </c>
      <c r="H427" s="13" t="s">
        <v>935</v>
      </c>
      <c r="I427" s="13" t="s">
        <v>1076</v>
      </c>
      <c r="J427" s="52">
        <v>0.64100000000000001</v>
      </c>
      <c r="K427" s="13" t="str">
        <f t="shared" si="6"/>
        <v>BT12_LATAM Midrange Spanish</v>
      </c>
      <c r="L427" s="13" t="s">
        <v>2131</v>
      </c>
      <c r="M427" s="13" t="s">
        <v>1885</v>
      </c>
      <c r="N427" s="13">
        <v>24</v>
      </c>
      <c r="O427" s="13" t="s">
        <v>897</v>
      </c>
      <c r="P427" s="34" t="s">
        <v>1958</v>
      </c>
    </row>
    <row r="428" spans="1:18" ht="15" customHeight="1" collapsed="1" x14ac:dyDescent="0.3">
      <c r="A428" s="13" t="s">
        <v>154</v>
      </c>
      <c r="B428" s="13" t="s">
        <v>154</v>
      </c>
      <c r="C428" s="13" t="s">
        <v>155</v>
      </c>
      <c r="D428" s="13" t="s">
        <v>965</v>
      </c>
      <c r="E428" s="13" t="s">
        <v>152</v>
      </c>
      <c r="F428" s="13" t="s">
        <v>153</v>
      </c>
      <c r="G428" s="13" t="s">
        <v>8</v>
      </c>
      <c r="H428" s="13" t="s">
        <v>929</v>
      </c>
      <c r="I428" s="13" t="s">
        <v>929</v>
      </c>
      <c r="J428" s="52">
        <v>0.63300000000000001</v>
      </c>
      <c r="K428" s="13" t="str">
        <f t="shared" si="6"/>
        <v>CT20_GLOBAL E2E Connectivity</v>
      </c>
      <c r="L428" s="13" t="s">
        <v>2128</v>
      </c>
      <c r="M428" s="13" t="s">
        <v>2120</v>
      </c>
      <c r="N428" s="13">
        <v>14</v>
      </c>
      <c r="O428" s="13" t="s">
        <v>1880</v>
      </c>
      <c r="P428" s="34" t="s">
        <v>1958</v>
      </c>
    </row>
    <row r="429" spans="1:18" ht="15" customHeight="1" collapsed="1" x14ac:dyDescent="0.3">
      <c r="A429" s="13" t="s">
        <v>1928</v>
      </c>
      <c r="B429" s="13" t="s">
        <v>1928</v>
      </c>
      <c r="C429" s="13" t="s">
        <v>1932</v>
      </c>
      <c r="D429" s="13" t="s">
        <v>928</v>
      </c>
      <c r="E429" s="13" t="s">
        <v>158</v>
      </c>
      <c r="F429" s="13" t="s">
        <v>218</v>
      </c>
      <c r="G429" s="13" t="s">
        <v>8</v>
      </c>
      <c r="H429" s="13" t="s">
        <v>929</v>
      </c>
      <c r="I429" s="13" t="s">
        <v>929</v>
      </c>
      <c r="J429" s="52">
        <v>0.63300000000000001</v>
      </c>
      <c r="K429" s="13" t="str">
        <f t="shared" si="6"/>
        <v>GC19_Global PowerFlex</v>
      </c>
      <c r="L429" s="13" t="s">
        <v>2127</v>
      </c>
      <c r="M429" s="13" t="s">
        <v>1810</v>
      </c>
      <c r="N429" s="13">
        <v>24</v>
      </c>
      <c r="O429" s="13" t="s">
        <v>1880</v>
      </c>
      <c r="P429" s="34" t="s">
        <v>1958</v>
      </c>
    </row>
    <row r="430" spans="1:18" ht="15" customHeight="1" x14ac:dyDescent="0.3">
      <c r="A430" s="13" t="s">
        <v>1927</v>
      </c>
      <c r="B430" s="13" t="s">
        <v>1927</v>
      </c>
      <c r="C430" s="13" t="s">
        <v>1931</v>
      </c>
      <c r="D430" s="13" t="s">
        <v>928</v>
      </c>
      <c r="E430" s="13" t="s">
        <v>158</v>
      </c>
      <c r="F430" s="13" t="s">
        <v>218</v>
      </c>
      <c r="G430" s="13" t="s">
        <v>8</v>
      </c>
      <c r="H430" s="13" t="s">
        <v>929</v>
      </c>
      <c r="I430" s="13" t="s">
        <v>929</v>
      </c>
      <c r="J430" s="52">
        <v>0.63300000000000001</v>
      </c>
      <c r="K430" s="13" t="str">
        <f t="shared" si="6"/>
        <v>GC20_Global PowerFlex Domain Engineer</v>
      </c>
      <c r="L430" s="13" t="s">
        <v>2127</v>
      </c>
      <c r="M430" s="13" t="s">
        <v>1810</v>
      </c>
      <c r="N430" s="13">
        <v>24</v>
      </c>
      <c r="O430" s="13" t="s">
        <v>1880</v>
      </c>
      <c r="P430" s="34" t="s">
        <v>1958</v>
      </c>
    </row>
    <row r="431" spans="1:18" ht="15" customHeight="1" x14ac:dyDescent="0.3">
      <c r="A431" s="13" t="s">
        <v>874</v>
      </c>
      <c r="B431" s="13" t="s">
        <v>874</v>
      </c>
      <c r="C431" s="13" t="s">
        <v>1866</v>
      </c>
      <c r="D431" s="13" t="s">
        <v>965</v>
      </c>
      <c r="E431" s="13" t="s">
        <v>865</v>
      </c>
      <c r="F431" s="13" t="s">
        <v>865</v>
      </c>
      <c r="G431" s="13" t="s">
        <v>8</v>
      </c>
      <c r="H431" s="13" t="s">
        <v>929</v>
      </c>
      <c r="I431" s="13" t="s">
        <v>929</v>
      </c>
      <c r="J431" s="52">
        <v>0.63300000000000001</v>
      </c>
      <c r="K431" s="13" t="str">
        <f t="shared" si="6"/>
        <v>LS01_Licensing Support</v>
      </c>
      <c r="L431" s="13" t="s">
        <v>2128</v>
      </c>
      <c r="M431" s="13" t="s">
        <v>2120</v>
      </c>
      <c r="N431" s="13">
        <v>14</v>
      </c>
      <c r="O431" s="13" t="s">
        <v>1880</v>
      </c>
      <c r="P431" s="34" t="s">
        <v>1958</v>
      </c>
    </row>
    <row r="432" spans="1:18" ht="15" customHeight="1" collapsed="1" x14ac:dyDescent="0.3">
      <c r="A432" s="13" t="s">
        <v>1795</v>
      </c>
      <c r="B432" s="13" t="s">
        <v>1795</v>
      </c>
      <c r="C432" s="13" t="s">
        <v>1796</v>
      </c>
      <c r="D432" s="13" t="s">
        <v>928</v>
      </c>
      <c r="E432" s="13" t="s">
        <v>439</v>
      </c>
      <c r="F432" s="13" t="s">
        <v>439</v>
      </c>
      <c r="G432" s="13" t="s">
        <v>8</v>
      </c>
      <c r="H432" s="13" t="s">
        <v>929</v>
      </c>
      <c r="I432" s="13" t="s">
        <v>929</v>
      </c>
      <c r="J432" s="52">
        <v>0.63300000000000001</v>
      </c>
      <c r="K432" s="13" t="str">
        <f t="shared" si="6"/>
        <v>XE01_Global PowerEdge XE Multi-Lingual</v>
      </c>
      <c r="L432" s="13" t="s">
        <v>2127</v>
      </c>
      <c r="M432" s="13" t="s">
        <v>1810</v>
      </c>
      <c r="N432" s="13">
        <v>24</v>
      </c>
      <c r="O432" s="13" t="s">
        <v>1880</v>
      </c>
      <c r="P432" s="34" t="s">
        <v>1958</v>
      </c>
    </row>
    <row r="433" spans="1:17" ht="15" customHeight="1" collapsed="1" x14ac:dyDescent="0.3">
      <c r="A433" s="13" t="s">
        <v>1797</v>
      </c>
      <c r="B433" s="13" t="s">
        <v>1797</v>
      </c>
      <c r="C433" s="13" t="s">
        <v>1798</v>
      </c>
      <c r="D433" s="13" t="s">
        <v>928</v>
      </c>
      <c r="E433" s="13" t="s">
        <v>439</v>
      </c>
      <c r="F433" s="13" t="s">
        <v>439</v>
      </c>
      <c r="G433" s="13" t="s">
        <v>8</v>
      </c>
      <c r="H433" s="13" t="s">
        <v>929</v>
      </c>
      <c r="I433" s="13" t="s">
        <v>929</v>
      </c>
      <c r="J433" s="52">
        <v>0.63300000000000001</v>
      </c>
      <c r="K433" s="13" t="str">
        <f t="shared" si="6"/>
        <v>XE02_Global PowerEdge XE DE</v>
      </c>
      <c r="L433" s="13" t="s">
        <v>2127</v>
      </c>
      <c r="M433" s="13" t="s">
        <v>1810</v>
      </c>
      <c r="N433" s="13">
        <v>24</v>
      </c>
      <c r="O433" s="13" t="s">
        <v>1880</v>
      </c>
      <c r="P433" s="34" t="s">
        <v>1958</v>
      </c>
    </row>
    <row r="434" spans="1:17" ht="15" hidden="1" customHeight="1" collapsed="1" x14ac:dyDescent="0.3">
      <c r="A434" s="13" t="s">
        <v>2144</v>
      </c>
      <c r="B434" s="13" t="s">
        <v>443</v>
      </c>
      <c r="C434" s="13" t="s">
        <v>444</v>
      </c>
      <c r="D434" s="13" t="s">
        <v>914</v>
      </c>
      <c r="E434" s="13" t="s">
        <v>439</v>
      </c>
      <c r="F434" s="13" t="s">
        <v>439</v>
      </c>
      <c r="G434" s="13" t="s">
        <v>8</v>
      </c>
      <c r="H434" s="13" t="s">
        <v>903</v>
      </c>
      <c r="I434" s="13" t="s">
        <v>904</v>
      </c>
      <c r="J434" s="14">
        <v>0.629</v>
      </c>
      <c r="K434" s="13" t="str">
        <f t="shared" si="6"/>
        <v>AZ10_Server ProSupport ANZ</v>
      </c>
      <c r="L434" s="13" t="s">
        <v>1961</v>
      </c>
      <c r="M434" s="13" t="s">
        <v>917</v>
      </c>
      <c r="N434" s="13">
        <v>8</v>
      </c>
      <c r="O434" s="13" t="s">
        <v>897</v>
      </c>
      <c r="P434" s="34" t="s">
        <v>1958</v>
      </c>
      <c r="Q434" s="13" t="s">
        <v>2133</v>
      </c>
    </row>
    <row r="435" spans="1:17" ht="15" customHeight="1" collapsed="1" x14ac:dyDescent="0.3">
      <c r="A435" s="13" t="s">
        <v>610</v>
      </c>
      <c r="B435" s="13" t="s">
        <v>610</v>
      </c>
      <c r="C435" s="13" t="s">
        <v>611</v>
      </c>
      <c r="D435" s="13" t="s">
        <v>914</v>
      </c>
      <c r="E435" s="13" t="s">
        <v>609</v>
      </c>
      <c r="F435" s="13" t="s">
        <v>609</v>
      </c>
      <c r="G435" s="13" t="s">
        <v>8</v>
      </c>
      <c r="H435" s="13" t="s">
        <v>903</v>
      </c>
      <c r="I435" s="13" t="s">
        <v>904</v>
      </c>
      <c r="J435" s="52">
        <v>0.629</v>
      </c>
      <c r="K435" s="13" t="str">
        <f t="shared" si="6"/>
        <v>AZ11_Storage ProSupport ANZ</v>
      </c>
      <c r="L435" s="13" t="s">
        <v>2128</v>
      </c>
      <c r="M435" s="13" t="s">
        <v>2120</v>
      </c>
      <c r="N435" s="13">
        <v>8</v>
      </c>
      <c r="O435" s="13" t="s">
        <v>897</v>
      </c>
      <c r="P435" s="34" t="s">
        <v>1958</v>
      </c>
    </row>
    <row r="436" spans="1:17" ht="15" hidden="1" customHeight="1" collapsed="1" x14ac:dyDescent="0.3">
      <c r="A436" s="13" t="s">
        <v>2144</v>
      </c>
      <c r="B436" s="13" t="s">
        <v>445</v>
      </c>
      <c r="C436" s="13" t="s">
        <v>446</v>
      </c>
      <c r="D436" s="13" t="s">
        <v>914</v>
      </c>
      <c r="E436" s="13" t="s">
        <v>439</v>
      </c>
      <c r="F436" s="13" t="s">
        <v>439</v>
      </c>
      <c r="G436" s="13" t="s">
        <v>8</v>
      </c>
      <c r="H436" s="13" t="s">
        <v>903</v>
      </c>
      <c r="I436" s="13" t="s">
        <v>906</v>
      </c>
      <c r="J436" s="14">
        <v>0.629</v>
      </c>
      <c r="K436" s="13" t="str">
        <f t="shared" si="6"/>
        <v>AZ16_Enterprise ANZ AOH</v>
      </c>
      <c r="L436" s="13" t="s">
        <v>1961</v>
      </c>
      <c r="M436" s="13" t="s">
        <v>917</v>
      </c>
      <c r="N436" s="13">
        <v>8</v>
      </c>
      <c r="O436" s="13" t="s">
        <v>897</v>
      </c>
      <c r="P436" s="34" t="s">
        <v>1958</v>
      </c>
      <c r="Q436" s="13" t="s">
        <v>2133</v>
      </c>
    </row>
    <row r="437" spans="1:17" ht="15" customHeight="1" collapsed="1" x14ac:dyDescent="0.3">
      <c r="A437" s="13" t="s">
        <v>447</v>
      </c>
      <c r="B437" s="13" t="s">
        <v>447</v>
      </c>
      <c r="C437" s="13" t="s">
        <v>1857</v>
      </c>
      <c r="D437" s="13" t="s">
        <v>973</v>
      </c>
      <c r="E437" s="13" t="s">
        <v>439</v>
      </c>
      <c r="F437" s="13" t="s">
        <v>439</v>
      </c>
      <c r="G437" s="13" t="s">
        <v>8</v>
      </c>
      <c r="H437" s="13" t="s">
        <v>935</v>
      </c>
      <c r="I437" s="13" t="s">
        <v>936</v>
      </c>
      <c r="J437" s="52">
        <v>0.57099999999999995</v>
      </c>
      <c r="K437" s="13" t="str">
        <f t="shared" si="6"/>
        <v>BAH1_LATAM AH Portuguese</v>
      </c>
      <c r="L437" s="13" t="s">
        <v>2131</v>
      </c>
      <c r="M437" s="13" t="s">
        <v>1885</v>
      </c>
      <c r="N437" s="13">
        <v>8</v>
      </c>
      <c r="O437" s="13" t="s">
        <v>897</v>
      </c>
      <c r="P437" s="34" t="s">
        <v>1958</v>
      </c>
    </row>
    <row r="438" spans="1:17" ht="15" customHeight="1" collapsed="1" x14ac:dyDescent="0.3">
      <c r="A438" s="13" t="s">
        <v>449</v>
      </c>
      <c r="B438" s="13" t="s">
        <v>449</v>
      </c>
      <c r="C438" s="13" t="s">
        <v>1858</v>
      </c>
      <c r="D438" s="13" t="s">
        <v>1044</v>
      </c>
      <c r="E438" s="13" t="s">
        <v>439</v>
      </c>
      <c r="F438" s="13" t="s">
        <v>439</v>
      </c>
      <c r="G438" s="13" t="s">
        <v>8</v>
      </c>
      <c r="H438" s="13" t="s">
        <v>935</v>
      </c>
      <c r="I438" s="13" t="s">
        <v>936</v>
      </c>
      <c r="J438" s="52">
        <v>0.57099999999999995</v>
      </c>
      <c r="K438" s="13" t="str">
        <f t="shared" si="6"/>
        <v>BT01_LATAM Top Customers Portuguese</v>
      </c>
      <c r="L438" s="13" t="s">
        <v>2131</v>
      </c>
      <c r="M438" s="13" t="s">
        <v>1885</v>
      </c>
      <c r="N438" s="13">
        <v>8</v>
      </c>
      <c r="O438" s="13" t="s">
        <v>897</v>
      </c>
      <c r="P438" s="34" t="s">
        <v>1958</v>
      </c>
    </row>
    <row r="439" spans="1:17" ht="15" customHeight="1" collapsed="1" x14ac:dyDescent="0.3">
      <c r="A439" s="13" t="s">
        <v>1872</v>
      </c>
      <c r="B439" s="13" t="s">
        <v>1872</v>
      </c>
      <c r="C439" s="13" t="s">
        <v>1879</v>
      </c>
      <c r="D439" s="13" t="s">
        <v>928</v>
      </c>
      <c r="E439" s="13" t="s">
        <v>266</v>
      </c>
      <c r="F439" s="13" t="s">
        <v>266</v>
      </c>
      <c r="G439" s="13" t="s">
        <v>8</v>
      </c>
      <c r="H439" s="13" t="s">
        <v>929</v>
      </c>
      <c r="I439" s="13" t="s">
        <v>929</v>
      </c>
      <c r="J439" s="52">
        <v>0.63300000000000001</v>
      </c>
      <c r="K439" s="13" t="str">
        <f t="shared" si="6"/>
        <v>BT04_Global Networking English</v>
      </c>
      <c r="L439" s="13" t="s">
        <v>2127</v>
      </c>
      <c r="M439" s="13" t="s">
        <v>1810</v>
      </c>
      <c r="N439" s="13">
        <v>24</v>
      </c>
      <c r="O439" s="13" t="s">
        <v>897</v>
      </c>
      <c r="P439" s="34" t="s">
        <v>1958</v>
      </c>
    </row>
    <row r="440" spans="1:17" ht="15" hidden="1" customHeight="1" collapsed="1" x14ac:dyDescent="0.3">
      <c r="A440" s="13" t="s">
        <v>2144</v>
      </c>
      <c r="B440" s="13" t="s">
        <v>1799</v>
      </c>
      <c r="C440" s="13" t="s">
        <v>1800</v>
      </c>
      <c r="D440" s="13" t="s">
        <v>928</v>
      </c>
      <c r="E440" s="13" t="s">
        <v>439</v>
      </c>
      <c r="F440" s="13" t="s">
        <v>439</v>
      </c>
      <c r="G440" s="13" t="s">
        <v>8</v>
      </c>
      <c r="H440" s="13" t="s">
        <v>929</v>
      </c>
      <c r="J440" s="14">
        <v>0.63300000000000001</v>
      </c>
      <c r="K440" s="13" t="str">
        <f t="shared" si="6"/>
        <v>BT05_EMEA Server Upsell English</v>
      </c>
      <c r="L440" s="13" t="s">
        <v>1963</v>
      </c>
      <c r="M440" s="13" t="s">
        <v>1810</v>
      </c>
      <c r="N440" s="13">
        <v>24</v>
      </c>
      <c r="O440" s="13" t="s">
        <v>897</v>
      </c>
      <c r="P440" s="34" t="s">
        <v>1958</v>
      </c>
      <c r="Q440" s="13" t="s">
        <v>2133</v>
      </c>
    </row>
    <row r="441" spans="1:17" ht="15" customHeight="1" collapsed="1" x14ac:dyDescent="0.3">
      <c r="A441" s="13" t="s">
        <v>1801</v>
      </c>
      <c r="B441" s="13" t="s">
        <v>1801</v>
      </c>
      <c r="C441" s="13" t="s">
        <v>1802</v>
      </c>
      <c r="D441" s="13" t="s">
        <v>928</v>
      </c>
      <c r="E441" s="13" t="s">
        <v>439</v>
      </c>
      <c r="F441" s="13" t="s">
        <v>439</v>
      </c>
      <c r="G441" s="13" t="s">
        <v>8</v>
      </c>
      <c r="H441" s="13" t="s">
        <v>912</v>
      </c>
      <c r="I441" s="13" t="s">
        <v>912</v>
      </c>
      <c r="J441" s="52">
        <v>0.61699999999999999</v>
      </c>
      <c r="K441" s="13" t="str">
        <f t="shared" si="6"/>
        <v>BT06_EC Compute CEE RUA</v>
      </c>
      <c r="L441" s="13" t="s">
        <v>2127</v>
      </c>
      <c r="M441" s="13" t="s">
        <v>1810</v>
      </c>
      <c r="N441" s="13">
        <v>10</v>
      </c>
      <c r="O441" s="13" t="s">
        <v>897</v>
      </c>
      <c r="P441" s="34" t="s">
        <v>1958</v>
      </c>
    </row>
    <row r="442" spans="1:17" ht="15" customHeight="1" collapsed="1" x14ac:dyDescent="0.3">
      <c r="A442" s="13" t="s">
        <v>1803</v>
      </c>
      <c r="B442" s="13" t="s">
        <v>1803</v>
      </c>
      <c r="C442" s="13" t="s">
        <v>1804</v>
      </c>
      <c r="D442" s="13" t="s">
        <v>928</v>
      </c>
      <c r="E442" s="13" t="s">
        <v>439</v>
      </c>
      <c r="F442" s="13" t="s">
        <v>439</v>
      </c>
      <c r="G442" s="13" t="s">
        <v>8</v>
      </c>
      <c r="H442" s="13" t="s">
        <v>912</v>
      </c>
      <c r="I442" s="13" t="s">
        <v>912</v>
      </c>
      <c r="J442" s="52">
        <v>0.61699999999999999</v>
      </c>
      <c r="K442" s="13" t="str">
        <f t="shared" si="6"/>
        <v>BT07_SER Compute Iberian</v>
      </c>
      <c r="L442" s="13" t="s">
        <v>2127</v>
      </c>
      <c r="M442" s="13" t="s">
        <v>1810</v>
      </c>
      <c r="N442" s="13">
        <v>12</v>
      </c>
      <c r="O442" s="13" t="s">
        <v>897</v>
      </c>
      <c r="P442" s="34" t="s">
        <v>1958</v>
      </c>
    </row>
    <row r="443" spans="1:17" ht="15" customHeight="1" collapsed="1" x14ac:dyDescent="0.3">
      <c r="A443" s="13" t="s">
        <v>1805</v>
      </c>
      <c r="B443" s="13" t="s">
        <v>1805</v>
      </c>
      <c r="C443" s="13" t="s">
        <v>1950</v>
      </c>
      <c r="D443" s="13" t="s">
        <v>928</v>
      </c>
      <c r="E443" s="13" t="s">
        <v>439</v>
      </c>
      <c r="F443" s="13" t="s">
        <v>439</v>
      </c>
      <c r="G443" s="13" t="s">
        <v>8</v>
      </c>
      <c r="H443" s="13" t="s">
        <v>912</v>
      </c>
      <c r="I443" s="13" t="s">
        <v>912</v>
      </c>
      <c r="J443" s="52">
        <v>0.61699999999999999</v>
      </c>
      <c r="K443" s="13" t="str">
        <f t="shared" si="6"/>
        <v>BT08_SER Server French</v>
      </c>
      <c r="L443" s="13" t="s">
        <v>2127</v>
      </c>
      <c r="M443" s="13" t="s">
        <v>1810</v>
      </c>
      <c r="N443" s="13">
        <v>24</v>
      </c>
      <c r="O443" s="13" t="s">
        <v>897</v>
      </c>
      <c r="P443" s="34" t="s">
        <v>1958</v>
      </c>
    </row>
    <row r="444" spans="1:17" ht="15" customHeight="1" collapsed="1" x14ac:dyDescent="0.3">
      <c r="A444" s="13" t="s">
        <v>1873</v>
      </c>
      <c r="B444" s="13" t="s">
        <v>1873</v>
      </c>
      <c r="C444" s="13" t="s">
        <v>1874</v>
      </c>
      <c r="D444" s="13" t="s">
        <v>914</v>
      </c>
      <c r="E444" s="13" t="s">
        <v>439</v>
      </c>
      <c r="F444" s="13" t="s">
        <v>439</v>
      </c>
      <c r="G444" s="13" t="s">
        <v>8</v>
      </c>
      <c r="H444" s="13" t="s">
        <v>903</v>
      </c>
      <c r="I444" s="13" t="s">
        <v>909</v>
      </c>
      <c r="J444" s="52">
        <v>0.629</v>
      </c>
      <c r="K444" s="13" t="str">
        <f t="shared" si="6"/>
        <v>BT09_CCC MidRange Mandarin</v>
      </c>
      <c r="L444" s="13" t="s">
        <v>2128</v>
      </c>
      <c r="M444" s="13" t="s">
        <v>2120</v>
      </c>
      <c r="N444" s="13">
        <v>24</v>
      </c>
      <c r="O444" s="13" t="s">
        <v>897</v>
      </c>
      <c r="P444" s="34" t="s">
        <v>1958</v>
      </c>
    </row>
    <row r="445" spans="1:17" ht="15" customHeight="1" collapsed="1" x14ac:dyDescent="0.3">
      <c r="A445" s="13" t="s">
        <v>1875</v>
      </c>
      <c r="B445" s="13" t="s">
        <v>1875</v>
      </c>
      <c r="C445" s="13" t="s">
        <v>1876</v>
      </c>
      <c r="D445" s="13" t="s">
        <v>914</v>
      </c>
      <c r="E445" s="13" t="s">
        <v>439</v>
      </c>
      <c r="F445" s="13" t="s">
        <v>439</v>
      </c>
      <c r="G445" s="13" t="s">
        <v>8</v>
      </c>
      <c r="H445" s="13" t="s">
        <v>903</v>
      </c>
      <c r="I445" s="13" t="s">
        <v>909</v>
      </c>
      <c r="J445" s="52">
        <v>0.629</v>
      </c>
      <c r="K445" s="13" t="str">
        <f t="shared" si="6"/>
        <v>BT10_CCC CNS Mandarin Voice</v>
      </c>
      <c r="L445" s="13" t="s">
        <v>2128</v>
      </c>
      <c r="M445" s="13" t="s">
        <v>2120</v>
      </c>
      <c r="N445" s="13">
        <v>24</v>
      </c>
      <c r="O445" s="13" t="s">
        <v>897</v>
      </c>
      <c r="P445" s="34" t="s">
        <v>1958</v>
      </c>
    </row>
    <row r="446" spans="1:17" ht="15" customHeight="1" collapsed="1" x14ac:dyDescent="0.3">
      <c r="A446" s="13" t="s">
        <v>1942</v>
      </c>
      <c r="B446" s="13" t="s">
        <v>1942</v>
      </c>
      <c r="C446" s="13" t="s">
        <v>1943</v>
      </c>
      <c r="D446" s="13" t="s">
        <v>928</v>
      </c>
      <c r="E446" s="13" t="s">
        <v>439</v>
      </c>
      <c r="F446" s="13" t="s">
        <v>439</v>
      </c>
      <c r="G446" s="13" t="s">
        <v>8</v>
      </c>
      <c r="H446" s="13" t="s">
        <v>912</v>
      </c>
      <c r="I446" s="13" t="s">
        <v>1006</v>
      </c>
      <c r="J446" s="52">
        <v>0.61699999999999999</v>
      </c>
      <c r="K446" s="13" t="str">
        <f t="shared" si="6"/>
        <v>BT13_EC Server Arabic</v>
      </c>
      <c r="L446" s="13" t="s">
        <v>2127</v>
      </c>
      <c r="M446" s="13" t="s">
        <v>1810</v>
      </c>
      <c r="N446" s="13">
        <v>10</v>
      </c>
      <c r="O446" s="13" t="s">
        <v>897</v>
      </c>
      <c r="P446" s="34" t="s">
        <v>1958</v>
      </c>
    </row>
    <row r="447" spans="1:17" ht="15" customHeight="1" collapsed="1" x14ac:dyDescent="0.3">
      <c r="A447" s="13" t="s">
        <v>1940</v>
      </c>
      <c r="B447" s="13" t="s">
        <v>1940</v>
      </c>
      <c r="C447" s="13" t="s">
        <v>1941</v>
      </c>
      <c r="D447" s="13" t="s">
        <v>928</v>
      </c>
      <c r="E447" s="13" t="s">
        <v>439</v>
      </c>
      <c r="F447" s="13" t="s">
        <v>439</v>
      </c>
      <c r="G447" s="13" t="s">
        <v>8</v>
      </c>
      <c r="H447" s="13" t="s">
        <v>912</v>
      </c>
      <c r="I447" s="13" t="s">
        <v>1006</v>
      </c>
      <c r="J447" s="52">
        <v>0.61699999999999999</v>
      </c>
      <c r="K447" s="13" t="str">
        <f t="shared" si="6"/>
        <v>BT14_SER Server Italian</v>
      </c>
      <c r="L447" s="13" t="s">
        <v>2127</v>
      </c>
      <c r="M447" s="13" t="s">
        <v>1810</v>
      </c>
      <c r="N447" s="13">
        <v>4</v>
      </c>
      <c r="O447" s="13" t="s">
        <v>897</v>
      </c>
      <c r="P447" s="34" t="s">
        <v>1958</v>
      </c>
    </row>
    <row r="448" spans="1:17" ht="15" customHeight="1" collapsed="1" x14ac:dyDescent="0.3">
      <c r="A448" s="13" t="s">
        <v>453</v>
      </c>
      <c r="B448" s="13" t="s">
        <v>453</v>
      </c>
      <c r="C448" s="13" t="s">
        <v>454</v>
      </c>
      <c r="D448" s="13" t="s">
        <v>928</v>
      </c>
      <c r="E448" s="13" t="s">
        <v>439</v>
      </c>
      <c r="F448" s="13" t="s">
        <v>439</v>
      </c>
      <c r="G448" s="13" t="s">
        <v>8</v>
      </c>
      <c r="H448" s="13" t="s">
        <v>912</v>
      </c>
      <c r="I448" s="13" t="s">
        <v>938</v>
      </c>
      <c r="J448" s="52">
        <v>0.61699999999999999</v>
      </c>
      <c r="K448" s="13" t="str">
        <f t="shared" si="6"/>
        <v>BX02_ENG ProSupp Dutch Server (CWD)</v>
      </c>
      <c r="L448" s="13" t="s">
        <v>2127</v>
      </c>
      <c r="M448" s="13" t="s">
        <v>1810</v>
      </c>
      <c r="N448" s="13">
        <v>7</v>
      </c>
      <c r="O448" s="13" t="s">
        <v>897</v>
      </c>
      <c r="P448" s="34" t="s">
        <v>1958</v>
      </c>
    </row>
    <row r="449" spans="1:17" ht="15" customHeight="1" collapsed="1" x14ac:dyDescent="0.3">
      <c r="A449" s="13" t="s">
        <v>273</v>
      </c>
      <c r="B449" s="13" t="s">
        <v>273</v>
      </c>
      <c r="C449" s="13" t="s">
        <v>1860</v>
      </c>
      <c r="D449" s="13" t="s">
        <v>928</v>
      </c>
      <c r="E449" s="13" t="s">
        <v>266</v>
      </c>
      <c r="F449" s="13" t="s">
        <v>266</v>
      </c>
      <c r="G449" s="13" t="s">
        <v>8</v>
      </c>
      <c r="H449" s="13" t="s">
        <v>935</v>
      </c>
      <c r="I449" s="13" t="s">
        <v>936</v>
      </c>
      <c r="J449" s="52">
        <v>0.57099999999999995</v>
      </c>
      <c r="K449" s="13" t="str">
        <f t="shared" si="6"/>
        <v>BZ15_LATAM Networking Portuguese</v>
      </c>
      <c r="L449" s="13" t="s">
        <v>2131</v>
      </c>
      <c r="M449" s="13" t="s">
        <v>1885</v>
      </c>
      <c r="N449" s="13">
        <v>7</v>
      </c>
      <c r="O449" s="13" t="s">
        <v>897</v>
      </c>
      <c r="P449" s="34" t="s">
        <v>1958</v>
      </c>
    </row>
    <row r="450" spans="1:17" ht="15" customHeight="1" collapsed="1" x14ac:dyDescent="0.3">
      <c r="A450" s="13" t="s">
        <v>1877</v>
      </c>
      <c r="B450" s="13" t="s">
        <v>1877</v>
      </c>
      <c r="C450" s="13" t="s">
        <v>1878</v>
      </c>
      <c r="D450" s="13" t="s">
        <v>928</v>
      </c>
      <c r="E450" s="13" t="s">
        <v>439</v>
      </c>
      <c r="F450" s="13" t="s">
        <v>439</v>
      </c>
      <c r="G450" s="13" t="s">
        <v>8</v>
      </c>
      <c r="H450" s="13" t="s">
        <v>935</v>
      </c>
      <c r="I450" s="13" t="s">
        <v>936</v>
      </c>
      <c r="J450" s="52">
        <v>0.57099999999999995</v>
      </c>
      <c r="K450" s="13" t="str">
        <f t="shared" ref="K450:K513" si="7">B450&amp;"_"&amp;C450</f>
        <v>BZ24_LATAM Compute Portuguese</v>
      </c>
      <c r="L450" s="13" t="s">
        <v>2131</v>
      </c>
      <c r="M450" s="13" t="s">
        <v>1885</v>
      </c>
      <c r="N450" s="13">
        <v>24</v>
      </c>
      <c r="O450" s="13" t="s">
        <v>897</v>
      </c>
      <c r="P450" s="34" t="s">
        <v>1958</v>
      </c>
    </row>
    <row r="451" spans="1:17" ht="15" customHeight="1" collapsed="1" x14ac:dyDescent="0.3">
      <c r="A451" s="13" t="s">
        <v>463</v>
      </c>
      <c r="B451" s="13" t="s">
        <v>463</v>
      </c>
      <c r="C451" s="13" t="s">
        <v>1861</v>
      </c>
      <c r="D451" s="13" t="s">
        <v>914</v>
      </c>
      <c r="E451" s="13" t="s">
        <v>439</v>
      </c>
      <c r="F451" s="13" t="s">
        <v>439</v>
      </c>
      <c r="G451" s="13" t="s">
        <v>8</v>
      </c>
      <c r="H451" s="13" t="s">
        <v>903</v>
      </c>
      <c r="I451" s="13" t="s">
        <v>909</v>
      </c>
      <c r="J451" s="52">
        <v>0.629</v>
      </c>
      <c r="K451" s="13" t="str">
        <f t="shared" si="7"/>
        <v>CC14_CCC CNS Cantonese</v>
      </c>
      <c r="L451" s="13" t="s">
        <v>2128</v>
      </c>
      <c r="M451" s="13" t="s">
        <v>2120</v>
      </c>
      <c r="N451" s="13">
        <v>8</v>
      </c>
      <c r="O451" s="13" t="s">
        <v>897</v>
      </c>
      <c r="P451" s="34" t="s">
        <v>1958</v>
      </c>
    </row>
    <row r="452" spans="1:17" ht="15" customHeight="1" collapsed="1" x14ac:dyDescent="0.3">
      <c r="A452" s="13" t="s">
        <v>469</v>
      </c>
      <c r="B452" s="13" t="s">
        <v>469</v>
      </c>
      <c r="C452" s="13" t="s">
        <v>1863</v>
      </c>
      <c r="D452" s="13" t="s">
        <v>914</v>
      </c>
      <c r="E452" s="13" t="s">
        <v>439</v>
      </c>
      <c r="F452" s="13" t="s">
        <v>439</v>
      </c>
      <c r="G452" s="13" t="s">
        <v>8</v>
      </c>
      <c r="H452" s="13" t="s">
        <v>903</v>
      </c>
      <c r="I452" s="13" t="s">
        <v>909</v>
      </c>
      <c r="J452" s="52">
        <v>0.629</v>
      </c>
      <c r="K452" s="13" t="str">
        <f t="shared" si="7"/>
        <v>CE03_CCC CNS Mandarin Email</v>
      </c>
      <c r="L452" s="13" t="s">
        <v>2128</v>
      </c>
      <c r="M452" s="13" t="s">
        <v>2120</v>
      </c>
      <c r="N452" s="13">
        <v>8</v>
      </c>
      <c r="O452" s="13" t="s">
        <v>897</v>
      </c>
      <c r="P452" s="34" t="s">
        <v>1958</v>
      </c>
    </row>
    <row r="453" spans="1:17" ht="15" customHeight="1" collapsed="1" x14ac:dyDescent="0.3">
      <c r="A453" s="13" t="s">
        <v>475</v>
      </c>
      <c r="B453" s="13" t="s">
        <v>475</v>
      </c>
      <c r="C453" s="13" t="s">
        <v>1864</v>
      </c>
      <c r="D453" s="13" t="s">
        <v>928</v>
      </c>
      <c r="E453" s="13" t="s">
        <v>439</v>
      </c>
      <c r="F453" s="13" t="s">
        <v>439</v>
      </c>
      <c r="G453" s="13" t="s">
        <v>8</v>
      </c>
      <c r="H453" s="13" t="s">
        <v>912</v>
      </c>
      <c r="I453" s="13" t="s">
        <v>1008</v>
      </c>
      <c r="J453" s="52">
        <v>0.61699999999999999</v>
      </c>
      <c r="K453" s="13" t="str">
        <f t="shared" si="7"/>
        <v>CZ03_CZE Enterprise (BRA)</v>
      </c>
      <c r="L453" s="13" t="s">
        <v>2127</v>
      </c>
      <c r="M453" s="13" t="s">
        <v>1810</v>
      </c>
      <c r="N453" s="13">
        <v>7</v>
      </c>
      <c r="O453" s="13" t="s">
        <v>897</v>
      </c>
      <c r="P453" s="34" t="s">
        <v>1958</v>
      </c>
    </row>
    <row r="454" spans="1:17" ht="15" customHeight="1" collapsed="1" x14ac:dyDescent="0.3">
      <c r="A454" s="13" t="s">
        <v>279</v>
      </c>
      <c r="B454" s="13" t="s">
        <v>279</v>
      </c>
      <c r="C454" s="13" t="s">
        <v>280</v>
      </c>
      <c r="D454" s="13" t="s">
        <v>928</v>
      </c>
      <c r="E454" s="13" t="s">
        <v>266</v>
      </c>
      <c r="F454" s="13" t="s">
        <v>266</v>
      </c>
      <c r="G454" s="13" t="s">
        <v>8</v>
      </c>
      <c r="H454" s="13" t="s">
        <v>912</v>
      </c>
      <c r="I454" s="13" t="s">
        <v>1008</v>
      </c>
      <c r="J454" s="52">
        <v>0.61699999999999999</v>
      </c>
      <c r="K454" s="13" t="str">
        <f t="shared" si="7"/>
        <v>DE09_GER Networking (HAL)</v>
      </c>
      <c r="L454" s="13" t="s">
        <v>2127</v>
      </c>
      <c r="M454" s="13" t="s">
        <v>1810</v>
      </c>
      <c r="N454" s="13">
        <v>7</v>
      </c>
      <c r="O454" s="13" t="s">
        <v>897</v>
      </c>
      <c r="P454" s="34" t="s">
        <v>1958</v>
      </c>
    </row>
    <row r="455" spans="1:17" ht="15" customHeight="1" collapsed="1" x14ac:dyDescent="0.3">
      <c r="A455" s="13" t="s">
        <v>622</v>
      </c>
      <c r="B455" s="13" t="s">
        <v>622</v>
      </c>
      <c r="C455" s="13" t="s">
        <v>623</v>
      </c>
      <c r="D455" s="13" t="s">
        <v>973</v>
      </c>
      <c r="E455" s="13" t="s">
        <v>609</v>
      </c>
      <c r="F455" s="13" t="s">
        <v>609</v>
      </c>
      <c r="G455" s="13" t="s">
        <v>8</v>
      </c>
      <c r="H455" s="13" t="s">
        <v>912</v>
      </c>
      <c r="I455" s="13" t="s">
        <v>1006</v>
      </c>
      <c r="J455" s="52">
        <v>0.61699999999999999</v>
      </c>
      <c r="K455" s="13" t="str">
        <f t="shared" si="7"/>
        <v>DE17_German Storage</v>
      </c>
      <c r="L455" s="13" t="s">
        <v>2130</v>
      </c>
      <c r="M455" s="13" t="s">
        <v>972</v>
      </c>
      <c r="N455" s="13">
        <v>8</v>
      </c>
      <c r="O455" s="13" t="s">
        <v>897</v>
      </c>
      <c r="P455" s="34" t="s">
        <v>1958</v>
      </c>
    </row>
    <row r="456" spans="1:17" ht="15" customHeight="1" collapsed="1" x14ac:dyDescent="0.3">
      <c r="A456" s="13" t="s">
        <v>1887</v>
      </c>
      <c r="B456" s="13" t="s">
        <v>1887</v>
      </c>
      <c r="C456" s="13" t="s">
        <v>1888</v>
      </c>
      <c r="D456" s="13" t="s">
        <v>928</v>
      </c>
      <c r="E456" s="13" t="s">
        <v>439</v>
      </c>
      <c r="F456" s="13" t="s">
        <v>439</v>
      </c>
      <c r="G456" s="13" t="s">
        <v>8</v>
      </c>
      <c r="H456" s="13" t="s">
        <v>912</v>
      </c>
      <c r="I456" s="13" t="s">
        <v>1009</v>
      </c>
      <c r="J456" s="52">
        <v>0.61699999999999999</v>
      </c>
      <c r="K456" s="13" t="str">
        <f t="shared" si="7"/>
        <v>DE18_CER Server German</v>
      </c>
      <c r="L456" s="13" t="s">
        <v>2127</v>
      </c>
      <c r="M456" s="13" t="s">
        <v>1810</v>
      </c>
      <c r="N456" s="13">
        <v>24</v>
      </c>
      <c r="O456" s="13" t="s">
        <v>897</v>
      </c>
      <c r="P456" s="34" t="s">
        <v>1958</v>
      </c>
    </row>
    <row r="457" spans="1:17" ht="15" customHeight="1" collapsed="1" x14ac:dyDescent="0.3">
      <c r="A457" s="13" t="s">
        <v>489</v>
      </c>
      <c r="B457" s="13" t="s">
        <v>489</v>
      </c>
      <c r="C457" s="13" t="s">
        <v>490</v>
      </c>
      <c r="D457" s="13" t="s">
        <v>928</v>
      </c>
      <c r="E457" s="13" t="s">
        <v>439</v>
      </c>
      <c r="F457" s="13" t="s">
        <v>439</v>
      </c>
      <c r="G457" s="13" t="s">
        <v>8</v>
      </c>
      <c r="H457" s="13" t="s">
        <v>912</v>
      </c>
      <c r="I457" s="13" t="s">
        <v>1006</v>
      </c>
      <c r="J457" s="52">
        <v>0.61699999999999999</v>
      </c>
      <c r="K457" s="13" t="str">
        <f t="shared" si="7"/>
        <v>EC03_EC GRE ProSupp Server (MTP)</v>
      </c>
      <c r="L457" s="13" t="s">
        <v>2127</v>
      </c>
      <c r="M457" s="13" t="s">
        <v>1810</v>
      </c>
      <c r="N457" s="13">
        <v>4</v>
      </c>
      <c r="O457" s="13" t="s">
        <v>897</v>
      </c>
      <c r="P457" s="34" t="s">
        <v>1958</v>
      </c>
    </row>
    <row r="458" spans="1:17" ht="15" customHeight="1" collapsed="1" x14ac:dyDescent="0.3">
      <c r="A458" s="13" t="s">
        <v>495</v>
      </c>
      <c r="B458" s="13" t="s">
        <v>495</v>
      </c>
      <c r="C458" s="13" t="s">
        <v>496</v>
      </c>
      <c r="D458" s="13" t="s">
        <v>928</v>
      </c>
      <c r="E458" s="13" t="s">
        <v>439</v>
      </c>
      <c r="F458" s="13" t="s">
        <v>439</v>
      </c>
      <c r="G458" s="13" t="s">
        <v>8</v>
      </c>
      <c r="H458" s="13" t="s">
        <v>912</v>
      </c>
      <c r="I458" s="13" t="s">
        <v>1008</v>
      </c>
      <c r="J458" s="52">
        <v>0.61699999999999999</v>
      </c>
      <c r="K458" s="13" t="str">
        <f t="shared" si="7"/>
        <v>EC14_EC POL Enterprise (HAL)</v>
      </c>
      <c r="L458" s="13" t="s">
        <v>2127</v>
      </c>
      <c r="M458" s="13" t="s">
        <v>1810</v>
      </c>
      <c r="N458" s="13">
        <v>4</v>
      </c>
      <c r="O458" s="13" t="s">
        <v>897</v>
      </c>
      <c r="P458" s="34" t="s">
        <v>1958</v>
      </c>
    </row>
    <row r="459" spans="1:17" ht="15" customHeight="1" collapsed="1" x14ac:dyDescent="0.3">
      <c r="A459" s="13" t="s">
        <v>503</v>
      </c>
      <c r="B459" s="13" t="s">
        <v>503</v>
      </c>
      <c r="C459" s="13" t="s">
        <v>504</v>
      </c>
      <c r="D459" s="13" t="s">
        <v>928</v>
      </c>
      <c r="E459" s="13" t="s">
        <v>439</v>
      </c>
      <c r="F459" s="13" t="s">
        <v>439</v>
      </c>
      <c r="G459" s="13" t="s">
        <v>8</v>
      </c>
      <c r="H459" s="13" t="s">
        <v>912</v>
      </c>
      <c r="I459" s="13" t="s">
        <v>1008</v>
      </c>
      <c r="J459" s="52">
        <v>0.61699999999999999</v>
      </c>
      <c r="K459" s="13" t="str">
        <f t="shared" si="7"/>
        <v>EC33_EC ProSupp Server Turkish (HAL)</v>
      </c>
      <c r="L459" s="13" t="s">
        <v>2127</v>
      </c>
      <c r="M459" s="13" t="s">
        <v>1810</v>
      </c>
      <c r="N459" s="13">
        <v>4</v>
      </c>
      <c r="O459" s="13" t="s">
        <v>897</v>
      </c>
      <c r="P459" s="34" t="s">
        <v>1958</v>
      </c>
    </row>
    <row r="460" spans="1:17" ht="15" customHeight="1" collapsed="1" x14ac:dyDescent="0.3">
      <c r="A460" s="13" t="s">
        <v>281</v>
      </c>
      <c r="B460" s="13" t="s">
        <v>281</v>
      </c>
      <c r="C460" s="13" t="s">
        <v>282</v>
      </c>
      <c r="D460" s="13" t="s">
        <v>928</v>
      </c>
      <c r="E460" s="13" t="s">
        <v>266</v>
      </c>
      <c r="F460" s="13" t="s">
        <v>266</v>
      </c>
      <c r="G460" s="13" t="s">
        <v>8</v>
      </c>
      <c r="H460" s="13" t="s">
        <v>912</v>
      </c>
      <c r="I460" s="13" t="s">
        <v>1006</v>
      </c>
      <c r="J460" s="52">
        <v>0.61699999999999999</v>
      </c>
      <c r="K460" s="13" t="str">
        <f t="shared" si="7"/>
        <v>FR07_FRA Networking (MTP)</v>
      </c>
      <c r="L460" s="13" t="s">
        <v>2127</v>
      </c>
      <c r="M460" s="13" t="s">
        <v>1810</v>
      </c>
      <c r="N460" s="13">
        <v>7</v>
      </c>
      <c r="O460" s="13" t="s">
        <v>897</v>
      </c>
      <c r="P460" s="34" t="s">
        <v>1958</v>
      </c>
    </row>
    <row r="461" spans="1:17" ht="15" customHeight="1" collapsed="1" x14ac:dyDescent="0.3">
      <c r="A461" s="13" t="s">
        <v>632</v>
      </c>
      <c r="B461" s="13" t="s">
        <v>632</v>
      </c>
      <c r="C461" s="13" t="s">
        <v>633</v>
      </c>
      <c r="D461" s="13" t="s">
        <v>973</v>
      </c>
      <c r="E461" s="13" t="s">
        <v>609</v>
      </c>
      <c r="F461" s="13" t="s">
        <v>609</v>
      </c>
      <c r="G461" s="13" t="s">
        <v>8</v>
      </c>
      <c r="H461" s="13" t="s">
        <v>912</v>
      </c>
      <c r="I461" s="13" t="s">
        <v>1006</v>
      </c>
      <c r="J461" s="52">
        <v>0.61699999999999999</v>
      </c>
      <c r="K461" s="13" t="str">
        <f t="shared" si="7"/>
        <v>FR27_France Storage</v>
      </c>
      <c r="L461" s="13" t="s">
        <v>2130</v>
      </c>
      <c r="M461" s="13" t="s">
        <v>972</v>
      </c>
      <c r="N461" s="13">
        <v>7</v>
      </c>
      <c r="O461" s="13" t="s">
        <v>897</v>
      </c>
      <c r="P461" s="34" t="s">
        <v>1958</v>
      </c>
    </row>
    <row r="462" spans="1:17" ht="15" hidden="1" customHeight="1" collapsed="1" x14ac:dyDescent="0.3">
      <c r="A462" s="13" t="s">
        <v>2144</v>
      </c>
      <c r="B462" s="13" t="s">
        <v>523</v>
      </c>
      <c r="C462" s="13" t="s">
        <v>524</v>
      </c>
      <c r="D462" s="13" t="s">
        <v>928</v>
      </c>
      <c r="E462" s="13" t="s">
        <v>439</v>
      </c>
      <c r="F462" s="13" t="s">
        <v>439</v>
      </c>
      <c r="G462" s="13" t="s">
        <v>8</v>
      </c>
      <c r="H462" s="13" t="s">
        <v>912</v>
      </c>
      <c r="I462" s="13" t="s">
        <v>938</v>
      </c>
      <c r="J462" s="14">
        <v>0.61699999999999999</v>
      </c>
      <c r="K462" s="13" t="str">
        <f t="shared" si="7"/>
        <v>GB11_ENG Modular (CWD)</v>
      </c>
      <c r="L462" s="13" t="s">
        <v>1963</v>
      </c>
      <c r="M462" s="13" t="s">
        <v>1810</v>
      </c>
      <c r="N462" s="13">
        <v>8</v>
      </c>
      <c r="O462" s="13" t="s">
        <v>897</v>
      </c>
      <c r="P462" s="34" t="s">
        <v>1958</v>
      </c>
      <c r="Q462" s="13" t="s">
        <v>2133</v>
      </c>
    </row>
    <row r="463" spans="1:17" ht="15" hidden="1" customHeight="1" collapsed="1" x14ac:dyDescent="0.3">
      <c r="A463" s="13" t="s">
        <v>2144</v>
      </c>
      <c r="B463" s="13" t="s">
        <v>527</v>
      </c>
      <c r="C463" s="13" t="s">
        <v>528</v>
      </c>
      <c r="D463" s="13" t="s">
        <v>928</v>
      </c>
      <c r="E463" s="13" t="s">
        <v>439</v>
      </c>
      <c r="F463" s="13" t="s">
        <v>439</v>
      </c>
      <c r="G463" s="13" t="s">
        <v>8</v>
      </c>
      <c r="H463" s="13" t="s">
        <v>912</v>
      </c>
      <c r="I463" s="13" t="s">
        <v>938</v>
      </c>
      <c r="J463" s="14">
        <v>0.61699999999999999</v>
      </c>
      <c r="K463" s="13" t="str">
        <f t="shared" si="7"/>
        <v>GB16_ENG ProSupp Server 247 (CWD)</v>
      </c>
      <c r="L463" s="13" t="s">
        <v>1963</v>
      </c>
      <c r="M463" s="13" t="s">
        <v>1810</v>
      </c>
      <c r="N463" s="13">
        <v>8</v>
      </c>
      <c r="O463" s="13" t="s">
        <v>897</v>
      </c>
      <c r="P463" s="34" t="s">
        <v>1958</v>
      </c>
      <c r="Q463" s="13" t="s">
        <v>2133</v>
      </c>
    </row>
    <row r="464" spans="1:17" ht="15" customHeight="1" collapsed="1" x14ac:dyDescent="0.3">
      <c r="A464" s="13" t="s">
        <v>1889</v>
      </c>
      <c r="B464" s="13" t="s">
        <v>1889</v>
      </c>
      <c r="C464" s="13" t="s">
        <v>1890</v>
      </c>
      <c r="D464" s="13" t="s">
        <v>973</v>
      </c>
      <c r="E464" s="13" t="s">
        <v>609</v>
      </c>
      <c r="F464" s="13" t="s">
        <v>609</v>
      </c>
      <c r="G464" s="13" t="s">
        <v>8</v>
      </c>
      <c r="H464" s="13" t="s">
        <v>929</v>
      </c>
      <c r="I464" s="13" t="s">
        <v>929</v>
      </c>
      <c r="J464" s="52">
        <v>0.63300000000000001</v>
      </c>
      <c r="K464" s="13" t="str">
        <f t="shared" si="7"/>
        <v>GM01_Global Midrange</v>
      </c>
      <c r="L464" s="13" t="s">
        <v>2130</v>
      </c>
      <c r="M464" s="13" t="s">
        <v>972</v>
      </c>
      <c r="N464" s="13">
        <v>24</v>
      </c>
      <c r="O464" s="13" t="s">
        <v>897</v>
      </c>
      <c r="P464" s="34" t="s">
        <v>1958</v>
      </c>
    </row>
    <row r="465" spans="1:17" ht="15" customHeight="1" collapsed="1" x14ac:dyDescent="0.3">
      <c r="A465" s="13" t="s">
        <v>647</v>
      </c>
      <c r="B465" s="13" t="s">
        <v>647</v>
      </c>
      <c r="C465" s="13" t="s">
        <v>646</v>
      </c>
      <c r="D465" s="13" t="s">
        <v>973</v>
      </c>
      <c r="E465" s="13" t="s">
        <v>609</v>
      </c>
      <c r="F465" s="13" t="s">
        <v>609</v>
      </c>
      <c r="G465" s="13" t="s">
        <v>8</v>
      </c>
      <c r="H465" s="13" t="s">
        <v>929</v>
      </c>
      <c r="I465" s="13" t="s">
        <v>929</v>
      </c>
      <c r="J465" s="52">
        <v>0.63300000000000001</v>
      </c>
      <c r="K465" s="13" t="str">
        <f t="shared" si="7"/>
        <v>GP01_Global Powerstore</v>
      </c>
      <c r="L465" s="13" t="s">
        <v>2130</v>
      </c>
      <c r="M465" s="13" t="s">
        <v>972</v>
      </c>
      <c r="N465" s="13">
        <v>24</v>
      </c>
      <c r="O465" s="13" t="s">
        <v>897</v>
      </c>
      <c r="P465" s="34" t="s">
        <v>1958</v>
      </c>
    </row>
    <row r="466" spans="1:17" ht="15" customHeight="1" collapsed="1" x14ac:dyDescent="0.3">
      <c r="A466" s="13" t="s">
        <v>820</v>
      </c>
      <c r="B466" s="13" t="s">
        <v>820</v>
      </c>
      <c r="C466" s="13" t="s">
        <v>821</v>
      </c>
      <c r="D466" s="13" t="s">
        <v>965</v>
      </c>
      <c r="E466" s="13" t="s">
        <v>865</v>
      </c>
      <c r="F466" s="13" t="s">
        <v>865</v>
      </c>
      <c r="G466" s="13" t="s">
        <v>8</v>
      </c>
      <c r="H466" s="13" t="s">
        <v>929</v>
      </c>
      <c r="I466" s="13" t="s">
        <v>929</v>
      </c>
      <c r="J466" s="52">
        <v>0.63300000000000001</v>
      </c>
      <c r="K466" s="13" t="str">
        <f t="shared" si="7"/>
        <v>GT06_Global Inbound Support Team</v>
      </c>
      <c r="L466" s="13" t="s">
        <v>2128</v>
      </c>
      <c r="M466" s="13" t="s">
        <v>2120</v>
      </c>
      <c r="N466" s="13">
        <v>14</v>
      </c>
      <c r="O466" s="13" t="s">
        <v>897</v>
      </c>
      <c r="P466" s="34" t="s">
        <v>1958</v>
      </c>
    </row>
    <row r="467" spans="1:17" ht="15" customHeight="1" collapsed="1" x14ac:dyDescent="0.3">
      <c r="A467" s="13" t="s">
        <v>533</v>
      </c>
      <c r="B467" s="13" t="s">
        <v>533</v>
      </c>
      <c r="C467" s="13" t="s">
        <v>534</v>
      </c>
      <c r="D467" s="13" t="s">
        <v>914</v>
      </c>
      <c r="E467" s="13" t="s">
        <v>439</v>
      </c>
      <c r="F467" s="13" t="s">
        <v>439</v>
      </c>
      <c r="G467" s="13" t="s">
        <v>8</v>
      </c>
      <c r="H467" s="13" t="s">
        <v>903</v>
      </c>
      <c r="I467" s="13" t="s">
        <v>1064</v>
      </c>
      <c r="J467" s="52">
        <v>0.629</v>
      </c>
      <c r="K467" s="13" t="str">
        <f t="shared" si="7"/>
        <v>ID06_Enterprise Pro/Core ID</v>
      </c>
      <c r="L467" s="13" t="s">
        <v>2128</v>
      </c>
      <c r="M467" s="13" t="s">
        <v>2120</v>
      </c>
      <c r="N467" s="13">
        <v>4</v>
      </c>
      <c r="O467" s="13" t="s">
        <v>897</v>
      </c>
      <c r="P467" s="34" t="s">
        <v>1958</v>
      </c>
    </row>
    <row r="468" spans="1:17" ht="15" customHeight="1" collapsed="1" x14ac:dyDescent="0.3">
      <c r="A468" s="13" t="s">
        <v>648</v>
      </c>
      <c r="B468" s="13" t="s">
        <v>648</v>
      </c>
      <c r="C468" s="13" t="s">
        <v>649</v>
      </c>
      <c r="D468" s="13" t="s">
        <v>914</v>
      </c>
      <c r="E468" s="13" t="s">
        <v>609</v>
      </c>
      <c r="F468" s="13" t="s">
        <v>609</v>
      </c>
      <c r="G468" s="13" t="s">
        <v>8</v>
      </c>
      <c r="H468" s="13" t="s">
        <v>903</v>
      </c>
      <c r="I468" s="13" t="s">
        <v>906</v>
      </c>
      <c r="J468" s="52">
        <v>0.629</v>
      </c>
      <c r="K468" s="13" t="str">
        <f t="shared" si="7"/>
        <v>IN14_Storage IND</v>
      </c>
      <c r="L468" s="13" t="s">
        <v>2128</v>
      </c>
      <c r="M468" s="13" t="s">
        <v>2120</v>
      </c>
      <c r="N468" s="13">
        <v>8</v>
      </c>
      <c r="O468" s="13" t="s">
        <v>897</v>
      </c>
      <c r="P468" s="34" t="s">
        <v>1958</v>
      </c>
    </row>
    <row r="469" spans="1:17" ht="15" customHeight="1" collapsed="1" x14ac:dyDescent="0.3">
      <c r="A469" s="13" t="s">
        <v>537</v>
      </c>
      <c r="B469" s="13" t="s">
        <v>537</v>
      </c>
      <c r="C469" s="13" t="s">
        <v>538</v>
      </c>
      <c r="D469" s="13" t="s">
        <v>914</v>
      </c>
      <c r="E469" s="13" t="s">
        <v>439</v>
      </c>
      <c r="F469" s="13" t="s">
        <v>439</v>
      </c>
      <c r="G469" s="13" t="s">
        <v>8</v>
      </c>
      <c r="H469" s="13" t="s">
        <v>903</v>
      </c>
      <c r="I469" s="13" t="s">
        <v>906</v>
      </c>
      <c r="J469" s="52">
        <v>0.629</v>
      </c>
      <c r="K469" s="13" t="str">
        <f t="shared" si="7"/>
        <v>IN16_Server ProSupport IND</v>
      </c>
      <c r="L469" s="13" t="s">
        <v>2128</v>
      </c>
      <c r="M469" s="13" t="s">
        <v>2120</v>
      </c>
      <c r="N469" s="13">
        <v>8</v>
      </c>
      <c r="O469" s="13" t="s">
        <v>897</v>
      </c>
      <c r="P469" s="34" t="s">
        <v>1958</v>
      </c>
    </row>
    <row r="470" spans="1:17" ht="15" customHeight="1" collapsed="1" x14ac:dyDescent="0.3">
      <c r="A470" s="13" t="s">
        <v>285</v>
      </c>
      <c r="B470" s="13" t="s">
        <v>285</v>
      </c>
      <c r="C470" s="13" t="s">
        <v>286</v>
      </c>
      <c r="D470" s="13" t="s">
        <v>914</v>
      </c>
      <c r="E470" s="13" t="s">
        <v>266</v>
      </c>
      <c r="F470" s="13" t="s">
        <v>266</v>
      </c>
      <c r="G470" s="13" t="s">
        <v>8</v>
      </c>
      <c r="H470" s="13" t="s">
        <v>903</v>
      </c>
      <c r="I470" s="13" t="s">
        <v>906</v>
      </c>
      <c r="J470" s="52">
        <v>0.629</v>
      </c>
      <c r="K470" s="13" t="str">
        <f t="shared" si="7"/>
        <v>INT1_Networking IND</v>
      </c>
      <c r="L470" s="13" t="s">
        <v>2128</v>
      </c>
      <c r="M470" s="13" t="s">
        <v>2120</v>
      </c>
      <c r="N470" s="13">
        <v>8</v>
      </c>
      <c r="O470" s="13" t="s">
        <v>897</v>
      </c>
      <c r="P470" s="34" t="s">
        <v>1958</v>
      </c>
    </row>
    <row r="471" spans="1:17" ht="15" customHeight="1" collapsed="1" x14ac:dyDescent="0.3">
      <c r="A471" s="13" t="s">
        <v>543</v>
      </c>
      <c r="B471" s="13" t="s">
        <v>543</v>
      </c>
      <c r="C471" s="13" t="s">
        <v>544</v>
      </c>
      <c r="D471" s="13" t="s">
        <v>914</v>
      </c>
      <c r="E471" s="13" t="s">
        <v>439</v>
      </c>
      <c r="F471" s="13" t="s">
        <v>439</v>
      </c>
      <c r="G471" s="13" t="s">
        <v>8</v>
      </c>
      <c r="H471" s="13" t="s">
        <v>903</v>
      </c>
      <c r="I471" s="13" t="s">
        <v>918</v>
      </c>
      <c r="J471" s="52">
        <v>0.629</v>
      </c>
      <c r="K471" s="13" t="str">
        <f t="shared" si="7"/>
        <v>JP24_Server Pro/Core Japan</v>
      </c>
      <c r="L471" s="13" t="s">
        <v>2128</v>
      </c>
      <c r="M471" s="13" t="s">
        <v>2120</v>
      </c>
      <c r="N471" s="13">
        <v>8</v>
      </c>
      <c r="O471" s="13" t="s">
        <v>897</v>
      </c>
      <c r="P471" s="34" t="s">
        <v>1958</v>
      </c>
    </row>
    <row r="472" spans="1:17" ht="15" customHeight="1" collapsed="1" x14ac:dyDescent="0.3">
      <c r="A472" s="13" t="s">
        <v>650</v>
      </c>
      <c r="B472" s="13" t="s">
        <v>650</v>
      </c>
      <c r="C472" s="13" t="s">
        <v>651</v>
      </c>
      <c r="D472" s="13" t="s">
        <v>914</v>
      </c>
      <c r="E472" s="13" t="s">
        <v>609</v>
      </c>
      <c r="F472" s="13" t="s">
        <v>609</v>
      </c>
      <c r="G472" s="13" t="s">
        <v>8</v>
      </c>
      <c r="H472" s="13" t="s">
        <v>903</v>
      </c>
      <c r="I472" s="13" t="s">
        <v>918</v>
      </c>
      <c r="J472" s="52">
        <v>0.629</v>
      </c>
      <c r="K472" s="13" t="str">
        <f t="shared" si="7"/>
        <v>JP25_Storage Pro/Core Japan</v>
      </c>
      <c r="L472" s="13" t="s">
        <v>2128</v>
      </c>
      <c r="M472" s="13" t="s">
        <v>2120</v>
      </c>
      <c r="N472" s="13">
        <v>8</v>
      </c>
      <c r="O472" s="13" t="s">
        <v>897</v>
      </c>
      <c r="P472" s="34" t="s">
        <v>1958</v>
      </c>
    </row>
    <row r="473" spans="1:17" ht="15" customHeight="1" collapsed="1" x14ac:dyDescent="0.3">
      <c r="A473" s="13" t="s">
        <v>545</v>
      </c>
      <c r="B473" s="13" t="s">
        <v>545</v>
      </c>
      <c r="C473" s="13" t="s">
        <v>546</v>
      </c>
      <c r="D473" s="13" t="s">
        <v>914</v>
      </c>
      <c r="E473" s="13" t="s">
        <v>439</v>
      </c>
      <c r="F473" s="13" t="s">
        <v>439</v>
      </c>
      <c r="G473" s="13" t="s">
        <v>8</v>
      </c>
      <c r="H473" s="13" t="s">
        <v>903</v>
      </c>
      <c r="I473" s="13" t="s">
        <v>918</v>
      </c>
      <c r="J473" s="52">
        <v>0.629</v>
      </c>
      <c r="K473" s="13" t="str">
        <f t="shared" si="7"/>
        <v>JP26_Server ProSupport Plus Japan</v>
      </c>
      <c r="L473" s="13" t="s">
        <v>2128</v>
      </c>
      <c r="M473" s="13" t="s">
        <v>2120</v>
      </c>
      <c r="N473" s="13">
        <v>8</v>
      </c>
      <c r="O473" s="13" t="s">
        <v>897</v>
      </c>
      <c r="P473" s="34" t="s">
        <v>1958</v>
      </c>
    </row>
    <row r="474" spans="1:17" ht="15" customHeight="1" collapsed="1" x14ac:dyDescent="0.3">
      <c r="A474" s="13" t="s">
        <v>287</v>
      </c>
      <c r="B474" s="13" t="s">
        <v>287</v>
      </c>
      <c r="C474" s="13" t="s">
        <v>288</v>
      </c>
      <c r="D474" s="13" t="s">
        <v>914</v>
      </c>
      <c r="E474" s="13" t="s">
        <v>266</v>
      </c>
      <c r="F474" s="13" t="s">
        <v>266</v>
      </c>
      <c r="G474" s="13" t="s">
        <v>8</v>
      </c>
      <c r="H474" s="13" t="s">
        <v>903</v>
      </c>
      <c r="I474" s="13" t="s">
        <v>918</v>
      </c>
      <c r="J474" s="52">
        <v>0.629</v>
      </c>
      <c r="K474" s="13" t="str">
        <f t="shared" si="7"/>
        <v>JP29_Networking Pro/Core Japan</v>
      </c>
      <c r="L474" s="13" t="s">
        <v>2128</v>
      </c>
      <c r="M474" s="13" t="s">
        <v>2120</v>
      </c>
      <c r="N474" s="13">
        <v>8</v>
      </c>
      <c r="O474" s="13" t="s">
        <v>897</v>
      </c>
      <c r="P474" s="34" t="s">
        <v>1958</v>
      </c>
    </row>
    <row r="475" spans="1:17" ht="15" customHeight="1" collapsed="1" x14ac:dyDescent="0.3">
      <c r="A475" s="13" t="s">
        <v>547</v>
      </c>
      <c r="B475" s="13" t="s">
        <v>547</v>
      </c>
      <c r="C475" s="13" t="s">
        <v>1966</v>
      </c>
      <c r="D475" s="13" t="s">
        <v>914</v>
      </c>
      <c r="E475" s="13" t="s">
        <v>439</v>
      </c>
      <c r="F475" s="13" t="s">
        <v>439</v>
      </c>
      <c r="G475" s="13" t="s">
        <v>8</v>
      </c>
      <c r="H475" s="13" t="s">
        <v>903</v>
      </c>
      <c r="I475" s="13" t="s">
        <v>1063</v>
      </c>
      <c r="J475" s="52">
        <v>0.629</v>
      </c>
      <c r="K475" s="13" t="str">
        <f t="shared" si="7"/>
        <v>KR05_KOR Compute Basic Korean</v>
      </c>
      <c r="L475" s="13" t="s">
        <v>2128</v>
      </c>
      <c r="M475" s="13" t="s">
        <v>2120</v>
      </c>
      <c r="N475" s="13">
        <v>8</v>
      </c>
      <c r="O475" s="13" t="s">
        <v>897</v>
      </c>
      <c r="P475" s="34" t="s">
        <v>1958</v>
      </c>
    </row>
    <row r="476" spans="1:17" ht="15" customHeight="1" collapsed="1" x14ac:dyDescent="0.3">
      <c r="A476" s="13" t="s">
        <v>652</v>
      </c>
      <c r="B476" s="13" t="s">
        <v>652</v>
      </c>
      <c r="C476" s="13" t="s">
        <v>1965</v>
      </c>
      <c r="D476" s="13" t="s">
        <v>914</v>
      </c>
      <c r="E476" s="13" t="s">
        <v>609</v>
      </c>
      <c r="F476" s="13" t="s">
        <v>609</v>
      </c>
      <c r="G476" s="13" t="s">
        <v>8</v>
      </c>
      <c r="H476" s="13" t="s">
        <v>903</v>
      </c>
      <c r="I476" s="13" t="s">
        <v>1063</v>
      </c>
      <c r="J476" s="52">
        <v>0.629</v>
      </c>
      <c r="K476" s="13" t="str">
        <f t="shared" si="7"/>
        <v>KR11_KOR Storage Upsell Korean</v>
      </c>
      <c r="L476" s="13" t="s">
        <v>2128</v>
      </c>
      <c r="M476" s="13" t="s">
        <v>2120</v>
      </c>
      <c r="N476" s="13">
        <v>8</v>
      </c>
      <c r="O476" s="13" t="s">
        <v>897</v>
      </c>
      <c r="P476" s="34" t="s">
        <v>1958</v>
      </c>
    </row>
    <row r="477" spans="1:17" ht="15" customHeight="1" collapsed="1" x14ac:dyDescent="0.3">
      <c r="A477" s="13" t="s">
        <v>549</v>
      </c>
      <c r="B477" s="13" t="s">
        <v>549</v>
      </c>
      <c r="C477" s="13" t="s">
        <v>1964</v>
      </c>
      <c r="D477" s="13" t="s">
        <v>914</v>
      </c>
      <c r="E477" s="13" t="s">
        <v>439</v>
      </c>
      <c r="F477" s="13" t="s">
        <v>439</v>
      </c>
      <c r="G477" s="13" t="s">
        <v>8</v>
      </c>
      <c r="H477" s="13" t="s">
        <v>903</v>
      </c>
      <c r="I477" s="13" t="s">
        <v>1063</v>
      </c>
      <c r="J477" s="52">
        <v>0.629</v>
      </c>
      <c r="K477" s="13" t="str">
        <f t="shared" si="7"/>
        <v>KR12_KOR Compute Upsell Korean</v>
      </c>
      <c r="L477" s="13" t="s">
        <v>2128</v>
      </c>
      <c r="M477" s="13" t="s">
        <v>2120</v>
      </c>
      <c r="N477" s="13">
        <v>8</v>
      </c>
      <c r="O477" s="13" t="s">
        <v>897</v>
      </c>
      <c r="P477" s="34" t="s">
        <v>1958</v>
      </c>
    </row>
    <row r="478" spans="1:17" ht="15" customHeight="1" collapsed="1" x14ac:dyDescent="0.3">
      <c r="A478" s="13" t="s">
        <v>289</v>
      </c>
      <c r="B478" s="13" t="s">
        <v>289</v>
      </c>
      <c r="C478" s="13" t="s">
        <v>1967</v>
      </c>
      <c r="D478" s="13" t="s">
        <v>914</v>
      </c>
      <c r="E478" s="13" t="s">
        <v>266</v>
      </c>
      <c r="F478" s="13" t="s">
        <v>266</v>
      </c>
      <c r="G478" s="13" t="s">
        <v>8</v>
      </c>
      <c r="H478" s="13" t="s">
        <v>903</v>
      </c>
      <c r="I478" s="13" t="s">
        <v>1063</v>
      </c>
      <c r="J478" s="52">
        <v>0.629</v>
      </c>
      <c r="K478" s="13" t="str">
        <f t="shared" si="7"/>
        <v>KR13_KOR Networking Upsell Korean</v>
      </c>
      <c r="L478" s="13" t="s">
        <v>2128</v>
      </c>
      <c r="M478" s="13" t="s">
        <v>2120</v>
      </c>
      <c r="N478" s="13">
        <v>8</v>
      </c>
      <c r="O478" s="13" t="s">
        <v>897</v>
      </c>
      <c r="P478" s="34" t="s">
        <v>1958</v>
      </c>
    </row>
    <row r="479" spans="1:17" ht="15" hidden="1" customHeight="1" collapsed="1" x14ac:dyDescent="0.3">
      <c r="A479" s="13" t="s">
        <v>2144</v>
      </c>
      <c r="B479" s="13" t="s">
        <v>853</v>
      </c>
      <c r="C479" s="13" t="s">
        <v>854</v>
      </c>
      <c r="D479" s="13" t="s">
        <v>928</v>
      </c>
      <c r="E479" s="13" t="s">
        <v>852</v>
      </c>
      <c r="F479" s="13" t="s">
        <v>5</v>
      </c>
      <c r="G479" s="13" t="s">
        <v>8</v>
      </c>
      <c r="H479" s="13" t="s">
        <v>912</v>
      </c>
      <c r="I479" s="13" t="s">
        <v>938</v>
      </c>
      <c r="J479" s="14">
        <v>0.61699999999999999</v>
      </c>
      <c r="K479" s="13" t="str">
        <f t="shared" si="7"/>
        <v>LOS0_EMEA Solutions MS (ENG)</v>
      </c>
      <c r="L479" s="13" t="s">
        <v>1963</v>
      </c>
      <c r="M479" s="13" t="s">
        <v>1810</v>
      </c>
      <c r="N479" s="13">
        <v>7</v>
      </c>
      <c r="O479" s="13" t="s">
        <v>897</v>
      </c>
      <c r="P479" s="34" t="s">
        <v>1958</v>
      </c>
      <c r="Q479" s="13" t="s">
        <v>2134</v>
      </c>
    </row>
    <row r="480" spans="1:17" ht="15" hidden="1" customHeight="1" collapsed="1" x14ac:dyDescent="0.3">
      <c r="A480" s="13" t="s">
        <v>2144</v>
      </c>
      <c r="B480" s="13" t="s">
        <v>855</v>
      </c>
      <c r="C480" s="13" t="s">
        <v>856</v>
      </c>
      <c r="D480" s="13" t="s">
        <v>928</v>
      </c>
      <c r="E480" s="13" t="s">
        <v>852</v>
      </c>
      <c r="F480" s="13" t="s">
        <v>5</v>
      </c>
      <c r="G480" s="13" t="s">
        <v>8</v>
      </c>
      <c r="H480" s="13" t="s">
        <v>912</v>
      </c>
      <c r="I480" s="13" t="s">
        <v>938</v>
      </c>
      <c r="J480" s="14">
        <v>0.61699999999999999</v>
      </c>
      <c r="K480" s="13" t="str">
        <f t="shared" si="7"/>
        <v>LOS1_EMEA Solutions HCI (ENG)</v>
      </c>
      <c r="L480" s="13" t="s">
        <v>1963</v>
      </c>
      <c r="M480" s="13" t="s">
        <v>1810</v>
      </c>
      <c r="N480" s="13">
        <v>7</v>
      </c>
      <c r="O480" s="13" t="s">
        <v>897</v>
      </c>
      <c r="P480" s="34" t="s">
        <v>1958</v>
      </c>
      <c r="Q480" s="13" t="s">
        <v>2135</v>
      </c>
    </row>
    <row r="481" spans="1:17" ht="15" hidden="1" customHeight="1" collapsed="1" x14ac:dyDescent="0.3">
      <c r="A481" s="13" t="s">
        <v>2144</v>
      </c>
      <c r="B481" s="13" t="s">
        <v>857</v>
      </c>
      <c r="C481" s="13" t="s">
        <v>858</v>
      </c>
      <c r="D481" s="13" t="s">
        <v>928</v>
      </c>
      <c r="E481" s="13" t="s">
        <v>852</v>
      </c>
      <c r="F481" s="13" t="s">
        <v>5</v>
      </c>
      <c r="G481" s="13" t="s">
        <v>8</v>
      </c>
      <c r="H481" s="13" t="s">
        <v>912</v>
      </c>
      <c r="I481" s="13" t="s">
        <v>1006</v>
      </c>
      <c r="J481" s="14">
        <v>0.61699999999999999</v>
      </c>
      <c r="K481" s="13" t="str">
        <f t="shared" si="7"/>
        <v>LOS2_EMEA Solutions MS (FRA)</v>
      </c>
      <c r="L481" s="13" t="s">
        <v>1963</v>
      </c>
      <c r="M481" s="13" t="s">
        <v>1810</v>
      </c>
      <c r="N481" s="13">
        <v>7</v>
      </c>
      <c r="O481" s="13" t="s">
        <v>897</v>
      </c>
      <c r="P481" s="34" t="s">
        <v>1958</v>
      </c>
      <c r="Q481" s="13" t="s">
        <v>2134</v>
      </c>
    </row>
    <row r="482" spans="1:17" ht="15" hidden="1" customHeight="1" collapsed="1" x14ac:dyDescent="0.3">
      <c r="A482" s="13" t="s">
        <v>2144</v>
      </c>
      <c r="B482" s="13" t="s">
        <v>859</v>
      </c>
      <c r="C482" s="13" t="s">
        <v>860</v>
      </c>
      <c r="D482" s="13" t="s">
        <v>928</v>
      </c>
      <c r="E482" s="13" t="s">
        <v>852</v>
      </c>
      <c r="F482" s="13" t="s">
        <v>5</v>
      </c>
      <c r="G482" s="13" t="s">
        <v>8</v>
      </c>
      <c r="H482" s="13" t="s">
        <v>912</v>
      </c>
      <c r="I482" s="13" t="s">
        <v>1006</v>
      </c>
      <c r="J482" s="14">
        <v>0.61699999999999999</v>
      </c>
      <c r="K482" s="13" t="str">
        <f t="shared" si="7"/>
        <v>LOS3_EMEA Solutions HCI (FRA)</v>
      </c>
      <c r="L482" s="13" t="s">
        <v>1963</v>
      </c>
      <c r="M482" s="13" t="s">
        <v>1810</v>
      </c>
      <c r="N482" s="13">
        <v>7</v>
      </c>
      <c r="O482" s="13" t="s">
        <v>897</v>
      </c>
      <c r="P482" s="34" t="s">
        <v>1958</v>
      </c>
      <c r="Q482" s="13" t="s">
        <v>2135</v>
      </c>
    </row>
    <row r="483" spans="1:17" ht="15" hidden="1" customHeight="1" collapsed="1" x14ac:dyDescent="0.3">
      <c r="A483" s="13" t="s">
        <v>2144</v>
      </c>
      <c r="B483" s="13" t="s">
        <v>861</v>
      </c>
      <c r="C483" s="13" t="s">
        <v>862</v>
      </c>
      <c r="D483" s="13" t="s">
        <v>928</v>
      </c>
      <c r="E483" s="13" t="s">
        <v>852</v>
      </c>
      <c r="F483" s="13" t="s">
        <v>5</v>
      </c>
      <c r="G483" s="13" t="s">
        <v>8</v>
      </c>
      <c r="H483" s="13" t="s">
        <v>912</v>
      </c>
      <c r="I483" s="13" t="s">
        <v>1008</v>
      </c>
      <c r="J483" s="14">
        <v>0.61699999999999999</v>
      </c>
      <c r="K483" s="13" t="str">
        <f t="shared" si="7"/>
        <v>LOS4_EMEA Solutions MS (GER)</v>
      </c>
      <c r="L483" s="13" t="s">
        <v>1963</v>
      </c>
      <c r="M483" s="13" t="s">
        <v>1810</v>
      </c>
      <c r="N483" s="13">
        <v>7</v>
      </c>
      <c r="O483" s="13" t="s">
        <v>897</v>
      </c>
      <c r="P483" s="34" t="s">
        <v>1958</v>
      </c>
      <c r="Q483" s="13" t="s">
        <v>2134</v>
      </c>
    </row>
    <row r="484" spans="1:17" ht="15" hidden="1" customHeight="1" collapsed="1" x14ac:dyDescent="0.3">
      <c r="A484" s="13" t="s">
        <v>2144</v>
      </c>
      <c r="B484" s="13" t="s">
        <v>863</v>
      </c>
      <c r="C484" s="13" t="s">
        <v>864</v>
      </c>
      <c r="D484" s="13" t="s">
        <v>928</v>
      </c>
      <c r="E484" s="13" t="s">
        <v>852</v>
      </c>
      <c r="F484" s="13" t="s">
        <v>5</v>
      </c>
      <c r="G484" s="13" t="s">
        <v>8</v>
      </c>
      <c r="H484" s="13" t="s">
        <v>912</v>
      </c>
      <c r="I484" s="13" t="s">
        <v>1008</v>
      </c>
      <c r="J484" s="14">
        <v>0.61699999999999999</v>
      </c>
      <c r="K484" s="13" t="str">
        <f t="shared" si="7"/>
        <v>LOS5_EMEA Solutions HCI (GER)</v>
      </c>
      <c r="L484" s="13" t="s">
        <v>1963</v>
      </c>
      <c r="M484" s="13" t="s">
        <v>1810</v>
      </c>
      <c r="N484" s="13">
        <v>7</v>
      </c>
      <c r="O484" s="13" t="s">
        <v>897</v>
      </c>
      <c r="P484" s="34" t="s">
        <v>1958</v>
      </c>
      <c r="Q484" s="13" t="s">
        <v>2135</v>
      </c>
    </row>
    <row r="485" spans="1:17" ht="15" customHeight="1" collapsed="1" x14ac:dyDescent="0.3">
      <c r="A485" s="13" t="s">
        <v>551</v>
      </c>
      <c r="B485" s="13" t="s">
        <v>551</v>
      </c>
      <c r="C485" s="13" t="s">
        <v>1867</v>
      </c>
      <c r="D485" s="13" t="s">
        <v>928</v>
      </c>
      <c r="E485" s="13" t="s">
        <v>439</v>
      </c>
      <c r="F485" s="13" t="s">
        <v>439</v>
      </c>
      <c r="G485" s="13" t="s">
        <v>8</v>
      </c>
      <c r="H485" s="13" t="s">
        <v>935</v>
      </c>
      <c r="I485" s="13" t="s">
        <v>1069</v>
      </c>
      <c r="J485" s="52">
        <v>0.64100000000000001</v>
      </c>
      <c r="K485" s="13" t="str">
        <f t="shared" si="7"/>
        <v>MR03_LATAM Compute Spanish</v>
      </c>
      <c r="L485" s="13" t="s">
        <v>2131</v>
      </c>
      <c r="M485" s="13" t="s">
        <v>1885</v>
      </c>
      <c r="N485" s="13">
        <v>16</v>
      </c>
      <c r="O485" s="13" t="s">
        <v>897</v>
      </c>
      <c r="P485" s="34" t="s">
        <v>1958</v>
      </c>
    </row>
    <row r="486" spans="1:17" ht="15" customHeight="1" collapsed="1" x14ac:dyDescent="0.3">
      <c r="A486" s="13" t="s">
        <v>654</v>
      </c>
      <c r="B486" s="13" t="s">
        <v>654</v>
      </c>
      <c r="C486" s="13" t="s">
        <v>655</v>
      </c>
      <c r="D486" s="13" t="s">
        <v>914</v>
      </c>
      <c r="E486" s="13" t="s">
        <v>609</v>
      </c>
      <c r="F486" s="13" t="s">
        <v>609</v>
      </c>
      <c r="G486" s="13" t="s">
        <v>8</v>
      </c>
      <c r="H486" s="13" t="s">
        <v>903</v>
      </c>
      <c r="I486" s="13" t="s">
        <v>1064</v>
      </c>
      <c r="J486" s="52">
        <v>0.629</v>
      </c>
      <c r="K486" s="13" t="str">
        <f t="shared" si="7"/>
        <v>MY14_Storage ProSupport SA</v>
      </c>
      <c r="L486" s="13" t="s">
        <v>2128</v>
      </c>
      <c r="M486" s="13" t="s">
        <v>2120</v>
      </c>
      <c r="N486" s="13">
        <v>8</v>
      </c>
      <c r="O486" s="13" t="s">
        <v>897</v>
      </c>
      <c r="P486" s="34" t="s">
        <v>1958</v>
      </c>
    </row>
    <row r="487" spans="1:17" ht="15" hidden="1" customHeight="1" collapsed="1" x14ac:dyDescent="0.3">
      <c r="A487" s="13" t="s">
        <v>2144</v>
      </c>
      <c r="B487" s="13" t="s">
        <v>1891</v>
      </c>
      <c r="C487" s="13" t="s">
        <v>1892</v>
      </c>
      <c r="D487" s="13" t="s">
        <v>928</v>
      </c>
      <c r="E487" s="13" t="s">
        <v>439</v>
      </c>
      <c r="F487" s="13" t="s">
        <v>439</v>
      </c>
      <c r="G487" s="13" t="s">
        <v>8</v>
      </c>
      <c r="H487" s="13" t="s">
        <v>893</v>
      </c>
      <c r="I487" s="13" t="s">
        <v>894</v>
      </c>
      <c r="J487" s="14">
        <v>0.64800000000000002</v>
      </c>
      <c r="K487" s="13" t="str">
        <f t="shared" si="7"/>
        <v>NA01_NA Compute Pro Support</v>
      </c>
      <c r="L487" s="13" t="s">
        <v>1963</v>
      </c>
      <c r="M487" s="13" t="s">
        <v>1810</v>
      </c>
      <c r="N487" s="13">
        <v>24</v>
      </c>
      <c r="O487" s="13" t="s">
        <v>897</v>
      </c>
      <c r="P487" s="34" t="s">
        <v>1958</v>
      </c>
      <c r="Q487" s="13" t="s">
        <v>2133</v>
      </c>
    </row>
    <row r="488" spans="1:17" ht="15" customHeight="1" collapsed="1" x14ac:dyDescent="0.3">
      <c r="A488" s="13" t="s">
        <v>553</v>
      </c>
      <c r="B488" s="13" t="s">
        <v>553</v>
      </c>
      <c r="C488" s="13" t="s">
        <v>554</v>
      </c>
      <c r="D488" s="13" t="s">
        <v>928</v>
      </c>
      <c r="E488" s="13" t="s">
        <v>439</v>
      </c>
      <c r="F488" s="13" t="s">
        <v>439</v>
      </c>
      <c r="G488" s="13" t="s">
        <v>8</v>
      </c>
      <c r="H488" s="13" t="s">
        <v>912</v>
      </c>
      <c r="I488" s="13" t="s">
        <v>938</v>
      </c>
      <c r="J488" s="52">
        <v>0.61699999999999999</v>
      </c>
      <c r="K488" s="13" t="str">
        <f t="shared" si="7"/>
        <v>ND02_ENG ProSupp Nordics Server (CWD)</v>
      </c>
      <c r="L488" s="13" t="s">
        <v>2127</v>
      </c>
      <c r="M488" s="13" t="s">
        <v>1810</v>
      </c>
      <c r="N488" s="13">
        <v>8</v>
      </c>
      <c r="O488" s="13" t="s">
        <v>897</v>
      </c>
      <c r="P488" s="34" t="s">
        <v>1958</v>
      </c>
    </row>
    <row r="489" spans="1:17" ht="15" hidden="1" customHeight="1" collapsed="1" x14ac:dyDescent="0.3">
      <c r="A489" s="13" t="s">
        <v>2144</v>
      </c>
      <c r="B489" s="13" t="s">
        <v>557</v>
      </c>
      <c r="C489" s="13" t="s">
        <v>558</v>
      </c>
      <c r="D489" s="13" t="s">
        <v>928</v>
      </c>
      <c r="E489" s="13" t="s">
        <v>439</v>
      </c>
      <c r="F489" s="13" t="s">
        <v>439</v>
      </c>
      <c r="G489" s="13" t="s">
        <v>8</v>
      </c>
      <c r="H489" s="13" t="s">
        <v>893</v>
      </c>
      <c r="I489" s="13" t="s">
        <v>894</v>
      </c>
      <c r="J489" s="14">
        <v>0.64800000000000002</v>
      </c>
      <c r="K489" s="13" t="str">
        <f t="shared" si="7"/>
        <v>NE02_Backup Solution HC US</v>
      </c>
      <c r="L489" s="13" t="s">
        <v>1963</v>
      </c>
      <c r="M489" s="13" t="s">
        <v>1810</v>
      </c>
      <c r="N489" s="13">
        <v>8</v>
      </c>
      <c r="O489" s="13" t="s">
        <v>897</v>
      </c>
      <c r="P489" s="34" t="s">
        <v>1958</v>
      </c>
      <c r="Q489" s="13" t="s">
        <v>2133</v>
      </c>
    </row>
    <row r="490" spans="1:17" ht="15" hidden="1" customHeight="1" collapsed="1" x14ac:dyDescent="0.3">
      <c r="A490" s="13" t="s">
        <v>2144</v>
      </c>
      <c r="B490" s="13" t="s">
        <v>561</v>
      </c>
      <c r="C490" s="13" t="s">
        <v>562</v>
      </c>
      <c r="D490" s="13" t="s">
        <v>928</v>
      </c>
      <c r="E490" s="13" t="s">
        <v>439</v>
      </c>
      <c r="F490" s="13" t="s">
        <v>439</v>
      </c>
      <c r="G490" s="13" t="s">
        <v>8</v>
      </c>
      <c r="H490" s="13" t="s">
        <v>893</v>
      </c>
      <c r="I490" s="13" t="s">
        <v>894</v>
      </c>
      <c r="J490" s="14">
        <v>0.64800000000000002</v>
      </c>
      <c r="K490" s="13" t="str">
        <f t="shared" si="7"/>
        <v>NE06_PowerEdge After Hours US</v>
      </c>
      <c r="L490" s="13" t="s">
        <v>1963</v>
      </c>
      <c r="M490" s="13" t="s">
        <v>1810</v>
      </c>
      <c r="N490" s="13">
        <v>8</v>
      </c>
      <c r="O490" s="13" t="s">
        <v>897</v>
      </c>
      <c r="P490" s="34" t="s">
        <v>1958</v>
      </c>
      <c r="Q490" s="13" t="s">
        <v>2133</v>
      </c>
    </row>
    <row r="491" spans="1:17" ht="15" customHeight="1" collapsed="1" x14ac:dyDescent="0.3">
      <c r="A491" s="13" t="s">
        <v>571</v>
      </c>
      <c r="B491" s="13" t="s">
        <v>571</v>
      </c>
      <c r="C491" s="13" t="s">
        <v>572</v>
      </c>
      <c r="D491" s="13" t="s">
        <v>928</v>
      </c>
      <c r="E491" s="13" t="s">
        <v>439</v>
      </c>
      <c r="F491" s="13" t="s">
        <v>439</v>
      </c>
      <c r="G491" s="13" t="s">
        <v>8</v>
      </c>
      <c r="H491" s="13" t="s">
        <v>893</v>
      </c>
      <c r="I491" s="13" t="s">
        <v>894</v>
      </c>
      <c r="J491" s="52">
        <v>0.64800000000000002</v>
      </c>
      <c r="K491" s="13" t="str">
        <f t="shared" si="7"/>
        <v>NE31_PS One</v>
      </c>
      <c r="L491" s="13" t="s">
        <v>2127</v>
      </c>
      <c r="M491" s="13" t="s">
        <v>1810</v>
      </c>
      <c r="N491" s="13">
        <v>8</v>
      </c>
      <c r="O491" s="13" t="s">
        <v>897</v>
      </c>
      <c r="P491" s="34" t="s">
        <v>1958</v>
      </c>
    </row>
    <row r="492" spans="1:17" ht="15" hidden="1" customHeight="1" collapsed="1" x14ac:dyDescent="0.3">
      <c r="A492" s="13" t="s">
        <v>2144</v>
      </c>
      <c r="B492" s="13" t="s">
        <v>579</v>
      </c>
      <c r="C492" s="13" t="s">
        <v>580</v>
      </c>
      <c r="D492" s="13" t="s">
        <v>928</v>
      </c>
      <c r="E492" s="13" t="s">
        <v>439</v>
      </c>
      <c r="F492" s="13" t="s">
        <v>439</v>
      </c>
      <c r="G492" s="13" t="s">
        <v>8</v>
      </c>
      <c r="H492" s="13" t="s">
        <v>893</v>
      </c>
      <c r="I492" s="13" t="s">
        <v>894</v>
      </c>
      <c r="J492" s="14">
        <v>0.64800000000000002</v>
      </c>
      <c r="K492" s="13" t="str">
        <f t="shared" si="7"/>
        <v>NE38_Compute High Complexity</v>
      </c>
      <c r="L492" s="13" t="s">
        <v>1963</v>
      </c>
      <c r="M492" s="13" t="s">
        <v>1810</v>
      </c>
      <c r="N492" s="13">
        <v>24</v>
      </c>
      <c r="O492" s="13" t="s">
        <v>897</v>
      </c>
      <c r="P492" s="34" t="s">
        <v>1958</v>
      </c>
      <c r="Q492" s="13" t="s">
        <v>2133</v>
      </c>
    </row>
    <row r="493" spans="1:17" ht="15" hidden="1" customHeight="1" collapsed="1" x14ac:dyDescent="0.3">
      <c r="A493" s="13" t="s">
        <v>2144</v>
      </c>
      <c r="B493" s="13" t="s">
        <v>1807</v>
      </c>
      <c r="C493" s="13" t="s">
        <v>1808</v>
      </c>
      <c r="D493" s="13" t="s">
        <v>928</v>
      </c>
      <c r="E493" s="13" t="s">
        <v>439</v>
      </c>
      <c r="F493" s="13" t="s">
        <v>439</v>
      </c>
      <c r="G493" s="13" t="s">
        <v>8</v>
      </c>
      <c r="H493" s="13" t="s">
        <v>929</v>
      </c>
      <c r="J493" s="14">
        <v>0.63300000000000001</v>
      </c>
      <c r="K493" s="13" t="str">
        <f t="shared" si="7"/>
        <v>NE39_Compute ProSupport Alt Channel</v>
      </c>
      <c r="L493" s="13" t="s">
        <v>1963</v>
      </c>
      <c r="M493" s="13" t="s">
        <v>1810</v>
      </c>
      <c r="N493" s="13">
        <v>24</v>
      </c>
      <c r="O493" s="13" t="s">
        <v>897</v>
      </c>
      <c r="P493" s="34" t="s">
        <v>1958</v>
      </c>
      <c r="Q493" s="13" t="s">
        <v>2133</v>
      </c>
    </row>
    <row r="494" spans="1:17" ht="15" customHeight="1" collapsed="1" x14ac:dyDescent="0.3">
      <c r="A494" s="13" t="s">
        <v>585</v>
      </c>
      <c r="B494" s="13" t="s">
        <v>585</v>
      </c>
      <c r="C494" s="13" t="s">
        <v>586</v>
      </c>
      <c r="D494" s="13" t="s">
        <v>914</v>
      </c>
      <c r="E494" s="13" t="s">
        <v>439</v>
      </c>
      <c r="F494" s="13" t="s">
        <v>439</v>
      </c>
      <c r="G494" s="13" t="s">
        <v>8</v>
      </c>
      <c r="H494" s="13" t="s">
        <v>903</v>
      </c>
      <c r="I494" s="13" t="s">
        <v>1064</v>
      </c>
      <c r="J494" s="52">
        <v>0.629</v>
      </c>
      <c r="K494" s="13" t="str">
        <f t="shared" si="7"/>
        <v>PH08_Enterprise Pro/Core PH</v>
      </c>
      <c r="L494" s="13" t="s">
        <v>2128</v>
      </c>
      <c r="M494" s="13" t="s">
        <v>2120</v>
      </c>
      <c r="N494" s="13">
        <v>4</v>
      </c>
      <c r="O494" s="13" t="s">
        <v>897</v>
      </c>
      <c r="P494" s="34" t="s">
        <v>1958</v>
      </c>
    </row>
    <row r="495" spans="1:17" ht="15" customHeight="1" collapsed="1" x14ac:dyDescent="0.3">
      <c r="A495" s="13" t="s">
        <v>587</v>
      </c>
      <c r="B495" s="13" t="s">
        <v>587</v>
      </c>
      <c r="C495" s="13" t="s">
        <v>1868</v>
      </c>
      <c r="D495" s="13" t="s">
        <v>973</v>
      </c>
      <c r="E495" s="13" t="s">
        <v>439</v>
      </c>
      <c r="F495" s="13" t="s">
        <v>439</v>
      </c>
      <c r="G495" s="13" t="s">
        <v>8</v>
      </c>
      <c r="H495" s="13" t="s">
        <v>935</v>
      </c>
      <c r="I495" s="13" t="s">
        <v>1076</v>
      </c>
      <c r="J495" s="52">
        <v>0.64100000000000001</v>
      </c>
      <c r="K495" s="13" t="str">
        <f t="shared" si="7"/>
        <v>RAH1_LATAM AH Spanish</v>
      </c>
      <c r="L495" s="13" t="s">
        <v>2131</v>
      </c>
      <c r="M495" s="13" t="s">
        <v>1885</v>
      </c>
      <c r="N495" s="13">
        <v>8</v>
      </c>
      <c r="O495" s="13" t="s">
        <v>897</v>
      </c>
      <c r="P495" s="34" t="s">
        <v>1958</v>
      </c>
    </row>
    <row r="496" spans="1:17" ht="15" customHeight="1" collapsed="1" x14ac:dyDescent="0.3">
      <c r="A496" s="13" t="s">
        <v>297</v>
      </c>
      <c r="B496" s="13" t="s">
        <v>297</v>
      </c>
      <c r="C496" s="13" t="s">
        <v>1869</v>
      </c>
      <c r="D496" s="13" t="s">
        <v>928</v>
      </c>
      <c r="E496" s="13" t="s">
        <v>266</v>
      </c>
      <c r="F496" s="13" t="s">
        <v>266</v>
      </c>
      <c r="G496" s="13" t="s">
        <v>8</v>
      </c>
      <c r="H496" s="13" t="s">
        <v>935</v>
      </c>
      <c r="I496" s="13" t="s">
        <v>1076</v>
      </c>
      <c r="J496" s="52">
        <v>0.64100000000000001</v>
      </c>
      <c r="K496" s="13" t="str">
        <f t="shared" si="7"/>
        <v>RL16_LATAM Networking Spanish</v>
      </c>
      <c r="L496" s="13" t="s">
        <v>2131</v>
      </c>
      <c r="M496" s="13" t="s">
        <v>1885</v>
      </c>
      <c r="N496" s="13">
        <v>8</v>
      </c>
      <c r="O496" s="13" t="s">
        <v>897</v>
      </c>
      <c r="P496" s="34" t="s">
        <v>1958</v>
      </c>
    </row>
    <row r="497" spans="1:17" ht="15" customHeight="1" collapsed="1" x14ac:dyDescent="0.3">
      <c r="A497" s="13" t="s">
        <v>299</v>
      </c>
      <c r="B497" s="13" t="s">
        <v>299</v>
      </c>
      <c r="C497" s="13" t="s">
        <v>300</v>
      </c>
      <c r="D497" s="13" t="s">
        <v>928</v>
      </c>
      <c r="E497" s="13" t="s">
        <v>266</v>
      </c>
      <c r="F497" s="13" t="s">
        <v>266</v>
      </c>
      <c r="G497" s="13" t="s">
        <v>8</v>
      </c>
      <c r="H497" s="13" t="s">
        <v>912</v>
      </c>
      <c r="I497" s="13" t="s">
        <v>1006</v>
      </c>
      <c r="J497" s="52">
        <v>0.61699999999999999</v>
      </c>
      <c r="K497" s="13" t="str">
        <f t="shared" si="7"/>
        <v>ROEN_ROE Networking (MULTI)</v>
      </c>
      <c r="L497" s="13" t="s">
        <v>2127</v>
      </c>
      <c r="M497" s="13" t="s">
        <v>1810</v>
      </c>
      <c r="N497" s="13">
        <v>7</v>
      </c>
      <c r="O497" s="13" t="s">
        <v>897</v>
      </c>
      <c r="P497" s="34" t="s">
        <v>1958</v>
      </c>
    </row>
    <row r="498" spans="1:17" ht="15" customHeight="1" collapsed="1" x14ac:dyDescent="0.3">
      <c r="A498" s="13" t="s">
        <v>593</v>
      </c>
      <c r="B498" s="13" t="s">
        <v>593</v>
      </c>
      <c r="C498" s="13" t="s">
        <v>1870</v>
      </c>
      <c r="D498" s="13" t="s">
        <v>1044</v>
      </c>
      <c r="E498" s="13" t="s">
        <v>439</v>
      </c>
      <c r="F498" s="13" t="s">
        <v>439</v>
      </c>
      <c r="G498" s="13" t="s">
        <v>8</v>
      </c>
      <c r="H498" s="13" t="s">
        <v>935</v>
      </c>
      <c r="I498" s="13" t="s">
        <v>1076</v>
      </c>
      <c r="J498" s="52">
        <v>0.64100000000000001</v>
      </c>
      <c r="K498" s="13" t="str">
        <f t="shared" si="7"/>
        <v>RTC1_LATAM Top Customers Spanish</v>
      </c>
      <c r="L498" s="13" t="s">
        <v>2131</v>
      </c>
      <c r="M498" s="13" t="s">
        <v>1885</v>
      </c>
      <c r="N498" s="13">
        <v>8</v>
      </c>
      <c r="O498" s="13" t="s">
        <v>897</v>
      </c>
      <c r="P498" s="34" t="s">
        <v>1958</v>
      </c>
    </row>
    <row r="499" spans="1:17" ht="15" hidden="1" customHeight="1" collapsed="1" x14ac:dyDescent="0.3">
      <c r="A499" s="13" t="s">
        <v>2144</v>
      </c>
      <c r="B499" s="13" t="s">
        <v>595</v>
      </c>
      <c r="C499" s="13" t="s">
        <v>596</v>
      </c>
      <c r="D499" s="13" t="s">
        <v>914</v>
      </c>
      <c r="E499" s="13" t="s">
        <v>439</v>
      </c>
      <c r="F499" s="13" t="s">
        <v>439</v>
      </c>
      <c r="G499" s="13" t="s">
        <v>8</v>
      </c>
      <c r="H499" s="13" t="s">
        <v>903</v>
      </c>
      <c r="I499" s="13" t="s">
        <v>1064</v>
      </c>
      <c r="J499" s="14">
        <v>0.629</v>
      </c>
      <c r="K499" s="13" t="str">
        <f t="shared" si="7"/>
        <v>SA10_Enterprise SA</v>
      </c>
      <c r="L499" s="13" t="s">
        <v>1961</v>
      </c>
      <c r="M499" s="13" t="s">
        <v>917</v>
      </c>
      <c r="N499" s="13">
        <v>8</v>
      </c>
      <c r="O499" s="13" t="s">
        <v>897</v>
      </c>
      <c r="P499" s="34" t="s">
        <v>1958</v>
      </c>
      <c r="Q499" s="13" t="s">
        <v>2133</v>
      </c>
    </row>
    <row r="500" spans="1:17" ht="15" customHeight="1" collapsed="1" x14ac:dyDescent="0.3">
      <c r="A500" s="13" t="s">
        <v>601</v>
      </c>
      <c r="B500" s="13" t="s">
        <v>601</v>
      </c>
      <c r="C500" s="13" t="s">
        <v>602</v>
      </c>
      <c r="D500" s="13" t="s">
        <v>914</v>
      </c>
      <c r="E500" s="13" t="s">
        <v>439</v>
      </c>
      <c r="F500" s="13" t="s">
        <v>439</v>
      </c>
      <c r="G500" s="13" t="s">
        <v>8</v>
      </c>
      <c r="H500" s="13" t="s">
        <v>903</v>
      </c>
      <c r="I500" s="13" t="s">
        <v>1064</v>
      </c>
      <c r="J500" s="52">
        <v>0.629</v>
      </c>
      <c r="K500" s="13" t="str">
        <f t="shared" si="7"/>
        <v>TH07_Enterprise Pro/Core TH</v>
      </c>
      <c r="L500" s="13" t="s">
        <v>2128</v>
      </c>
      <c r="M500" s="13" t="s">
        <v>2120</v>
      </c>
      <c r="N500" s="13">
        <v>8</v>
      </c>
      <c r="O500" s="13" t="s">
        <v>897</v>
      </c>
      <c r="P500" s="34" t="s">
        <v>1958</v>
      </c>
    </row>
    <row r="501" spans="1:17" ht="15" customHeight="1" collapsed="1" x14ac:dyDescent="0.3">
      <c r="A501" s="13" t="s">
        <v>607</v>
      </c>
      <c r="B501" s="13" t="s">
        <v>607</v>
      </c>
      <c r="C501" s="13" t="s">
        <v>608</v>
      </c>
      <c r="D501" s="13" t="s">
        <v>914</v>
      </c>
      <c r="E501" s="13" t="s">
        <v>439</v>
      </c>
      <c r="F501" s="13" t="s">
        <v>439</v>
      </c>
      <c r="G501" s="13" t="s">
        <v>8</v>
      </c>
      <c r="H501" s="13" t="s">
        <v>903</v>
      </c>
      <c r="I501" s="13" t="s">
        <v>1064</v>
      </c>
      <c r="J501" s="52">
        <v>0.629</v>
      </c>
      <c r="K501" s="13" t="str">
        <f t="shared" si="7"/>
        <v>VN03_Enterprise Pro/Core VN</v>
      </c>
      <c r="L501" s="13" t="s">
        <v>2128</v>
      </c>
      <c r="M501" s="13" t="s">
        <v>2120</v>
      </c>
      <c r="N501" s="13">
        <v>8</v>
      </c>
      <c r="O501" s="13" t="s">
        <v>897</v>
      </c>
      <c r="P501" s="34" t="s">
        <v>1958</v>
      </c>
    </row>
    <row r="502" spans="1:17" ht="15" customHeight="1" collapsed="1" x14ac:dyDescent="0.3">
      <c r="A502" s="13" t="s">
        <v>674</v>
      </c>
      <c r="B502" s="13" t="s">
        <v>674</v>
      </c>
      <c r="C502" s="13" t="s">
        <v>1896</v>
      </c>
      <c r="D502" s="13" t="s">
        <v>914</v>
      </c>
      <c r="E502" s="13" t="s">
        <v>672</v>
      </c>
      <c r="F502" s="13" t="s">
        <v>673</v>
      </c>
      <c r="G502" s="13" t="s">
        <v>8</v>
      </c>
      <c r="H502" s="13" t="s">
        <v>903</v>
      </c>
      <c r="I502" s="13" t="s">
        <v>909</v>
      </c>
      <c r="J502" s="52">
        <v>0.629</v>
      </c>
      <c r="K502" s="13" t="str">
        <f t="shared" si="7"/>
        <v>AP10_APJ UDS PowerScale Chinese</v>
      </c>
      <c r="L502" s="13" t="s">
        <v>2128</v>
      </c>
      <c r="M502" s="13" t="s">
        <v>2120</v>
      </c>
      <c r="N502" s="13">
        <v>9</v>
      </c>
      <c r="O502" s="13" t="s">
        <v>905</v>
      </c>
      <c r="P502" s="34" t="s">
        <v>1958</v>
      </c>
    </row>
    <row r="503" spans="1:17" ht="15" customHeight="1" collapsed="1" x14ac:dyDescent="0.3">
      <c r="A503" s="13" t="s">
        <v>676</v>
      </c>
      <c r="B503" s="13" t="s">
        <v>676</v>
      </c>
      <c r="C503" s="13" t="s">
        <v>1897</v>
      </c>
      <c r="D503" s="13" t="s">
        <v>914</v>
      </c>
      <c r="E503" s="13" t="s">
        <v>672</v>
      </c>
      <c r="F503" s="13" t="s">
        <v>673</v>
      </c>
      <c r="G503" s="13" t="s">
        <v>8</v>
      </c>
      <c r="H503" s="13" t="s">
        <v>903</v>
      </c>
      <c r="I503" s="13" t="s">
        <v>918</v>
      </c>
      <c r="J503" s="52">
        <v>0.629</v>
      </c>
      <c r="K503" s="13" t="str">
        <f t="shared" si="7"/>
        <v>AP11_APJ UDS PowerScale Japanese</v>
      </c>
      <c r="L503" s="13" t="s">
        <v>2128</v>
      </c>
      <c r="M503" s="13" t="s">
        <v>2120</v>
      </c>
      <c r="N503" s="13">
        <v>16</v>
      </c>
      <c r="O503" s="13" t="s">
        <v>905</v>
      </c>
      <c r="P503" s="34" t="s">
        <v>1958</v>
      </c>
    </row>
    <row r="504" spans="1:17" ht="15" customHeight="1" collapsed="1" x14ac:dyDescent="0.3">
      <c r="A504" s="13" t="s">
        <v>46</v>
      </c>
      <c r="B504" s="13" t="s">
        <v>46</v>
      </c>
      <c r="C504" s="13" t="s">
        <v>47</v>
      </c>
      <c r="D504" s="13" t="s">
        <v>914</v>
      </c>
      <c r="E504" s="13" t="s">
        <v>44</v>
      </c>
      <c r="F504" s="13" t="s">
        <v>45</v>
      </c>
      <c r="G504" s="13" t="s">
        <v>8</v>
      </c>
      <c r="H504" s="13" t="s">
        <v>903</v>
      </c>
      <c r="I504" s="13" t="s">
        <v>909</v>
      </c>
      <c r="J504" s="52">
        <v>0.629</v>
      </c>
      <c r="K504" s="13" t="str">
        <f t="shared" si="7"/>
        <v>AP12_APJ DPD AVAMAR Chinese</v>
      </c>
      <c r="L504" s="13" t="s">
        <v>2128</v>
      </c>
      <c r="M504" s="13" t="s">
        <v>2120</v>
      </c>
      <c r="N504" s="13">
        <v>12</v>
      </c>
      <c r="O504" s="13" t="s">
        <v>905</v>
      </c>
      <c r="P504" s="34" t="s">
        <v>1958</v>
      </c>
    </row>
    <row r="505" spans="1:17" ht="15" customHeight="1" collapsed="1" x14ac:dyDescent="0.3">
      <c r="A505" s="13" t="s">
        <v>306</v>
      </c>
      <c r="B505" s="13" t="s">
        <v>306</v>
      </c>
      <c r="C505" s="13" t="s">
        <v>307</v>
      </c>
      <c r="D505" s="13" t="s">
        <v>914</v>
      </c>
      <c r="E505" s="13" t="s">
        <v>301</v>
      </c>
      <c r="F505" s="13" t="s">
        <v>305</v>
      </c>
      <c r="G505" s="13" t="s">
        <v>8</v>
      </c>
      <c r="H505" s="13" t="s">
        <v>903</v>
      </c>
      <c r="I505" s="13" t="s">
        <v>909</v>
      </c>
      <c r="J505" s="52">
        <v>0.629</v>
      </c>
      <c r="K505" s="13" t="str">
        <f t="shared" si="7"/>
        <v>AP13_APJ HES Connectivity Chinese</v>
      </c>
      <c r="L505" s="13" t="s">
        <v>2130</v>
      </c>
      <c r="M505" s="13" t="s">
        <v>972</v>
      </c>
      <c r="N505" s="13">
        <v>10</v>
      </c>
      <c r="O505" s="13" t="s">
        <v>905</v>
      </c>
      <c r="P505" s="34" t="s">
        <v>1958</v>
      </c>
    </row>
    <row r="506" spans="1:17" ht="15" customHeight="1" collapsed="1" x14ac:dyDescent="0.3">
      <c r="A506" s="13" t="s">
        <v>72</v>
      </c>
      <c r="B506" s="13" t="s">
        <v>72</v>
      </c>
      <c r="C506" s="13" t="s">
        <v>73</v>
      </c>
      <c r="D506" s="13" t="s">
        <v>914</v>
      </c>
      <c r="E506" s="13" t="s">
        <v>44</v>
      </c>
      <c r="F506" s="13" t="s">
        <v>71</v>
      </c>
      <c r="G506" s="13" t="s">
        <v>8</v>
      </c>
      <c r="H506" s="13" t="s">
        <v>903</v>
      </c>
      <c r="I506" s="13" t="s">
        <v>909</v>
      </c>
      <c r="J506" s="52">
        <v>0.629</v>
      </c>
      <c r="K506" s="13" t="str">
        <f t="shared" si="7"/>
        <v>AP14_APJ DPD DataDomain Chinese</v>
      </c>
      <c r="L506" s="13" t="s">
        <v>2128</v>
      </c>
      <c r="M506" s="13" t="s">
        <v>2120</v>
      </c>
      <c r="N506" s="13">
        <v>7</v>
      </c>
      <c r="O506" s="13" t="s">
        <v>905</v>
      </c>
      <c r="P506" s="34" t="s">
        <v>1958</v>
      </c>
    </row>
    <row r="507" spans="1:17" ht="15" customHeight="1" collapsed="1" x14ac:dyDescent="0.3">
      <c r="A507" s="13" t="s">
        <v>174</v>
      </c>
      <c r="B507" s="13" t="s">
        <v>174</v>
      </c>
      <c r="C507" s="13" t="s">
        <v>175</v>
      </c>
      <c r="D507" s="13" t="s">
        <v>914</v>
      </c>
      <c r="E507" s="13" t="s">
        <v>158</v>
      </c>
      <c r="F507" s="13" t="s">
        <v>173</v>
      </c>
      <c r="G507" s="13" t="s">
        <v>8</v>
      </c>
      <c r="H507" s="13" t="s">
        <v>903</v>
      </c>
      <c r="I507" s="13" t="s">
        <v>909</v>
      </c>
      <c r="J507" s="52">
        <v>0.629</v>
      </c>
      <c r="K507" s="13" t="str">
        <f t="shared" si="7"/>
        <v>AP15_HCS APJ VxRail Chinese</v>
      </c>
      <c r="L507" s="13" t="s">
        <v>2127</v>
      </c>
      <c r="M507" s="13" t="s">
        <v>1810</v>
      </c>
      <c r="N507" s="13">
        <v>24</v>
      </c>
      <c r="O507" s="13" t="s">
        <v>905</v>
      </c>
      <c r="P507" s="34" t="s">
        <v>1958</v>
      </c>
    </row>
    <row r="508" spans="1:17" ht="15" customHeight="1" collapsed="1" x14ac:dyDescent="0.3">
      <c r="A508" s="13" t="s">
        <v>176</v>
      </c>
      <c r="B508" s="13" t="s">
        <v>176</v>
      </c>
      <c r="C508" s="13" t="s">
        <v>177</v>
      </c>
      <c r="D508" s="13" t="s">
        <v>914</v>
      </c>
      <c r="E508" s="13" t="s">
        <v>158</v>
      </c>
      <c r="F508" s="13" t="s">
        <v>173</v>
      </c>
      <c r="G508" s="13" t="s">
        <v>8</v>
      </c>
      <c r="H508" s="13" t="s">
        <v>903</v>
      </c>
      <c r="I508" s="13" t="s">
        <v>918</v>
      </c>
      <c r="J508" s="52">
        <v>0.629</v>
      </c>
      <c r="K508" s="13" t="str">
        <f t="shared" si="7"/>
        <v>AP16_HCS APJ VxRail Japanese</v>
      </c>
      <c r="L508" s="13" t="s">
        <v>2127</v>
      </c>
      <c r="M508" s="13" t="s">
        <v>1810</v>
      </c>
      <c r="N508" s="13">
        <v>18</v>
      </c>
      <c r="O508" s="13" t="s">
        <v>905</v>
      </c>
      <c r="P508" s="34" t="s">
        <v>1958</v>
      </c>
    </row>
    <row r="509" spans="1:17" ht="15" customHeight="1" collapsed="1" x14ac:dyDescent="0.3">
      <c r="A509" s="13" t="s">
        <v>335</v>
      </c>
      <c r="B509" s="13" t="s">
        <v>335</v>
      </c>
      <c r="C509" s="13" t="s">
        <v>336</v>
      </c>
      <c r="D509" s="13" t="s">
        <v>914</v>
      </c>
      <c r="E509" s="13" t="s">
        <v>301</v>
      </c>
      <c r="F509" s="13" t="s">
        <v>334</v>
      </c>
      <c r="G509" s="13" t="s">
        <v>8</v>
      </c>
      <c r="H509" s="13" t="s">
        <v>903</v>
      </c>
      <c r="I509" s="13" t="s">
        <v>909</v>
      </c>
      <c r="J509" s="52">
        <v>0.629</v>
      </c>
      <c r="K509" s="13" t="str">
        <f t="shared" si="7"/>
        <v>AP17_APJ HES Integrated_Software Chinese</v>
      </c>
      <c r="L509" s="13" t="s">
        <v>2130</v>
      </c>
      <c r="M509" s="13" t="s">
        <v>972</v>
      </c>
      <c r="N509" s="13">
        <v>9</v>
      </c>
      <c r="O509" s="13" t="s">
        <v>905</v>
      </c>
      <c r="P509" s="34" t="s">
        <v>1958</v>
      </c>
    </row>
    <row r="510" spans="1:17" ht="15" customHeight="1" collapsed="1" x14ac:dyDescent="0.3">
      <c r="A510" s="13" t="s">
        <v>110</v>
      </c>
      <c r="B510" s="13" t="s">
        <v>110</v>
      </c>
      <c r="C510" s="13" t="s">
        <v>111</v>
      </c>
      <c r="D510" s="13" t="s">
        <v>914</v>
      </c>
      <c r="E510" s="13" t="s">
        <v>44</v>
      </c>
      <c r="F510" s="13" t="s">
        <v>109</v>
      </c>
      <c r="G510" s="13" t="s">
        <v>8</v>
      </c>
      <c r="H510" s="13" t="s">
        <v>903</v>
      </c>
      <c r="I510" s="13" t="s">
        <v>909</v>
      </c>
      <c r="J510" s="52">
        <v>0.629</v>
      </c>
      <c r="K510" s="13" t="str">
        <f t="shared" si="7"/>
        <v>AP18_APJ DPD Networker Chinese</v>
      </c>
      <c r="L510" s="13" t="s">
        <v>2128</v>
      </c>
      <c r="M510" s="13" t="s">
        <v>2120</v>
      </c>
      <c r="N510" s="13">
        <v>7</v>
      </c>
      <c r="O510" s="13" t="s">
        <v>905</v>
      </c>
      <c r="P510" s="34" t="s">
        <v>1958</v>
      </c>
    </row>
    <row r="511" spans="1:17" ht="15" customHeight="1" collapsed="1" x14ac:dyDescent="0.3">
      <c r="A511" s="13" t="s">
        <v>358</v>
      </c>
      <c r="B511" s="13" t="s">
        <v>358</v>
      </c>
      <c r="C511" s="13" t="s">
        <v>359</v>
      </c>
      <c r="D511" s="13" t="s">
        <v>914</v>
      </c>
      <c r="E511" s="13" t="s">
        <v>301</v>
      </c>
      <c r="F511" s="13" t="s">
        <v>357</v>
      </c>
      <c r="G511" s="13" t="s">
        <v>8</v>
      </c>
      <c r="H511" s="13" t="s">
        <v>903</v>
      </c>
      <c r="I511" s="13" t="s">
        <v>909</v>
      </c>
      <c r="J511" s="52">
        <v>0.629</v>
      </c>
      <c r="K511" s="13" t="str">
        <f t="shared" si="7"/>
        <v>AP19_APJ HES Symmetrix Chinese</v>
      </c>
      <c r="L511" s="13" t="s">
        <v>2130</v>
      </c>
      <c r="M511" s="13" t="s">
        <v>972</v>
      </c>
      <c r="N511" s="13">
        <v>12</v>
      </c>
      <c r="O511" s="13" t="s">
        <v>905</v>
      </c>
      <c r="P511" s="34" t="s">
        <v>1958</v>
      </c>
    </row>
    <row r="512" spans="1:17" ht="15" customHeight="1" collapsed="1" x14ac:dyDescent="0.3">
      <c r="A512" s="13" t="s">
        <v>360</v>
      </c>
      <c r="B512" s="13" t="s">
        <v>360</v>
      </c>
      <c r="C512" s="13" t="s">
        <v>361</v>
      </c>
      <c r="D512" s="13" t="s">
        <v>914</v>
      </c>
      <c r="E512" s="13" t="s">
        <v>301</v>
      </c>
      <c r="F512" s="13" t="s">
        <v>357</v>
      </c>
      <c r="G512" s="13" t="s">
        <v>8</v>
      </c>
      <c r="H512" s="13" t="s">
        <v>903</v>
      </c>
      <c r="I512" s="13" t="s">
        <v>918</v>
      </c>
      <c r="J512" s="52">
        <v>0.629</v>
      </c>
      <c r="K512" s="13" t="str">
        <f t="shared" si="7"/>
        <v>AP20_APJ HES Symmetrix Japanese</v>
      </c>
      <c r="L512" s="13" t="s">
        <v>2130</v>
      </c>
      <c r="M512" s="13" t="s">
        <v>972</v>
      </c>
      <c r="N512" s="13">
        <v>9</v>
      </c>
      <c r="O512" s="13" t="s">
        <v>905</v>
      </c>
      <c r="P512" s="34" t="s">
        <v>1958</v>
      </c>
    </row>
    <row r="513" spans="1:17" ht="15" customHeight="1" collapsed="1" x14ac:dyDescent="0.3">
      <c r="A513" s="13" t="s">
        <v>387</v>
      </c>
      <c r="B513" s="13" t="s">
        <v>387</v>
      </c>
      <c r="C513" s="13" t="s">
        <v>388</v>
      </c>
      <c r="D513" s="13" t="s">
        <v>914</v>
      </c>
      <c r="E513" s="13" t="s">
        <v>301</v>
      </c>
      <c r="F513" s="13" t="s">
        <v>386</v>
      </c>
      <c r="G513" s="13" t="s">
        <v>8</v>
      </c>
      <c r="H513" s="13" t="s">
        <v>903</v>
      </c>
      <c r="I513" s="13" t="s">
        <v>909</v>
      </c>
      <c r="J513" s="52">
        <v>0.629</v>
      </c>
      <c r="K513" s="13" t="str">
        <f t="shared" si="7"/>
        <v>AP21_APJ HES SymmSW Chinese</v>
      </c>
      <c r="L513" s="13" t="s">
        <v>2130</v>
      </c>
      <c r="M513" s="13" t="s">
        <v>972</v>
      </c>
      <c r="N513" s="13">
        <v>7</v>
      </c>
      <c r="O513" s="13" t="s">
        <v>905</v>
      </c>
      <c r="P513" s="34" t="s">
        <v>1958</v>
      </c>
    </row>
    <row r="514" spans="1:17" ht="15" customHeight="1" collapsed="1" x14ac:dyDescent="0.3">
      <c r="A514" s="13" t="s">
        <v>230</v>
      </c>
      <c r="B514" s="13" t="s">
        <v>230</v>
      </c>
      <c r="C514" s="13" t="s">
        <v>231</v>
      </c>
      <c r="D514" s="13" t="s">
        <v>914</v>
      </c>
      <c r="E514" s="13" t="s">
        <v>229</v>
      </c>
      <c r="F514" s="13" t="s">
        <v>229</v>
      </c>
      <c r="G514" s="13" t="s">
        <v>8</v>
      </c>
      <c r="H514" s="13" t="s">
        <v>903</v>
      </c>
      <c r="I514" s="13" t="s">
        <v>909</v>
      </c>
      <c r="J514" s="52">
        <v>0.629</v>
      </c>
      <c r="K514" s="13" t="str">
        <f t="shared" ref="K514:K577" si="8">B514&amp;"_"&amp;C514</f>
        <v>AP22_APJ HES MIDRANGE Chinese</v>
      </c>
      <c r="L514" s="13" t="s">
        <v>2130</v>
      </c>
      <c r="M514" s="13" t="s">
        <v>972</v>
      </c>
      <c r="N514" s="13">
        <v>24</v>
      </c>
      <c r="O514" s="13" t="s">
        <v>905</v>
      </c>
      <c r="P514" s="34" t="s">
        <v>1958</v>
      </c>
    </row>
    <row r="515" spans="1:17" ht="15" customHeight="1" collapsed="1" x14ac:dyDescent="0.3">
      <c r="A515" s="13" t="s">
        <v>232</v>
      </c>
      <c r="B515" s="13" t="s">
        <v>232</v>
      </c>
      <c r="C515" s="13" t="s">
        <v>233</v>
      </c>
      <c r="D515" s="13" t="s">
        <v>914</v>
      </c>
      <c r="E515" s="13" t="s">
        <v>229</v>
      </c>
      <c r="F515" s="13" t="s">
        <v>229</v>
      </c>
      <c r="G515" s="13" t="s">
        <v>8</v>
      </c>
      <c r="H515" s="13" t="s">
        <v>903</v>
      </c>
      <c r="I515" s="13" t="s">
        <v>918</v>
      </c>
      <c r="J515" s="52">
        <v>0.629</v>
      </c>
      <c r="K515" s="13" t="str">
        <f t="shared" si="8"/>
        <v>AP23_APJ HES MIDRANGE Japanese</v>
      </c>
      <c r="L515" s="13" t="s">
        <v>2130</v>
      </c>
      <c r="M515" s="13" t="s">
        <v>972</v>
      </c>
      <c r="N515" s="13">
        <v>18</v>
      </c>
      <c r="O515" s="13" t="s">
        <v>905</v>
      </c>
      <c r="P515" s="34" t="s">
        <v>1958</v>
      </c>
    </row>
    <row r="516" spans="1:17" ht="15" customHeight="1" collapsed="1" x14ac:dyDescent="0.3">
      <c r="A516" s="13" t="s">
        <v>404</v>
      </c>
      <c r="B516" s="13" t="s">
        <v>404</v>
      </c>
      <c r="C516" s="13" t="s">
        <v>405</v>
      </c>
      <c r="D516" s="13" t="s">
        <v>914</v>
      </c>
      <c r="E516" s="13" t="s">
        <v>301</v>
      </c>
      <c r="F516" s="13" t="s">
        <v>403</v>
      </c>
      <c r="G516" s="13" t="s">
        <v>8</v>
      </c>
      <c r="H516" s="13" t="s">
        <v>903</v>
      </c>
      <c r="I516" s="13" t="s">
        <v>909</v>
      </c>
      <c r="J516" s="52">
        <v>0.629</v>
      </c>
      <c r="K516" s="13" t="str">
        <f t="shared" si="8"/>
        <v>AP24_APJ HES Vplex Chinese</v>
      </c>
      <c r="L516" s="13" t="s">
        <v>2130</v>
      </c>
      <c r="M516" s="13" t="s">
        <v>972</v>
      </c>
      <c r="N516" s="13">
        <v>12</v>
      </c>
      <c r="O516" s="13" t="s">
        <v>905</v>
      </c>
      <c r="P516" s="34" t="s">
        <v>1958</v>
      </c>
    </row>
    <row r="517" spans="1:17" ht="15" customHeight="1" collapsed="1" x14ac:dyDescent="0.3">
      <c r="A517" s="13" t="s">
        <v>178</v>
      </c>
      <c r="B517" s="13" t="s">
        <v>178</v>
      </c>
      <c r="C517" s="13" t="s">
        <v>1898</v>
      </c>
      <c r="D517" s="13" t="s">
        <v>928</v>
      </c>
      <c r="E517" s="13" t="s">
        <v>158</v>
      </c>
      <c r="F517" s="13" t="s">
        <v>173</v>
      </c>
      <c r="G517" s="13" t="s">
        <v>8</v>
      </c>
      <c r="H517" s="13" t="s">
        <v>935</v>
      </c>
      <c r="I517" s="13" t="s">
        <v>936</v>
      </c>
      <c r="J517" s="52">
        <v>0.57099999999999995</v>
      </c>
      <c r="K517" s="13" t="str">
        <f t="shared" si="8"/>
        <v xml:space="preserve">BZ22_HCS LATAM BRZ VxRail </v>
      </c>
      <c r="L517" s="13" t="s">
        <v>2131</v>
      </c>
      <c r="M517" s="13" t="s">
        <v>1885</v>
      </c>
      <c r="N517" s="13">
        <v>18</v>
      </c>
      <c r="O517" s="13" t="s">
        <v>905</v>
      </c>
      <c r="P517" s="34" t="s">
        <v>1958</v>
      </c>
    </row>
    <row r="518" spans="1:17" ht="15" customHeight="1" collapsed="1" x14ac:dyDescent="0.3">
      <c r="A518" s="13" t="s">
        <v>234</v>
      </c>
      <c r="B518" s="13" t="s">
        <v>234</v>
      </c>
      <c r="C518" s="13" t="s">
        <v>2087</v>
      </c>
      <c r="D518" s="13" t="s">
        <v>973</v>
      </c>
      <c r="E518" s="13" t="s">
        <v>229</v>
      </c>
      <c r="F518" s="13" t="s">
        <v>229</v>
      </c>
      <c r="G518" s="13" t="s">
        <v>8</v>
      </c>
      <c r="H518" s="13" t="s">
        <v>929</v>
      </c>
      <c r="I518" s="13" t="s">
        <v>904</v>
      </c>
      <c r="J518" s="52">
        <v>0.63300000000000001</v>
      </c>
      <c r="K518" s="13" t="str">
        <f t="shared" si="8"/>
        <v>CT26_Global ESG Midrange Backline</v>
      </c>
      <c r="L518" s="13" t="s">
        <v>2130</v>
      </c>
      <c r="M518" s="13" t="s">
        <v>972</v>
      </c>
      <c r="N518" s="13">
        <v>24</v>
      </c>
      <c r="O518" s="13" t="s">
        <v>905</v>
      </c>
      <c r="P518" s="34" t="s">
        <v>1958</v>
      </c>
    </row>
    <row r="519" spans="1:17" ht="15" hidden="1" customHeight="1" collapsed="1" x14ac:dyDescent="0.3">
      <c r="A519" s="13" t="s">
        <v>2144</v>
      </c>
      <c r="B519" s="13" t="s">
        <v>222</v>
      </c>
      <c r="C519" s="13" t="s">
        <v>223</v>
      </c>
      <c r="D519" s="13" t="s">
        <v>928</v>
      </c>
      <c r="E519" s="13" t="s">
        <v>158</v>
      </c>
      <c r="F519" s="13" t="s">
        <v>221</v>
      </c>
      <c r="G519" s="13" t="s">
        <v>8</v>
      </c>
      <c r="H519" s="13" t="s">
        <v>929</v>
      </c>
      <c r="I519" s="13" t="s">
        <v>929</v>
      </c>
      <c r="J519" s="14">
        <v>0.63300000000000001</v>
      </c>
      <c r="K519" s="13" t="str">
        <f t="shared" si="8"/>
        <v>CT29_HCS Global Vmware</v>
      </c>
      <c r="L519" s="13" t="s">
        <v>1962</v>
      </c>
      <c r="M519" s="13" t="s">
        <v>1810</v>
      </c>
      <c r="N519" s="13">
        <v>14</v>
      </c>
      <c r="O519" s="13" t="s">
        <v>905</v>
      </c>
      <c r="P519" s="34" t="s">
        <v>1958</v>
      </c>
      <c r="Q519" s="13" t="s">
        <v>2136</v>
      </c>
    </row>
    <row r="520" spans="1:17" ht="15" customHeight="1" collapsed="1" x14ac:dyDescent="0.3">
      <c r="A520" s="13" t="s">
        <v>437</v>
      </c>
      <c r="B520" s="13" t="s">
        <v>437</v>
      </c>
      <c r="C520" s="13" t="s">
        <v>438</v>
      </c>
      <c r="D520" s="13" t="s">
        <v>965</v>
      </c>
      <c r="E520" s="13" t="s">
        <v>436</v>
      </c>
      <c r="F520" s="13" t="s">
        <v>436</v>
      </c>
      <c r="G520" s="13" t="s">
        <v>8</v>
      </c>
      <c r="H520" s="13" t="s">
        <v>929</v>
      </c>
      <c r="I520" s="13" t="s">
        <v>929</v>
      </c>
      <c r="J520" s="52">
        <v>0.63300000000000001</v>
      </c>
      <c r="K520" s="13" t="str">
        <f t="shared" si="8"/>
        <v>CT67_RPS Remote Proactive Services</v>
      </c>
      <c r="L520" s="13" t="s">
        <v>2128</v>
      </c>
      <c r="M520" s="13" t="s">
        <v>2120</v>
      </c>
      <c r="N520" s="13">
        <v>14</v>
      </c>
      <c r="O520" s="13" t="s">
        <v>905</v>
      </c>
      <c r="P520" s="34" t="s">
        <v>1958</v>
      </c>
    </row>
    <row r="521" spans="1:17" ht="15" hidden="1" customHeight="1" collapsed="1" x14ac:dyDescent="0.3">
      <c r="A521" s="13" t="s">
        <v>2144</v>
      </c>
      <c r="B521" s="13" t="s">
        <v>182</v>
      </c>
      <c r="C521" s="13" t="s">
        <v>183</v>
      </c>
      <c r="D521" s="13" t="s">
        <v>928</v>
      </c>
      <c r="E521" s="13" t="s">
        <v>158</v>
      </c>
      <c r="F521" s="13" t="s">
        <v>173</v>
      </c>
      <c r="G521" s="13" t="s">
        <v>8</v>
      </c>
      <c r="H521" s="13" t="s">
        <v>929</v>
      </c>
      <c r="I521" s="13" t="s">
        <v>909</v>
      </c>
      <c r="J521" s="14">
        <v>0.63300000000000001</v>
      </c>
      <c r="K521" s="13" t="str">
        <f t="shared" si="8"/>
        <v>EG13_HCS Global Cloud Solutions</v>
      </c>
      <c r="L521" s="13" t="s">
        <v>1962</v>
      </c>
      <c r="M521" s="13" t="s">
        <v>1810</v>
      </c>
      <c r="N521" s="13">
        <v>24</v>
      </c>
      <c r="O521" s="13" t="s">
        <v>905</v>
      </c>
      <c r="P521" s="34" t="s">
        <v>1958</v>
      </c>
      <c r="Q521" s="13" t="s">
        <v>2136</v>
      </c>
    </row>
    <row r="522" spans="1:17" ht="15" customHeight="1" x14ac:dyDescent="0.3">
      <c r="A522" s="13" t="s">
        <v>1930</v>
      </c>
      <c r="B522" s="13" t="s">
        <v>1930</v>
      </c>
      <c r="C522" s="13" t="s">
        <v>1934</v>
      </c>
      <c r="D522" s="13" t="s">
        <v>928</v>
      </c>
      <c r="E522" s="13" t="s">
        <v>158</v>
      </c>
      <c r="F522" s="13" t="s">
        <v>173</v>
      </c>
      <c r="G522" s="13" t="s">
        <v>8</v>
      </c>
      <c r="H522" s="13" t="s">
        <v>929</v>
      </c>
      <c r="I522" s="13" t="s">
        <v>929</v>
      </c>
      <c r="J522" s="52">
        <v>0.63300000000000001</v>
      </c>
      <c r="K522" s="13" t="str">
        <f t="shared" si="8"/>
        <v>GC17_Global VxRail</v>
      </c>
      <c r="L522" s="13" t="s">
        <v>2127</v>
      </c>
      <c r="M522" s="13" t="s">
        <v>1810</v>
      </c>
      <c r="N522" s="13">
        <v>24</v>
      </c>
      <c r="O522" s="13" t="s">
        <v>905</v>
      </c>
      <c r="P522" s="34" t="s">
        <v>1958</v>
      </c>
    </row>
    <row r="523" spans="1:17" ht="15" customHeight="1" collapsed="1" x14ac:dyDescent="0.3">
      <c r="A523" s="13" t="s">
        <v>1929</v>
      </c>
      <c r="B523" s="13" t="s">
        <v>1929</v>
      </c>
      <c r="C523" s="13" t="s">
        <v>1933</v>
      </c>
      <c r="D523" s="13" t="s">
        <v>928</v>
      </c>
      <c r="E523" s="13" t="s">
        <v>158</v>
      </c>
      <c r="F523" s="13" t="s">
        <v>173</v>
      </c>
      <c r="G523" s="13" t="s">
        <v>8</v>
      </c>
      <c r="H523" s="13" t="s">
        <v>929</v>
      </c>
      <c r="I523" s="13" t="s">
        <v>929</v>
      </c>
      <c r="J523" s="52">
        <v>0.63300000000000001</v>
      </c>
      <c r="K523" s="13" t="str">
        <f t="shared" si="8"/>
        <v>GC18_Global VxRail Domain Engineer</v>
      </c>
      <c r="L523" s="13" t="s">
        <v>2127</v>
      </c>
      <c r="M523" s="13" t="s">
        <v>1810</v>
      </c>
      <c r="N523" s="13">
        <v>24</v>
      </c>
      <c r="O523" s="13" t="s">
        <v>905</v>
      </c>
      <c r="P523" s="34" t="s">
        <v>1958</v>
      </c>
    </row>
    <row r="524" spans="1:17" ht="15" customHeight="1" collapsed="1" x14ac:dyDescent="0.3">
      <c r="A524" s="13" t="s">
        <v>48</v>
      </c>
      <c r="B524" s="13" t="s">
        <v>48</v>
      </c>
      <c r="C524" s="13" t="s">
        <v>49</v>
      </c>
      <c r="D524" s="13" t="s">
        <v>1044</v>
      </c>
      <c r="E524" s="13" t="s">
        <v>44</v>
      </c>
      <c r="F524" s="13" t="s">
        <v>45</v>
      </c>
      <c r="G524" s="13" t="s">
        <v>8</v>
      </c>
      <c r="H524" s="13" t="s">
        <v>929</v>
      </c>
      <c r="I524" s="13" t="s">
        <v>909</v>
      </c>
      <c r="J524" s="52">
        <v>0.63300000000000001</v>
      </c>
      <c r="K524" s="13" t="str">
        <f t="shared" si="8"/>
        <v>GH01_GLOBAL DPD AVAMAR</v>
      </c>
      <c r="L524" s="13" t="s">
        <v>2129</v>
      </c>
      <c r="M524" s="13" t="s">
        <v>1884</v>
      </c>
      <c r="N524" s="13">
        <v>24</v>
      </c>
      <c r="O524" s="13" t="s">
        <v>905</v>
      </c>
      <c r="P524" s="34" t="s">
        <v>1958</v>
      </c>
    </row>
    <row r="525" spans="1:17" ht="15" customHeight="1" collapsed="1" x14ac:dyDescent="0.3">
      <c r="A525" s="13" t="s">
        <v>74</v>
      </c>
      <c r="B525" s="13" t="s">
        <v>74</v>
      </c>
      <c r="C525" s="13" t="s">
        <v>75</v>
      </c>
      <c r="D525" s="13" t="s">
        <v>1044</v>
      </c>
      <c r="E525" s="13" t="s">
        <v>44</v>
      </c>
      <c r="F525" s="13" t="s">
        <v>71</v>
      </c>
      <c r="G525" s="13" t="s">
        <v>8</v>
      </c>
      <c r="H525" s="13" t="s">
        <v>929</v>
      </c>
      <c r="I525" s="13" t="s">
        <v>904</v>
      </c>
      <c r="J525" s="52">
        <v>0.63300000000000001</v>
      </c>
      <c r="K525" s="13" t="str">
        <f t="shared" si="8"/>
        <v>GH03_GLOBAL DPD DataDomain</v>
      </c>
      <c r="L525" s="13" t="s">
        <v>2129</v>
      </c>
      <c r="M525" s="13" t="s">
        <v>1884</v>
      </c>
      <c r="N525" s="13">
        <v>24</v>
      </c>
      <c r="O525" s="13" t="s">
        <v>905</v>
      </c>
      <c r="P525" s="34" t="s">
        <v>1958</v>
      </c>
    </row>
    <row r="526" spans="1:17" ht="15" customHeight="1" collapsed="1" x14ac:dyDescent="0.3">
      <c r="A526" s="13" t="s">
        <v>93</v>
      </c>
      <c r="B526" s="13" t="s">
        <v>93</v>
      </c>
      <c r="C526" s="13" t="s">
        <v>94</v>
      </c>
      <c r="D526" s="13" t="s">
        <v>1044</v>
      </c>
      <c r="E526" s="13" t="s">
        <v>44</v>
      </c>
      <c r="F526" s="13" t="s">
        <v>92</v>
      </c>
      <c r="G526" s="13" t="s">
        <v>8</v>
      </c>
      <c r="H526" s="13" t="s">
        <v>929</v>
      </c>
      <c r="I526" s="13" t="s">
        <v>904</v>
      </c>
      <c r="J526" s="52">
        <v>0.63300000000000001</v>
      </c>
      <c r="K526" s="13" t="str">
        <f t="shared" si="8"/>
        <v>GH04_GLOBAL DPD DPA</v>
      </c>
      <c r="L526" s="13" t="s">
        <v>2129</v>
      </c>
      <c r="M526" s="13" t="s">
        <v>1884</v>
      </c>
      <c r="N526" s="13">
        <v>14</v>
      </c>
      <c r="O526" s="13" t="s">
        <v>905</v>
      </c>
      <c r="P526" s="34" t="s">
        <v>1958</v>
      </c>
    </row>
    <row r="527" spans="1:17" ht="15" customHeight="1" collapsed="1" x14ac:dyDescent="0.3">
      <c r="A527" s="13" t="s">
        <v>105</v>
      </c>
      <c r="B527" s="32" t="s">
        <v>105</v>
      </c>
      <c r="C527" s="32" t="s">
        <v>106</v>
      </c>
      <c r="D527" s="32" t="s">
        <v>914</v>
      </c>
      <c r="E527" s="38" t="s">
        <v>44</v>
      </c>
      <c r="F527" s="38" t="s">
        <v>102</v>
      </c>
      <c r="G527" s="32" t="s">
        <v>8</v>
      </c>
      <c r="H527" s="32" t="s">
        <v>929</v>
      </c>
      <c r="I527" s="32" t="s">
        <v>904</v>
      </c>
      <c r="J527" s="53">
        <v>0.63300000000000001</v>
      </c>
      <c r="K527" s="32" t="str">
        <f t="shared" si="8"/>
        <v>GH06_GLOBAL DPD DPSolutions</v>
      </c>
      <c r="L527" s="13" t="s">
        <v>2129</v>
      </c>
      <c r="M527" s="32" t="s">
        <v>1884</v>
      </c>
      <c r="N527" s="32">
        <v>24</v>
      </c>
      <c r="O527" s="32" t="s">
        <v>905</v>
      </c>
      <c r="P527" s="34" t="s">
        <v>1958</v>
      </c>
    </row>
    <row r="528" spans="1:17" ht="15" customHeight="1" collapsed="1" x14ac:dyDescent="0.3">
      <c r="A528" s="13" t="s">
        <v>680</v>
      </c>
      <c r="B528" s="13" t="s">
        <v>680</v>
      </c>
      <c r="C528" s="13" t="s">
        <v>1902</v>
      </c>
      <c r="D528" s="13" t="s">
        <v>1044</v>
      </c>
      <c r="E528" s="13" t="s">
        <v>672</v>
      </c>
      <c r="F528" s="13" t="s">
        <v>673</v>
      </c>
      <c r="G528" s="13" t="s">
        <v>8</v>
      </c>
      <c r="H528" s="13" t="s">
        <v>929</v>
      </c>
      <c r="I528" s="13" t="s">
        <v>904</v>
      </c>
      <c r="J528" s="52">
        <v>0.63300000000000001</v>
      </c>
      <c r="K528" s="13" t="str">
        <f t="shared" si="8"/>
        <v>GH07_GLOBAL UDS PowerScale</v>
      </c>
      <c r="L528" s="13" t="s">
        <v>2129</v>
      </c>
      <c r="M528" s="13" t="s">
        <v>1884</v>
      </c>
      <c r="N528" s="13">
        <v>24</v>
      </c>
      <c r="O528" s="13" t="s">
        <v>905</v>
      </c>
      <c r="P528" s="34" t="s">
        <v>1958</v>
      </c>
    </row>
    <row r="529" spans="1:17" ht="15" customHeight="1" collapsed="1" x14ac:dyDescent="0.3">
      <c r="A529" s="13" t="s">
        <v>112</v>
      </c>
      <c r="B529" s="13" t="s">
        <v>112</v>
      </c>
      <c r="C529" s="13" t="s">
        <v>113</v>
      </c>
      <c r="D529" s="13" t="s">
        <v>1044</v>
      </c>
      <c r="E529" s="13" t="s">
        <v>44</v>
      </c>
      <c r="F529" s="13" t="s">
        <v>109</v>
      </c>
      <c r="G529" s="13" t="s">
        <v>8</v>
      </c>
      <c r="H529" s="13" t="s">
        <v>929</v>
      </c>
      <c r="I529" s="13" t="s">
        <v>904</v>
      </c>
      <c r="J529" s="52">
        <v>0.63300000000000001</v>
      </c>
      <c r="K529" s="13" t="str">
        <f t="shared" si="8"/>
        <v>GH08_GLOBAL DPD Networker</v>
      </c>
      <c r="L529" s="13" t="s">
        <v>2129</v>
      </c>
      <c r="M529" s="13" t="s">
        <v>1884</v>
      </c>
      <c r="N529" s="13">
        <v>24</v>
      </c>
      <c r="O529" s="13" t="s">
        <v>905</v>
      </c>
      <c r="P529" s="34" t="s">
        <v>1958</v>
      </c>
    </row>
    <row r="530" spans="1:17" ht="15" customHeight="1" collapsed="1" x14ac:dyDescent="0.3">
      <c r="A530" s="13" t="s">
        <v>703</v>
      </c>
      <c r="B530" s="13" t="s">
        <v>703</v>
      </c>
      <c r="C530" s="13" t="s">
        <v>704</v>
      </c>
      <c r="D530" s="13" t="s">
        <v>1044</v>
      </c>
      <c r="E530" s="13" t="s">
        <v>672</v>
      </c>
      <c r="F530" s="13" t="s">
        <v>702</v>
      </c>
      <c r="G530" s="13" t="s">
        <v>8</v>
      </c>
      <c r="H530" s="13" t="s">
        <v>929</v>
      </c>
      <c r="I530" s="13" t="s">
        <v>904</v>
      </c>
      <c r="J530" s="52">
        <v>0.63300000000000001</v>
      </c>
      <c r="K530" s="13" t="str">
        <f t="shared" si="8"/>
        <v>GH09_GLOBAL UDS OBJ</v>
      </c>
      <c r="L530" s="13" t="s">
        <v>2129</v>
      </c>
      <c r="M530" s="13" t="s">
        <v>1884</v>
      </c>
      <c r="N530" s="13">
        <v>24</v>
      </c>
      <c r="O530" s="13" t="s">
        <v>905</v>
      </c>
      <c r="P530" s="34" t="s">
        <v>1958</v>
      </c>
    </row>
    <row r="531" spans="1:17" ht="15" customHeight="1" collapsed="1" x14ac:dyDescent="0.3">
      <c r="A531" s="13" t="s">
        <v>131</v>
      </c>
      <c r="B531" s="13" t="s">
        <v>131</v>
      </c>
      <c r="C531" s="13" t="s">
        <v>132</v>
      </c>
      <c r="D531" s="13" t="s">
        <v>1044</v>
      </c>
      <c r="E531" s="13" t="s">
        <v>44</v>
      </c>
      <c r="F531" s="13" t="s">
        <v>130</v>
      </c>
      <c r="G531" s="13" t="s">
        <v>8</v>
      </c>
      <c r="H531" s="13" t="s">
        <v>929</v>
      </c>
      <c r="I531" s="13" t="s">
        <v>904</v>
      </c>
      <c r="J531" s="52">
        <v>0.63300000000000001</v>
      </c>
      <c r="K531" s="13" t="str">
        <f t="shared" si="8"/>
        <v>GH10_GLOBAL DPD PowerProtect</v>
      </c>
      <c r="L531" s="13" t="s">
        <v>2129</v>
      </c>
      <c r="M531" s="13" t="s">
        <v>1884</v>
      </c>
      <c r="N531" s="13">
        <v>24</v>
      </c>
      <c r="O531" s="13" t="s">
        <v>905</v>
      </c>
      <c r="P531" s="34" t="s">
        <v>1958</v>
      </c>
    </row>
    <row r="532" spans="1:17" ht="15" customHeight="1" collapsed="1" x14ac:dyDescent="0.3">
      <c r="A532" s="13" t="s">
        <v>138</v>
      </c>
      <c r="B532" s="13" t="s">
        <v>138</v>
      </c>
      <c r="C532" s="13" t="s">
        <v>139</v>
      </c>
      <c r="D532" s="13" t="s">
        <v>1044</v>
      </c>
      <c r="E532" s="13" t="s">
        <v>44</v>
      </c>
      <c r="F532" s="13" t="s">
        <v>137</v>
      </c>
      <c r="G532" s="13" t="s">
        <v>8</v>
      </c>
      <c r="H532" s="13" t="s">
        <v>929</v>
      </c>
      <c r="I532" s="13" t="s">
        <v>904</v>
      </c>
      <c r="J532" s="52">
        <v>0.63300000000000001</v>
      </c>
      <c r="K532" s="13" t="str">
        <f t="shared" si="8"/>
        <v>GH11_GLOBAL DPD RecoverPoint</v>
      </c>
      <c r="L532" s="13" t="s">
        <v>2129</v>
      </c>
      <c r="M532" s="13" t="s">
        <v>1884</v>
      </c>
      <c r="N532" s="13">
        <v>24</v>
      </c>
      <c r="O532" s="13" t="s">
        <v>905</v>
      </c>
      <c r="P532" s="34" t="s">
        <v>1958</v>
      </c>
    </row>
    <row r="533" spans="1:17" ht="15" hidden="1" customHeight="1" collapsed="1" x14ac:dyDescent="0.3">
      <c r="A533" s="13" t="s">
        <v>2144</v>
      </c>
      <c r="B533" s="13" t="s">
        <v>225</v>
      </c>
      <c r="C533" s="13" t="s">
        <v>226</v>
      </c>
      <c r="D533" s="13" t="s">
        <v>928</v>
      </c>
      <c r="E533" s="13" t="s">
        <v>158</v>
      </c>
      <c r="F533" s="13" t="s">
        <v>224</v>
      </c>
      <c r="G533" s="13" t="s">
        <v>8</v>
      </c>
      <c r="H533" s="13" t="s">
        <v>929</v>
      </c>
      <c r="I533" s="13" t="s">
        <v>904</v>
      </c>
      <c r="J533" s="14">
        <v>0.63300000000000001</v>
      </c>
      <c r="K533" s="13" t="str">
        <f t="shared" si="8"/>
        <v>GH15_HCS Global Solutions</v>
      </c>
      <c r="L533" s="13" t="s">
        <v>1962</v>
      </c>
      <c r="M533" s="13" t="s">
        <v>1810</v>
      </c>
      <c r="N533" s="13">
        <v>24</v>
      </c>
      <c r="O533" s="13" t="s">
        <v>905</v>
      </c>
      <c r="P533" s="34" t="s">
        <v>1958</v>
      </c>
      <c r="Q533" s="13" t="s">
        <v>2132</v>
      </c>
    </row>
    <row r="534" spans="1:17" ht="15" customHeight="1" collapsed="1" x14ac:dyDescent="0.3">
      <c r="A534" s="13" t="s">
        <v>308</v>
      </c>
      <c r="B534" s="13" t="s">
        <v>308</v>
      </c>
      <c r="C534" s="13" t="s">
        <v>2088</v>
      </c>
      <c r="D534" s="13" t="s">
        <v>973</v>
      </c>
      <c r="E534" s="13" t="s">
        <v>301</v>
      </c>
      <c r="F534" s="13" t="s">
        <v>305</v>
      </c>
      <c r="G534" s="13" t="s">
        <v>8</v>
      </c>
      <c r="H534" s="13" t="s">
        <v>929</v>
      </c>
      <c r="I534" s="13" t="s">
        <v>904</v>
      </c>
      <c r="J534" s="52">
        <v>0.63300000000000001</v>
      </c>
      <c r="K534" s="13" t="str">
        <f t="shared" si="8"/>
        <v>GH16_Global Connectivity Backline</v>
      </c>
      <c r="L534" s="13" t="s">
        <v>2130</v>
      </c>
      <c r="M534" s="13" t="s">
        <v>972</v>
      </c>
      <c r="N534" s="13">
        <v>24</v>
      </c>
      <c r="O534" s="13" t="s">
        <v>905</v>
      </c>
      <c r="P534" s="34" t="s">
        <v>1958</v>
      </c>
    </row>
    <row r="535" spans="1:17" ht="15" customHeight="1" collapsed="1" x14ac:dyDescent="0.3">
      <c r="A535" s="13" t="s">
        <v>326</v>
      </c>
      <c r="B535" s="13" t="s">
        <v>326</v>
      </c>
      <c r="C535" s="13" t="s">
        <v>2089</v>
      </c>
      <c r="D535" s="13" t="s">
        <v>973</v>
      </c>
      <c r="E535" s="13" t="s">
        <v>301</v>
      </c>
      <c r="F535" s="13" t="s">
        <v>325</v>
      </c>
      <c r="G535" s="13" t="s">
        <v>8</v>
      </c>
      <c r="H535" s="13" t="s">
        <v>929</v>
      </c>
      <c r="I535" s="13" t="s">
        <v>904</v>
      </c>
      <c r="J535" s="52">
        <v>0.63300000000000001</v>
      </c>
      <c r="K535" s="13" t="str">
        <f t="shared" si="8"/>
        <v>GH17_Global DLM Backline</v>
      </c>
      <c r="L535" s="13" t="s">
        <v>2130</v>
      </c>
      <c r="M535" s="13" t="s">
        <v>972</v>
      </c>
      <c r="N535" s="13">
        <v>24</v>
      </c>
      <c r="O535" s="13" t="s">
        <v>905</v>
      </c>
      <c r="P535" s="34" t="s">
        <v>1958</v>
      </c>
    </row>
    <row r="536" spans="1:17" ht="15" customHeight="1" collapsed="1" x14ac:dyDescent="0.3">
      <c r="A536" s="13" t="s">
        <v>353</v>
      </c>
      <c r="B536" s="13" t="s">
        <v>353</v>
      </c>
      <c r="C536" s="13" t="s">
        <v>2090</v>
      </c>
      <c r="D536" s="13" t="s">
        <v>973</v>
      </c>
      <c r="E536" s="13" t="s">
        <v>301</v>
      </c>
      <c r="F536" s="13" t="s">
        <v>352</v>
      </c>
      <c r="G536" s="13" t="s">
        <v>8</v>
      </c>
      <c r="H536" s="13" t="s">
        <v>929</v>
      </c>
      <c r="I536" s="13" t="s">
        <v>904</v>
      </c>
      <c r="J536" s="52">
        <v>0.63300000000000001</v>
      </c>
      <c r="K536" s="13" t="str">
        <f t="shared" si="8"/>
        <v>GH19_Global Mainframe Backline</v>
      </c>
      <c r="L536" s="13" t="s">
        <v>2130</v>
      </c>
      <c r="M536" s="13" t="s">
        <v>972</v>
      </c>
      <c r="N536" s="13">
        <v>14</v>
      </c>
      <c r="O536" s="13" t="s">
        <v>905</v>
      </c>
      <c r="P536" s="34" t="s">
        <v>1958</v>
      </c>
    </row>
    <row r="537" spans="1:17" ht="15" customHeight="1" collapsed="1" x14ac:dyDescent="0.3">
      <c r="A537" s="13" t="s">
        <v>362</v>
      </c>
      <c r="B537" s="13" t="s">
        <v>362</v>
      </c>
      <c r="C537" s="13" t="s">
        <v>2091</v>
      </c>
      <c r="D537" s="13" t="s">
        <v>973</v>
      </c>
      <c r="E537" s="13" t="s">
        <v>301</v>
      </c>
      <c r="F537" s="13" t="s">
        <v>357</v>
      </c>
      <c r="G537" s="13" t="s">
        <v>8</v>
      </c>
      <c r="H537" s="13" t="s">
        <v>929</v>
      </c>
      <c r="I537" s="13" t="s">
        <v>904</v>
      </c>
      <c r="J537" s="52">
        <v>0.63300000000000001</v>
      </c>
      <c r="K537" s="13" t="str">
        <f t="shared" si="8"/>
        <v>GH20_Global Symmetrix Backline</v>
      </c>
      <c r="L537" s="13" t="s">
        <v>2130</v>
      </c>
      <c r="M537" s="13" t="s">
        <v>972</v>
      </c>
      <c r="N537" s="13">
        <v>24</v>
      </c>
      <c r="O537" s="13" t="s">
        <v>905</v>
      </c>
      <c r="P537" s="34" t="s">
        <v>1958</v>
      </c>
    </row>
    <row r="538" spans="1:17" ht="15" customHeight="1" collapsed="1" x14ac:dyDescent="0.3">
      <c r="A538" s="13" t="s">
        <v>389</v>
      </c>
      <c r="B538" s="13" t="s">
        <v>389</v>
      </c>
      <c r="C538" s="13" t="s">
        <v>2092</v>
      </c>
      <c r="D538" s="13" t="s">
        <v>973</v>
      </c>
      <c r="E538" s="13" t="s">
        <v>301</v>
      </c>
      <c r="F538" s="13" t="s">
        <v>1047</v>
      </c>
      <c r="G538" s="13" t="s">
        <v>8</v>
      </c>
      <c r="H538" s="13" t="s">
        <v>929</v>
      </c>
      <c r="I538" s="13" t="s">
        <v>904</v>
      </c>
      <c r="J538" s="52">
        <v>0.63300000000000001</v>
      </c>
      <c r="K538" s="13" t="str">
        <f t="shared" si="8"/>
        <v>GH21_Global SymmSW Backline</v>
      </c>
      <c r="L538" s="13" t="s">
        <v>2130</v>
      </c>
      <c r="M538" s="13" t="s">
        <v>972</v>
      </c>
      <c r="N538" s="13">
        <v>4</v>
      </c>
      <c r="O538" s="13" t="s">
        <v>905</v>
      </c>
      <c r="P538" s="34" t="s">
        <v>1958</v>
      </c>
    </row>
    <row r="539" spans="1:17" ht="15" hidden="1" customHeight="1" collapsed="1" x14ac:dyDescent="0.3">
      <c r="A539" s="13" t="s">
        <v>2144</v>
      </c>
      <c r="B539" s="13" t="s">
        <v>236</v>
      </c>
      <c r="C539" s="13" t="s">
        <v>237</v>
      </c>
      <c r="D539" s="13" t="s">
        <v>973</v>
      </c>
      <c r="E539" s="13" t="s">
        <v>229</v>
      </c>
      <c r="F539" s="13" t="s">
        <v>229</v>
      </c>
      <c r="G539" s="13" t="s">
        <v>8</v>
      </c>
      <c r="H539" s="13" t="s">
        <v>929</v>
      </c>
      <c r="I539" s="13" t="s">
        <v>904</v>
      </c>
      <c r="J539" s="14">
        <v>0.63300000000000001</v>
      </c>
      <c r="K539" s="13" t="str">
        <f t="shared" si="8"/>
        <v>GH22_GLOBAL HES MIDRANGE</v>
      </c>
      <c r="L539" s="13" t="s">
        <v>1960</v>
      </c>
      <c r="M539" s="13" t="s">
        <v>972</v>
      </c>
      <c r="N539" s="13">
        <v>24</v>
      </c>
      <c r="O539" s="13" t="s">
        <v>905</v>
      </c>
      <c r="P539" s="34" t="s">
        <v>1958</v>
      </c>
      <c r="Q539" s="13" t="s">
        <v>2137</v>
      </c>
    </row>
    <row r="540" spans="1:17" ht="15" customHeight="1" collapsed="1" x14ac:dyDescent="0.3">
      <c r="A540" s="13" t="s">
        <v>406</v>
      </c>
      <c r="B540" s="13" t="s">
        <v>406</v>
      </c>
      <c r="C540" s="13" t="s">
        <v>2093</v>
      </c>
      <c r="D540" s="13" t="s">
        <v>973</v>
      </c>
      <c r="E540" s="13" t="s">
        <v>301</v>
      </c>
      <c r="F540" s="13" t="s">
        <v>403</v>
      </c>
      <c r="G540" s="13" t="s">
        <v>8</v>
      </c>
      <c r="H540" s="13" t="s">
        <v>929</v>
      </c>
      <c r="I540" s="13" t="s">
        <v>904</v>
      </c>
      <c r="J540" s="52">
        <v>0.63300000000000001</v>
      </c>
      <c r="K540" s="13" t="str">
        <f t="shared" si="8"/>
        <v>GH23_Global Vplex Backline</v>
      </c>
      <c r="L540" s="13" t="s">
        <v>2130</v>
      </c>
      <c r="M540" s="13" t="s">
        <v>972</v>
      </c>
      <c r="N540" s="13">
        <v>12</v>
      </c>
      <c r="O540" s="13" t="s">
        <v>905</v>
      </c>
      <c r="P540" s="34" t="s">
        <v>1958</v>
      </c>
    </row>
    <row r="541" spans="1:17" ht="15" hidden="1" customHeight="1" collapsed="1" x14ac:dyDescent="0.3">
      <c r="A541" s="13" t="s">
        <v>2144</v>
      </c>
      <c r="B541" s="13" t="s">
        <v>420</v>
      </c>
      <c r="C541" s="13" t="s">
        <v>421</v>
      </c>
      <c r="D541" s="13" t="s">
        <v>973</v>
      </c>
      <c r="E541" s="13" t="s">
        <v>301</v>
      </c>
      <c r="F541" s="13" t="s">
        <v>419</v>
      </c>
      <c r="G541" s="13" t="s">
        <v>8</v>
      </c>
      <c r="H541" s="13" t="s">
        <v>929</v>
      </c>
      <c r="I541" s="13" t="s">
        <v>904</v>
      </c>
      <c r="J541" s="14">
        <v>0.63300000000000001</v>
      </c>
      <c r="K541" s="13" t="str">
        <f t="shared" si="8"/>
        <v>GH24_GLOBAL HES XtremIO</v>
      </c>
      <c r="L541" s="13" t="s">
        <v>1960</v>
      </c>
      <c r="M541" s="13" t="s">
        <v>972</v>
      </c>
      <c r="N541" s="13">
        <v>14</v>
      </c>
      <c r="O541" s="13" t="s">
        <v>905</v>
      </c>
      <c r="P541" s="34" t="s">
        <v>1958</v>
      </c>
      <c r="Q541" s="13" t="s">
        <v>2137</v>
      </c>
    </row>
    <row r="542" spans="1:17" ht="15" customHeight="1" collapsed="1" x14ac:dyDescent="0.3">
      <c r="A542" s="13" t="s">
        <v>135</v>
      </c>
      <c r="B542" s="13" t="s">
        <v>135</v>
      </c>
      <c r="C542" s="13" t="s">
        <v>136</v>
      </c>
      <c r="D542" s="13" t="s">
        <v>1044</v>
      </c>
      <c r="E542" s="13" t="s">
        <v>44</v>
      </c>
      <c r="F542" s="13" t="s">
        <v>134</v>
      </c>
      <c r="G542" s="13" t="s">
        <v>8</v>
      </c>
      <c r="H542" s="13" t="s">
        <v>929</v>
      </c>
      <c r="I542" s="13" t="s">
        <v>929</v>
      </c>
      <c r="J542" s="52">
        <v>0.63300000000000001</v>
      </c>
      <c r="K542" s="13" t="str">
        <f t="shared" si="8"/>
        <v>GH25_Global DPD PowerProtect Cyber</v>
      </c>
      <c r="L542" s="13" t="s">
        <v>2129</v>
      </c>
      <c r="M542" s="13" t="s">
        <v>1884</v>
      </c>
      <c r="N542" s="13">
        <v>14</v>
      </c>
      <c r="O542" s="13" t="s">
        <v>905</v>
      </c>
      <c r="P542" s="34" t="s">
        <v>1958</v>
      </c>
    </row>
    <row r="543" spans="1:17" ht="15" customHeight="1" collapsed="1" x14ac:dyDescent="0.3">
      <c r="A543" s="13" t="s">
        <v>198</v>
      </c>
      <c r="B543" s="13" t="s">
        <v>198</v>
      </c>
      <c r="C543" s="13" t="s">
        <v>199</v>
      </c>
      <c r="D543" s="13" t="s">
        <v>914</v>
      </c>
      <c r="E543" s="13" t="s">
        <v>158</v>
      </c>
      <c r="F543" s="13" t="s">
        <v>173</v>
      </c>
      <c r="G543" s="13" t="s">
        <v>8</v>
      </c>
      <c r="H543" s="13" t="s">
        <v>903</v>
      </c>
      <c r="I543" s="13" t="s">
        <v>1063</v>
      </c>
      <c r="J543" s="52">
        <v>0.629</v>
      </c>
      <c r="K543" s="13" t="str">
        <f t="shared" si="8"/>
        <v>HE72_HCS APJ VxRail Korean</v>
      </c>
      <c r="L543" s="13" t="s">
        <v>2127</v>
      </c>
      <c r="M543" s="13" t="s">
        <v>1810</v>
      </c>
      <c r="N543" s="13">
        <v>4</v>
      </c>
      <c r="O543" s="13" t="s">
        <v>905</v>
      </c>
      <c r="P543" s="34" t="s">
        <v>1958</v>
      </c>
    </row>
    <row r="544" spans="1:17" ht="15" customHeight="1" collapsed="1" x14ac:dyDescent="0.3">
      <c r="A544" s="13" t="s">
        <v>1825</v>
      </c>
      <c r="B544" s="13" t="s">
        <v>1825</v>
      </c>
      <c r="C544" s="13" t="s">
        <v>1827</v>
      </c>
      <c r="D544" s="13" t="s">
        <v>1044</v>
      </c>
      <c r="E544" s="13" t="s">
        <v>44</v>
      </c>
      <c r="F544" s="13" t="s">
        <v>109</v>
      </c>
      <c r="G544" s="13" t="s">
        <v>8</v>
      </c>
      <c r="H544" s="13" t="s">
        <v>935</v>
      </c>
      <c r="I544" s="13" t="s">
        <v>936</v>
      </c>
      <c r="J544" s="52">
        <v>0.57099999999999995</v>
      </c>
      <c r="K544" s="13" t="str">
        <f t="shared" si="8"/>
        <v>HED1_LATAM Networker Portuguese</v>
      </c>
      <c r="L544" s="13" t="s">
        <v>2131</v>
      </c>
      <c r="M544" s="13" t="s">
        <v>1885</v>
      </c>
      <c r="N544" s="13">
        <v>8</v>
      </c>
      <c r="O544" s="13" t="s">
        <v>905</v>
      </c>
      <c r="P544" s="34" t="s">
        <v>1958</v>
      </c>
    </row>
    <row r="545" spans="1:16" ht="15" customHeight="1" collapsed="1" x14ac:dyDescent="0.3">
      <c r="A545" s="13" t="s">
        <v>1826</v>
      </c>
      <c r="B545" s="13" t="s">
        <v>1826</v>
      </c>
      <c r="C545" s="13" t="s">
        <v>1828</v>
      </c>
      <c r="D545" s="13" t="s">
        <v>1044</v>
      </c>
      <c r="E545" s="13" t="s">
        <v>44</v>
      </c>
      <c r="F545" s="13" t="s">
        <v>109</v>
      </c>
      <c r="G545" s="13" t="s">
        <v>8</v>
      </c>
      <c r="H545" s="13" t="s">
        <v>935</v>
      </c>
      <c r="I545" s="13" t="s">
        <v>1076</v>
      </c>
      <c r="J545" s="52">
        <v>0.64100000000000001</v>
      </c>
      <c r="K545" s="13" t="str">
        <f t="shared" si="8"/>
        <v>HED2_LATAM Networker Spanish</v>
      </c>
      <c r="L545" s="13" t="s">
        <v>2131</v>
      </c>
      <c r="M545" s="13" t="s">
        <v>1885</v>
      </c>
      <c r="N545" s="13">
        <v>6</v>
      </c>
      <c r="O545" s="13" t="s">
        <v>905</v>
      </c>
      <c r="P545" s="34" t="s">
        <v>1958</v>
      </c>
    </row>
    <row r="546" spans="1:16" ht="15" customHeight="1" collapsed="1" x14ac:dyDescent="0.3">
      <c r="A546" s="13" t="s">
        <v>1833</v>
      </c>
      <c r="B546" s="13" t="s">
        <v>1833</v>
      </c>
      <c r="C546" s="13" t="s">
        <v>1834</v>
      </c>
      <c r="D546" s="13" t="s">
        <v>973</v>
      </c>
      <c r="E546" s="13" t="s">
        <v>301</v>
      </c>
      <c r="F546" s="13" t="s">
        <v>357</v>
      </c>
      <c r="G546" s="13" t="s">
        <v>8</v>
      </c>
      <c r="H546" s="13" t="s">
        <v>935</v>
      </c>
      <c r="I546" s="13" t="s">
        <v>936</v>
      </c>
      <c r="J546" s="52">
        <v>0.57099999999999995</v>
      </c>
      <c r="K546" s="13" t="str">
        <f t="shared" si="8"/>
        <v>HEE4_LATAM Primary Storage Portuguese</v>
      </c>
      <c r="L546" s="13" t="s">
        <v>2131</v>
      </c>
      <c r="M546" s="13" t="s">
        <v>1885</v>
      </c>
      <c r="N546" s="13">
        <v>13</v>
      </c>
      <c r="O546" s="13" t="s">
        <v>905</v>
      </c>
      <c r="P546" s="34" t="s">
        <v>1958</v>
      </c>
    </row>
    <row r="547" spans="1:16" ht="15" customHeight="1" collapsed="1" x14ac:dyDescent="0.3">
      <c r="A547" s="13" t="s">
        <v>1835</v>
      </c>
      <c r="B547" s="13" t="s">
        <v>1835</v>
      </c>
      <c r="C547" s="13" t="s">
        <v>1836</v>
      </c>
      <c r="D547" s="13" t="s">
        <v>973</v>
      </c>
      <c r="E547" s="13" t="s">
        <v>301</v>
      </c>
      <c r="F547" s="13" t="s">
        <v>357</v>
      </c>
      <c r="G547" s="13" t="s">
        <v>8</v>
      </c>
      <c r="H547" s="13" t="s">
        <v>935</v>
      </c>
      <c r="I547" s="13" t="s">
        <v>1076</v>
      </c>
      <c r="J547" s="52">
        <v>0.64100000000000001</v>
      </c>
      <c r="K547" s="13" t="str">
        <f t="shared" si="8"/>
        <v>HEE5_LATAM Primary Storage Spanish</v>
      </c>
      <c r="L547" s="13" t="s">
        <v>2131</v>
      </c>
      <c r="M547" s="13" t="s">
        <v>1885</v>
      </c>
      <c r="N547" s="13">
        <v>8</v>
      </c>
      <c r="O547" s="13" t="s">
        <v>905</v>
      </c>
      <c r="P547" s="34" t="s">
        <v>1958</v>
      </c>
    </row>
    <row r="548" spans="1:16" ht="15" customHeight="1" collapsed="1" x14ac:dyDescent="0.3">
      <c r="A548" s="13" t="s">
        <v>1818</v>
      </c>
      <c r="B548" s="13" t="s">
        <v>1818</v>
      </c>
      <c r="C548" s="13" t="s">
        <v>1819</v>
      </c>
      <c r="D548" s="13" t="s">
        <v>1044</v>
      </c>
      <c r="E548" s="13" t="s">
        <v>44</v>
      </c>
      <c r="F548" s="13" t="s">
        <v>45</v>
      </c>
      <c r="G548" s="13" t="s">
        <v>8</v>
      </c>
      <c r="H548" s="13" t="s">
        <v>935</v>
      </c>
      <c r="I548" s="13" t="s">
        <v>1069</v>
      </c>
      <c r="J548" s="52">
        <v>0.64100000000000001</v>
      </c>
      <c r="K548" s="13" t="str">
        <f t="shared" si="8"/>
        <v>HEG3_LATAM Avamar Spanish</v>
      </c>
      <c r="L548" s="13" t="s">
        <v>2131</v>
      </c>
      <c r="M548" s="13" t="s">
        <v>1885</v>
      </c>
      <c r="N548" s="13">
        <v>10</v>
      </c>
      <c r="O548" s="13" t="s">
        <v>905</v>
      </c>
      <c r="P548" s="34" t="s">
        <v>1958</v>
      </c>
    </row>
    <row r="549" spans="1:16" ht="15" customHeight="1" collapsed="1" x14ac:dyDescent="0.3">
      <c r="A549" s="13" t="s">
        <v>1821</v>
      </c>
      <c r="B549" s="13" t="s">
        <v>1821</v>
      </c>
      <c r="C549" s="13" t="s">
        <v>1823</v>
      </c>
      <c r="D549" s="13" t="s">
        <v>1044</v>
      </c>
      <c r="E549" s="13" t="s">
        <v>44</v>
      </c>
      <c r="F549" s="13" t="s">
        <v>71</v>
      </c>
      <c r="G549" s="13" t="s">
        <v>8</v>
      </c>
      <c r="H549" s="13" t="s">
        <v>935</v>
      </c>
      <c r="I549" s="13" t="s">
        <v>936</v>
      </c>
      <c r="J549" s="52">
        <v>0.57099999999999995</v>
      </c>
      <c r="K549" s="13" t="str">
        <f t="shared" si="8"/>
        <v>HEH4_LATAM DataDomain Portuguese</v>
      </c>
      <c r="L549" s="13" t="s">
        <v>2131</v>
      </c>
      <c r="M549" s="13" t="s">
        <v>1885</v>
      </c>
      <c r="N549" s="13">
        <v>6</v>
      </c>
      <c r="O549" s="13" t="s">
        <v>905</v>
      </c>
      <c r="P549" s="34" t="s">
        <v>1958</v>
      </c>
    </row>
    <row r="550" spans="1:16" ht="15" customHeight="1" collapsed="1" x14ac:dyDescent="0.3">
      <c r="A550" s="13" t="s">
        <v>1822</v>
      </c>
      <c r="B550" s="13" t="s">
        <v>1822</v>
      </c>
      <c r="C550" s="13" t="s">
        <v>1824</v>
      </c>
      <c r="D550" s="13" t="s">
        <v>1044</v>
      </c>
      <c r="E550" s="13" t="s">
        <v>44</v>
      </c>
      <c r="F550" s="13" t="s">
        <v>71</v>
      </c>
      <c r="G550" s="13" t="s">
        <v>8</v>
      </c>
      <c r="H550" s="13" t="s">
        <v>935</v>
      </c>
      <c r="I550" s="13" t="s">
        <v>1076</v>
      </c>
      <c r="J550" s="52">
        <v>0.64100000000000001</v>
      </c>
      <c r="K550" s="13" t="str">
        <f t="shared" si="8"/>
        <v>HEH5_LATAM DataDomain Spanish</v>
      </c>
      <c r="L550" s="13" t="s">
        <v>2131</v>
      </c>
      <c r="M550" s="13" t="s">
        <v>1885</v>
      </c>
      <c r="N550" s="13">
        <v>6</v>
      </c>
      <c r="O550" s="13" t="s">
        <v>905</v>
      </c>
      <c r="P550" s="34" t="s">
        <v>1958</v>
      </c>
    </row>
    <row r="551" spans="1:16" ht="15" customHeight="1" collapsed="1" x14ac:dyDescent="0.3">
      <c r="A551" s="13" t="s">
        <v>374</v>
      </c>
      <c r="B551" s="13" t="s">
        <v>374</v>
      </c>
      <c r="C551" s="13" t="s">
        <v>375</v>
      </c>
      <c r="D551" s="13" t="s">
        <v>914</v>
      </c>
      <c r="E551" s="13" t="s">
        <v>301</v>
      </c>
      <c r="F551" s="13" t="s">
        <v>357</v>
      </c>
      <c r="G551" s="13" t="s">
        <v>8</v>
      </c>
      <c r="H551" s="13" t="s">
        <v>903</v>
      </c>
      <c r="I551" s="13" t="s">
        <v>1063</v>
      </c>
      <c r="J551" s="52">
        <v>0.629</v>
      </c>
      <c r="K551" s="13" t="str">
        <f t="shared" si="8"/>
        <v>HEK8_APJ HES Symmetrix Korean</v>
      </c>
      <c r="L551" s="13" t="s">
        <v>2130</v>
      </c>
      <c r="M551" s="13" t="s">
        <v>972</v>
      </c>
      <c r="N551" s="13">
        <v>4</v>
      </c>
      <c r="O551" s="13" t="s">
        <v>905</v>
      </c>
      <c r="P551" s="34" t="s">
        <v>1958</v>
      </c>
    </row>
    <row r="552" spans="1:16" ht="15" customHeight="1" collapsed="1" x14ac:dyDescent="0.3">
      <c r="A552" s="13" t="s">
        <v>1830</v>
      </c>
      <c r="B552" s="13" t="s">
        <v>1830</v>
      </c>
      <c r="C552" s="13" t="s">
        <v>1832</v>
      </c>
      <c r="D552" s="13" t="s">
        <v>1044</v>
      </c>
      <c r="E552" s="13" t="s">
        <v>672</v>
      </c>
      <c r="F552" s="13" t="s">
        <v>673</v>
      </c>
      <c r="G552" s="13" t="s">
        <v>8</v>
      </c>
      <c r="H552" s="13" t="s">
        <v>935</v>
      </c>
      <c r="I552" s="13" t="s">
        <v>1076</v>
      </c>
      <c r="J552" s="52">
        <v>0.64100000000000001</v>
      </c>
      <c r="K552" s="13" t="str">
        <f t="shared" si="8"/>
        <v>HEL1_LATAM PowerScale Spanish</v>
      </c>
      <c r="L552" s="13" t="s">
        <v>2131</v>
      </c>
      <c r="M552" s="13" t="s">
        <v>1885</v>
      </c>
      <c r="N552" s="13">
        <v>6</v>
      </c>
      <c r="O552" s="13" t="s">
        <v>905</v>
      </c>
      <c r="P552" s="34" t="s">
        <v>1958</v>
      </c>
    </row>
    <row r="553" spans="1:16" ht="15" customHeight="1" collapsed="1" x14ac:dyDescent="0.3">
      <c r="A553" s="13" t="s">
        <v>1817</v>
      </c>
      <c r="B553" s="13" t="s">
        <v>1817</v>
      </c>
      <c r="C553" s="13" t="s">
        <v>1820</v>
      </c>
      <c r="D553" s="13" t="s">
        <v>1044</v>
      </c>
      <c r="E553" s="13" t="s">
        <v>44</v>
      </c>
      <c r="F553" s="13" t="s">
        <v>45</v>
      </c>
      <c r="G553" s="13" t="s">
        <v>8</v>
      </c>
      <c r="H553" s="13" t="s">
        <v>935</v>
      </c>
      <c r="I553" s="13" t="s">
        <v>1069</v>
      </c>
      <c r="J553" s="52">
        <v>0.64100000000000001</v>
      </c>
      <c r="K553" s="13" t="str">
        <f t="shared" si="8"/>
        <v>HEL2_LATAM Avamar Portuguese</v>
      </c>
      <c r="L553" s="13" t="s">
        <v>2131</v>
      </c>
      <c r="M553" s="13" t="s">
        <v>1885</v>
      </c>
      <c r="N553" s="13">
        <v>10</v>
      </c>
      <c r="O553" s="13" t="s">
        <v>905</v>
      </c>
      <c r="P553" s="34" t="s">
        <v>1958</v>
      </c>
    </row>
    <row r="554" spans="1:16" ht="15" customHeight="1" collapsed="1" x14ac:dyDescent="0.3">
      <c r="A554" s="13" t="s">
        <v>1829</v>
      </c>
      <c r="B554" s="13" t="s">
        <v>1829</v>
      </c>
      <c r="C554" s="13" t="s">
        <v>1831</v>
      </c>
      <c r="D554" s="13" t="s">
        <v>1044</v>
      </c>
      <c r="E554" s="13" t="s">
        <v>672</v>
      </c>
      <c r="F554" s="13" t="s">
        <v>673</v>
      </c>
      <c r="G554" s="13" t="s">
        <v>8</v>
      </c>
      <c r="H554" s="13" t="s">
        <v>935</v>
      </c>
      <c r="I554" s="13" t="s">
        <v>936</v>
      </c>
      <c r="J554" s="52">
        <v>0.57099999999999995</v>
      </c>
      <c r="K554" s="13" t="str">
        <f t="shared" si="8"/>
        <v>HEL3_LATAM PowerScale Portuguese</v>
      </c>
      <c r="L554" s="13" t="s">
        <v>2131</v>
      </c>
      <c r="M554" s="13" t="s">
        <v>1885</v>
      </c>
      <c r="N554" s="13">
        <v>6</v>
      </c>
      <c r="O554" s="13" t="s">
        <v>905</v>
      </c>
      <c r="P554" s="34" t="s">
        <v>1958</v>
      </c>
    </row>
    <row r="555" spans="1:16" ht="15" customHeight="1" collapsed="1" x14ac:dyDescent="0.3">
      <c r="A555" s="13" t="s">
        <v>1837</v>
      </c>
      <c r="B555" s="13" t="s">
        <v>1837</v>
      </c>
      <c r="C555" s="13" t="s">
        <v>1838</v>
      </c>
      <c r="D555" s="13" t="s">
        <v>1044</v>
      </c>
      <c r="E555" s="13" t="s">
        <v>672</v>
      </c>
      <c r="F555" s="13" t="s">
        <v>702</v>
      </c>
      <c r="G555" s="13" t="s">
        <v>8</v>
      </c>
      <c r="H555" s="13" t="s">
        <v>935</v>
      </c>
      <c r="I555" s="13" t="s">
        <v>936</v>
      </c>
      <c r="J555" s="52">
        <v>0.57099999999999995</v>
      </c>
      <c r="K555" s="13" t="str">
        <f t="shared" si="8"/>
        <v>HEL4_LATAM ECS Portuguese</v>
      </c>
      <c r="L555" s="13" t="s">
        <v>2131</v>
      </c>
      <c r="M555" s="13" t="s">
        <v>1885</v>
      </c>
      <c r="N555" s="13">
        <v>4</v>
      </c>
      <c r="O555" s="13" t="s">
        <v>905</v>
      </c>
      <c r="P555" s="34" t="s">
        <v>1958</v>
      </c>
    </row>
    <row r="556" spans="1:16" ht="15" customHeight="1" collapsed="1" x14ac:dyDescent="0.3">
      <c r="A556" s="13" t="s">
        <v>1840</v>
      </c>
      <c r="B556" s="13" t="s">
        <v>1840</v>
      </c>
      <c r="C556" s="13" t="s">
        <v>1839</v>
      </c>
      <c r="D556" s="13" t="s">
        <v>1044</v>
      </c>
      <c r="E556" s="13" t="s">
        <v>672</v>
      </c>
      <c r="F556" s="13" t="s">
        <v>702</v>
      </c>
      <c r="G556" s="13" t="s">
        <v>8</v>
      </c>
      <c r="H556" s="13" t="s">
        <v>935</v>
      </c>
      <c r="I556" s="13" t="s">
        <v>1076</v>
      </c>
      <c r="J556" s="52">
        <v>0.64100000000000001</v>
      </c>
      <c r="K556" s="13" t="str">
        <f t="shared" si="8"/>
        <v>HEL5_LATAM ECS Spanish</v>
      </c>
      <c r="L556" s="13" t="s">
        <v>2131</v>
      </c>
      <c r="M556" s="13" t="s">
        <v>1885</v>
      </c>
      <c r="N556" s="13">
        <v>4</v>
      </c>
      <c r="O556" s="13" t="s">
        <v>905</v>
      </c>
      <c r="P556" s="34" t="s">
        <v>1958</v>
      </c>
    </row>
    <row r="557" spans="1:16" ht="15" customHeight="1" collapsed="1" x14ac:dyDescent="0.3">
      <c r="A557" s="13" t="s">
        <v>692</v>
      </c>
      <c r="B557" s="13" t="s">
        <v>692</v>
      </c>
      <c r="C557" s="13" t="s">
        <v>1913</v>
      </c>
      <c r="D557" s="13" t="s">
        <v>914</v>
      </c>
      <c r="E557" s="13" t="s">
        <v>672</v>
      </c>
      <c r="F557" s="13" t="s">
        <v>673</v>
      </c>
      <c r="G557" s="13" t="s">
        <v>8</v>
      </c>
      <c r="H557" s="13" t="s">
        <v>903</v>
      </c>
      <c r="I557" s="13" t="s">
        <v>904</v>
      </c>
      <c r="J557" s="52">
        <v>0.629</v>
      </c>
      <c r="K557" s="13" t="str">
        <f t="shared" si="8"/>
        <v>IS01_APJ UDS PowerScale</v>
      </c>
      <c r="L557" s="13" t="s">
        <v>2129</v>
      </c>
      <c r="M557" s="13" t="s">
        <v>1884</v>
      </c>
      <c r="N557" s="13">
        <v>16</v>
      </c>
      <c r="O557" s="13" t="s">
        <v>905</v>
      </c>
      <c r="P557" s="34" t="s">
        <v>1958</v>
      </c>
    </row>
    <row r="558" spans="1:16" ht="15" customHeight="1" collapsed="1" x14ac:dyDescent="0.3">
      <c r="A558" s="13" t="s">
        <v>694</v>
      </c>
      <c r="B558" s="13" t="s">
        <v>694</v>
      </c>
      <c r="C558" s="13" t="s">
        <v>1914</v>
      </c>
      <c r="D558" s="13" t="s">
        <v>1044</v>
      </c>
      <c r="E558" s="13" t="s">
        <v>672</v>
      </c>
      <c r="F558" s="13" t="s">
        <v>673</v>
      </c>
      <c r="G558" s="13" t="s">
        <v>8</v>
      </c>
      <c r="H558" s="13" t="s">
        <v>912</v>
      </c>
      <c r="I558" s="13" t="s">
        <v>966</v>
      </c>
      <c r="J558" s="52">
        <v>0.61699999999999999</v>
      </c>
      <c r="K558" s="13" t="str">
        <f t="shared" si="8"/>
        <v>IS02_EMEA UDS PowerScale</v>
      </c>
      <c r="L558" s="13" t="s">
        <v>2129</v>
      </c>
      <c r="M558" s="13" t="s">
        <v>1884</v>
      </c>
      <c r="N558" s="13">
        <v>11</v>
      </c>
      <c r="O558" s="13" t="s">
        <v>905</v>
      </c>
      <c r="P558" s="34" t="s">
        <v>1958</v>
      </c>
    </row>
    <row r="559" spans="1:16" ht="15" customHeight="1" collapsed="1" x14ac:dyDescent="0.3">
      <c r="A559" s="13" t="s">
        <v>700</v>
      </c>
      <c r="B559" s="13" t="s">
        <v>700</v>
      </c>
      <c r="C559" s="13" t="s">
        <v>1917</v>
      </c>
      <c r="D559" s="13" t="s">
        <v>1044</v>
      </c>
      <c r="E559" s="13" t="s">
        <v>672</v>
      </c>
      <c r="F559" s="13" t="s">
        <v>673</v>
      </c>
      <c r="G559" s="13" t="s">
        <v>8</v>
      </c>
      <c r="H559" s="13" t="s">
        <v>893</v>
      </c>
      <c r="I559" s="13" t="s">
        <v>1070</v>
      </c>
      <c r="J559" s="52">
        <v>0.64800000000000002</v>
      </c>
      <c r="K559" s="13" t="str">
        <f t="shared" si="8"/>
        <v>IS05_NAMER UDS PowerScale</v>
      </c>
      <c r="L559" s="13" t="s">
        <v>2129</v>
      </c>
      <c r="M559" s="13" t="s">
        <v>1884</v>
      </c>
      <c r="N559" s="13">
        <v>14</v>
      </c>
      <c r="O559" s="13" t="s">
        <v>905</v>
      </c>
      <c r="P559" s="34" t="s">
        <v>1958</v>
      </c>
    </row>
    <row r="560" spans="1:16" ht="15" customHeight="1" collapsed="1" x14ac:dyDescent="0.3">
      <c r="A560" s="13" t="s">
        <v>56</v>
      </c>
      <c r="B560" s="13" t="s">
        <v>56</v>
      </c>
      <c r="C560" s="13" t="s">
        <v>57</v>
      </c>
      <c r="D560" s="13" t="s">
        <v>914</v>
      </c>
      <c r="E560" s="13" t="s">
        <v>44</v>
      </c>
      <c r="F560" s="13" t="s">
        <v>45</v>
      </c>
      <c r="G560" s="13" t="s">
        <v>8</v>
      </c>
      <c r="H560" s="13" t="s">
        <v>903</v>
      </c>
      <c r="I560" s="13" t="s">
        <v>904</v>
      </c>
      <c r="J560" s="52">
        <v>0.629</v>
      </c>
      <c r="K560" s="13" t="str">
        <f t="shared" si="8"/>
        <v>IS11_APJ DPD AVAMAR</v>
      </c>
      <c r="L560" s="13" t="s">
        <v>2129</v>
      </c>
      <c r="M560" s="13" t="s">
        <v>1884</v>
      </c>
      <c r="N560" s="13">
        <v>11</v>
      </c>
      <c r="O560" s="13" t="s">
        <v>905</v>
      </c>
      <c r="P560" s="34" t="s">
        <v>1958</v>
      </c>
    </row>
    <row r="561" spans="1:17" ht="15" hidden="1" customHeight="1" collapsed="1" x14ac:dyDescent="0.3">
      <c r="A561" s="13" t="s">
        <v>2144</v>
      </c>
      <c r="B561" s="13" t="s">
        <v>316</v>
      </c>
      <c r="C561" s="13" t="s">
        <v>317</v>
      </c>
      <c r="D561" s="13" t="s">
        <v>914</v>
      </c>
      <c r="E561" s="13" t="s">
        <v>301</v>
      </c>
      <c r="F561" s="13" t="s">
        <v>305</v>
      </c>
      <c r="G561" s="13" t="s">
        <v>8</v>
      </c>
      <c r="H561" s="13" t="s">
        <v>903</v>
      </c>
      <c r="I561" s="13" t="s">
        <v>906</v>
      </c>
      <c r="J561" s="14">
        <v>0.629</v>
      </c>
      <c r="K561" s="13" t="str">
        <f t="shared" si="8"/>
        <v>IS14_APJ HES Connectivity</v>
      </c>
      <c r="L561" s="13" t="s">
        <v>1962</v>
      </c>
      <c r="M561" s="13" t="s">
        <v>972</v>
      </c>
      <c r="N561" s="13">
        <v>13</v>
      </c>
      <c r="O561" s="13" t="s">
        <v>905</v>
      </c>
      <c r="P561" s="34" t="s">
        <v>1958</v>
      </c>
      <c r="Q561" s="13" t="s">
        <v>2138</v>
      </c>
    </row>
    <row r="562" spans="1:17" ht="15" customHeight="1" collapsed="1" x14ac:dyDescent="0.3">
      <c r="A562" s="13" t="s">
        <v>82</v>
      </c>
      <c r="B562" s="13" t="s">
        <v>82</v>
      </c>
      <c r="C562" s="13" t="s">
        <v>83</v>
      </c>
      <c r="D562" s="13" t="s">
        <v>914</v>
      </c>
      <c r="E562" s="13" t="s">
        <v>44</v>
      </c>
      <c r="F562" s="13" t="s">
        <v>71</v>
      </c>
      <c r="G562" s="13" t="s">
        <v>8</v>
      </c>
      <c r="H562" s="13" t="s">
        <v>903</v>
      </c>
      <c r="I562" s="13" t="s">
        <v>904</v>
      </c>
      <c r="J562" s="52">
        <v>0.629</v>
      </c>
      <c r="K562" s="13" t="str">
        <f t="shared" si="8"/>
        <v>IS15_APJ DPD DataDomain</v>
      </c>
      <c r="L562" s="13" t="s">
        <v>2129</v>
      </c>
      <c r="M562" s="13" t="s">
        <v>1884</v>
      </c>
      <c r="N562" s="13">
        <v>7</v>
      </c>
      <c r="O562" s="13" t="s">
        <v>905</v>
      </c>
      <c r="P562" s="34" t="s">
        <v>1958</v>
      </c>
    </row>
    <row r="563" spans="1:17" ht="15" hidden="1" customHeight="1" collapsed="1" x14ac:dyDescent="0.3">
      <c r="A563" s="13" t="s">
        <v>2144</v>
      </c>
      <c r="B563" s="13" t="s">
        <v>344</v>
      </c>
      <c r="C563" s="13" t="s">
        <v>345</v>
      </c>
      <c r="D563" s="13" t="s">
        <v>914</v>
      </c>
      <c r="E563" s="13" t="s">
        <v>301</v>
      </c>
      <c r="F563" s="13" t="s">
        <v>334</v>
      </c>
      <c r="G563" s="13" t="s">
        <v>8</v>
      </c>
      <c r="H563" s="13" t="s">
        <v>903</v>
      </c>
      <c r="I563" s="13" t="s">
        <v>904</v>
      </c>
      <c r="J563" s="14">
        <v>0.629</v>
      </c>
      <c r="K563" s="13" t="str">
        <f t="shared" si="8"/>
        <v>IS21_APJ HES Integrated_Software</v>
      </c>
      <c r="L563" s="13" t="s">
        <v>1962</v>
      </c>
      <c r="M563" s="13" t="s">
        <v>972</v>
      </c>
      <c r="N563" s="13">
        <v>16</v>
      </c>
      <c r="O563" s="13" t="s">
        <v>905</v>
      </c>
      <c r="P563" s="34" t="s">
        <v>1958</v>
      </c>
      <c r="Q563" s="13" t="s">
        <v>2139</v>
      </c>
    </row>
    <row r="564" spans="1:17" ht="15" customHeight="1" collapsed="1" x14ac:dyDescent="0.3">
      <c r="A564" s="13" t="s">
        <v>120</v>
      </c>
      <c r="B564" s="13" t="s">
        <v>120</v>
      </c>
      <c r="C564" s="13" t="s">
        <v>121</v>
      </c>
      <c r="D564" s="13" t="s">
        <v>914</v>
      </c>
      <c r="E564" s="13" t="s">
        <v>44</v>
      </c>
      <c r="F564" s="13" t="s">
        <v>109</v>
      </c>
      <c r="G564" s="13" t="s">
        <v>8</v>
      </c>
      <c r="H564" s="13" t="s">
        <v>903</v>
      </c>
      <c r="I564" s="13" t="s">
        <v>904</v>
      </c>
      <c r="J564" s="52">
        <v>0.629</v>
      </c>
      <c r="K564" s="13" t="str">
        <f t="shared" si="8"/>
        <v>IS23_APJ DPD Networker</v>
      </c>
      <c r="L564" s="13" t="s">
        <v>2129</v>
      </c>
      <c r="M564" s="13" t="s">
        <v>1884</v>
      </c>
      <c r="N564" s="13">
        <v>12</v>
      </c>
      <c r="O564" s="13" t="s">
        <v>905</v>
      </c>
      <c r="P564" s="34" t="s">
        <v>1958</v>
      </c>
    </row>
    <row r="565" spans="1:17" ht="15" hidden="1" customHeight="1" collapsed="1" x14ac:dyDescent="0.3">
      <c r="A565" s="13" t="s">
        <v>2144</v>
      </c>
      <c r="B565" s="13" t="s">
        <v>376</v>
      </c>
      <c r="C565" s="13" t="s">
        <v>377</v>
      </c>
      <c r="D565" s="13" t="s">
        <v>914</v>
      </c>
      <c r="E565" s="13" t="s">
        <v>301</v>
      </c>
      <c r="F565" s="13" t="s">
        <v>357</v>
      </c>
      <c r="G565" s="13" t="s">
        <v>8</v>
      </c>
      <c r="H565" s="13" t="s">
        <v>903</v>
      </c>
      <c r="I565" s="13" t="s">
        <v>904</v>
      </c>
      <c r="J565" s="14">
        <v>0.629</v>
      </c>
      <c r="K565" s="13" t="str">
        <f t="shared" si="8"/>
        <v>IS31_APJ HES Symmetrix</v>
      </c>
      <c r="L565" s="13" t="s">
        <v>1962</v>
      </c>
      <c r="M565" s="13" t="s">
        <v>972</v>
      </c>
      <c r="N565" s="13">
        <v>12</v>
      </c>
      <c r="O565" s="13" t="s">
        <v>905</v>
      </c>
      <c r="P565" s="34" t="s">
        <v>1958</v>
      </c>
      <c r="Q565" s="13" t="s">
        <v>2140</v>
      </c>
    </row>
    <row r="566" spans="1:17" ht="15" hidden="1" customHeight="1" collapsed="1" x14ac:dyDescent="0.3">
      <c r="A566" s="13" t="s">
        <v>2144</v>
      </c>
      <c r="B566" s="13" t="s">
        <v>393</v>
      </c>
      <c r="C566" s="13" t="s">
        <v>394</v>
      </c>
      <c r="D566" s="13" t="s">
        <v>914</v>
      </c>
      <c r="E566" s="13" t="s">
        <v>301</v>
      </c>
      <c r="F566" s="13" t="s">
        <v>386</v>
      </c>
      <c r="G566" s="13" t="s">
        <v>8</v>
      </c>
      <c r="H566" s="13" t="s">
        <v>903</v>
      </c>
      <c r="I566" s="13" t="s">
        <v>904</v>
      </c>
      <c r="J566" s="14">
        <v>0.629</v>
      </c>
      <c r="K566" s="13" t="str">
        <f t="shared" si="8"/>
        <v>IS32_APJ HES SymmSW</v>
      </c>
      <c r="L566" s="13" t="s">
        <v>1962</v>
      </c>
      <c r="M566" s="13" t="s">
        <v>972</v>
      </c>
      <c r="N566" s="13">
        <v>12</v>
      </c>
      <c r="O566" s="13" t="s">
        <v>905</v>
      </c>
      <c r="P566" s="34" t="s">
        <v>1958</v>
      </c>
      <c r="Q566" s="13" t="s">
        <v>2141</v>
      </c>
    </row>
    <row r="567" spans="1:17" ht="15" hidden="1" customHeight="1" collapsed="1" x14ac:dyDescent="0.3">
      <c r="A567" s="13" t="s">
        <v>2144</v>
      </c>
      <c r="B567" s="13" t="s">
        <v>252</v>
      </c>
      <c r="C567" s="13" t="s">
        <v>253</v>
      </c>
      <c r="D567" s="13" t="s">
        <v>914</v>
      </c>
      <c r="E567" s="13" t="s">
        <v>229</v>
      </c>
      <c r="F567" s="13" t="s">
        <v>229</v>
      </c>
      <c r="G567" s="13" t="s">
        <v>8</v>
      </c>
      <c r="H567" s="13" t="s">
        <v>903</v>
      </c>
      <c r="I567" s="13" t="s">
        <v>904</v>
      </c>
      <c r="J567" s="14">
        <v>0.629</v>
      </c>
      <c r="K567" s="13" t="str">
        <f t="shared" si="8"/>
        <v>IS34_APJ HES MIDRANGE</v>
      </c>
      <c r="L567" s="13" t="s">
        <v>1962</v>
      </c>
      <c r="M567" s="13" t="s">
        <v>972</v>
      </c>
      <c r="N567" s="13">
        <v>16</v>
      </c>
      <c r="O567" s="13" t="s">
        <v>905</v>
      </c>
      <c r="P567" s="34" t="s">
        <v>1958</v>
      </c>
      <c r="Q567" s="13" t="s">
        <v>2142</v>
      </c>
    </row>
    <row r="568" spans="1:17" ht="15" hidden="1" customHeight="1" collapsed="1" x14ac:dyDescent="0.3">
      <c r="A568" s="13" t="s">
        <v>2144</v>
      </c>
      <c r="B568" s="13" t="s">
        <v>410</v>
      </c>
      <c r="C568" s="13" t="s">
        <v>411</v>
      </c>
      <c r="D568" s="13" t="s">
        <v>914</v>
      </c>
      <c r="E568" s="13" t="s">
        <v>301</v>
      </c>
      <c r="F568" s="13" t="s">
        <v>403</v>
      </c>
      <c r="G568" s="13" t="s">
        <v>8</v>
      </c>
      <c r="H568" s="13" t="s">
        <v>903</v>
      </c>
      <c r="I568" s="13" t="s">
        <v>904</v>
      </c>
      <c r="J568" s="14">
        <v>0.629</v>
      </c>
      <c r="K568" s="13" t="str">
        <f t="shared" si="8"/>
        <v>IS36_APJ HES Vplex</v>
      </c>
      <c r="L568" s="13" t="s">
        <v>1962</v>
      </c>
      <c r="M568" s="13" t="s">
        <v>972</v>
      </c>
      <c r="N568" s="13">
        <v>9</v>
      </c>
      <c r="O568" s="13" t="s">
        <v>905</v>
      </c>
      <c r="P568" s="34" t="s">
        <v>1958</v>
      </c>
      <c r="Q568" s="13" t="s">
        <v>2143</v>
      </c>
    </row>
    <row r="569" spans="1:17" ht="15" customHeight="1" collapsed="1" x14ac:dyDescent="0.3">
      <c r="A569" s="13" t="s">
        <v>428</v>
      </c>
      <c r="B569" s="13" t="s">
        <v>428</v>
      </c>
      <c r="C569" s="13" t="s">
        <v>429</v>
      </c>
      <c r="D569" s="13" t="s">
        <v>914</v>
      </c>
      <c r="E569" s="13" t="s">
        <v>301</v>
      </c>
      <c r="F569" s="13" t="s">
        <v>419</v>
      </c>
      <c r="G569" s="13" t="s">
        <v>8</v>
      </c>
      <c r="H569" s="13" t="s">
        <v>903</v>
      </c>
      <c r="I569" s="13" t="s">
        <v>918</v>
      </c>
      <c r="J569" s="52">
        <v>0.629</v>
      </c>
      <c r="K569" s="13" t="str">
        <f t="shared" si="8"/>
        <v>IS37_APJ HES XtremIO</v>
      </c>
      <c r="L569" s="13" t="s">
        <v>2130</v>
      </c>
      <c r="M569" s="13" t="s">
        <v>972</v>
      </c>
      <c r="N569" s="13">
        <v>4</v>
      </c>
      <c r="O569" s="13" t="s">
        <v>905</v>
      </c>
      <c r="P569" s="34" t="s">
        <v>1958</v>
      </c>
    </row>
    <row r="570" spans="1:17" ht="15" customHeight="1" collapsed="1" x14ac:dyDescent="0.3">
      <c r="A570" s="13" t="s">
        <v>58</v>
      </c>
      <c r="B570" s="13" t="s">
        <v>58</v>
      </c>
      <c r="C570" s="13" t="s">
        <v>59</v>
      </c>
      <c r="D570" s="13" t="s">
        <v>1044</v>
      </c>
      <c r="E570" s="13" t="s">
        <v>44</v>
      </c>
      <c r="F570" s="13" t="s">
        <v>45</v>
      </c>
      <c r="G570" s="13" t="s">
        <v>8</v>
      </c>
      <c r="H570" s="13" t="s">
        <v>912</v>
      </c>
      <c r="I570" s="13" t="s">
        <v>966</v>
      </c>
      <c r="J570" s="52">
        <v>0.61699999999999999</v>
      </c>
      <c r="K570" s="13" t="str">
        <f t="shared" si="8"/>
        <v>IS38_EMEA DPD AVAMAR</v>
      </c>
      <c r="L570" s="13" t="s">
        <v>2129</v>
      </c>
      <c r="M570" s="13" t="s">
        <v>1884</v>
      </c>
      <c r="N570" s="13">
        <v>9</v>
      </c>
      <c r="O570" s="13" t="s">
        <v>905</v>
      </c>
      <c r="P570" s="34" t="s">
        <v>1958</v>
      </c>
    </row>
    <row r="571" spans="1:17" ht="15" hidden="1" customHeight="1" collapsed="1" x14ac:dyDescent="0.3">
      <c r="A571" s="13" t="s">
        <v>2144</v>
      </c>
      <c r="B571" s="13" t="s">
        <v>318</v>
      </c>
      <c r="C571" s="13" t="s">
        <v>319</v>
      </c>
      <c r="D571" s="13" t="s">
        <v>973</v>
      </c>
      <c r="E571" s="13" t="s">
        <v>301</v>
      </c>
      <c r="F571" s="13" t="s">
        <v>305</v>
      </c>
      <c r="G571" s="13" t="s">
        <v>8</v>
      </c>
      <c r="H571" s="13" t="s">
        <v>912</v>
      </c>
      <c r="I571" s="13" t="s">
        <v>966</v>
      </c>
      <c r="J571" s="14">
        <v>0.61699999999999999</v>
      </c>
      <c r="K571" s="13" t="str">
        <f t="shared" si="8"/>
        <v>IS41_EMEA HES Connectivity</v>
      </c>
      <c r="L571" s="13" t="s">
        <v>1960</v>
      </c>
      <c r="M571" s="13" t="s">
        <v>972</v>
      </c>
      <c r="N571" s="13">
        <v>9</v>
      </c>
      <c r="O571" s="13" t="s">
        <v>905</v>
      </c>
      <c r="P571" s="34" t="s">
        <v>1958</v>
      </c>
      <c r="Q571" s="13" t="s">
        <v>2138</v>
      </c>
    </row>
    <row r="572" spans="1:17" ht="15" customHeight="1" collapsed="1" x14ac:dyDescent="0.3">
      <c r="A572" s="13" t="s">
        <v>84</v>
      </c>
      <c r="B572" s="13" t="s">
        <v>84</v>
      </c>
      <c r="C572" s="13" t="s">
        <v>85</v>
      </c>
      <c r="D572" s="13" t="s">
        <v>1044</v>
      </c>
      <c r="E572" s="13" t="s">
        <v>44</v>
      </c>
      <c r="F572" s="13" t="s">
        <v>71</v>
      </c>
      <c r="G572" s="13" t="s">
        <v>8</v>
      </c>
      <c r="H572" s="13" t="s">
        <v>912</v>
      </c>
      <c r="I572" s="13" t="s">
        <v>966</v>
      </c>
      <c r="J572" s="52">
        <v>0.61699999999999999</v>
      </c>
      <c r="K572" s="13" t="str">
        <f t="shared" si="8"/>
        <v>IS42_EMEA DPD DataDomain</v>
      </c>
      <c r="L572" s="13" t="s">
        <v>2129</v>
      </c>
      <c r="M572" s="13" t="s">
        <v>1884</v>
      </c>
      <c r="N572" s="13">
        <v>11</v>
      </c>
      <c r="O572" s="13" t="s">
        <v>905</v>
      </c>
      <c r="P572" s="34" t="s">
        <v>1958</v>
      </c>
    </row>
    <row r="573" spans="1:17" ht="15" hidden="1" customHeight="1" collapsed="1" x14ac:dyDescent="0.3">
      <c r="A573" s="13" t="s">
        <v>2144</v>
      </c>
      <c r="B573" s="13" t="s">
        <v>346</v>
      </c>
      <c r="C573" s="13" t="s">
        <v>347</v>
      </c>
      <c r="D573" s="13" t="s">
        <v>973</v>
      </c>
      <c r="E573" s="13" t="s">
        <v>301</v>
      </c>
      <c r="F573" s="13" t="s">
        <v>334</v>
      </c>
      <c r="G573" s="13" t="s">
        <v>8</v>
      </c>
      <c r="H573" s="13" t="s">
        <v>912</v>
      </c>
      <c r="I573" s="13" t="s">
        <v>966</v>
      </c>
      <c r="J573" s="14">
        <v>0.61699999999999999</v>
      </c>
      <c r="K573" s="13" t="str">
        <f t="shared" si="8"/>
        <v>IS48_EMEA HES Integrated_Software</v>
      </c>
      <c r="L573" s="13" t="s">
        <v>1960</v>
      </c>
      <c r="M573" s="13" t="s">
        <v>972</v>
      </c>
      <c r="N573" s="13">
        <v>9</v>
      </c>
      <c r="O573" s="13" t="s">
        <v>905</v>
      </c>
      <c r="P573" s="34" t="s">
        <v>1958</v>
      </c>
      <c r="Q573" s="13" t="s">
        <v>2139</v>
      </c>
    </row>
    <row r="574" spans="1:17" ht="15" customHeight="1" collapsed="1" x14ac:dyDescent="0.3">
      <c r="A574" s="13" t="s">
        <v>122</v>
      </c>
      <c r="B574" s="13" t="s">
        <v>122</v>
      </c>
      <c r="C574" s="13" t="s">
        <v>123</v>
      </c>
      <c r="D574" s="13" t="s">
        <v>1044</v>
      </c>
      <c r="E574" s="13" t="s">
        <v>44</v>
      </c>
      <c r="F574" s="13" t="s">
        <v>109</v>
      </c>
      <c r="G574" s="13" t="s">
        <v>8</v>
      </c>
      <c r="H574" s="13" t="s">
        <v>912</v>
      </c>
      <c r="I574" s="13" t="s">
        <v>966</v>
      </c>
      <c r="J574" s="52">
        <v>0.61699999999999999</v>
      </c>
      <c r="K574" s="13" t="str">
        <f t="shared" si="8"/>
        <v>IS50_EMEA DPD Networker</v>
      </c>
      <c r="L574" s="13" t="s">
        <v>2129</v>
      </c>
      <c r="M574" s="13" t="s">
        <v>1884</v>
      </c>
      <c r="N574" s="13">
        <v>11</v>
      </c>
      <c r="O574" s="13" t="s">
        <v>905</v>
      </c>
      <c r="P574" s="34" t="s">
        <v>1958</v>
      </c>
    </row>
    <row r="575" spans="1:17" ht="15" hidden="1" customHeight="1" collapsed="1" x14ac:dyDescent="0.3">
      <c r="A575" s="13" t="s">
        <v>2144</v>
      </c>
      <c r="B575" s="13" t="s">
        <v>378</v>
      </c>
      <c r="C575" s="13" t="s">
        <v>379</v>
      </c>
      <c r="D575" s="13" t="s">
        <v>973</v>
      </c>
      <c r="E575" s="13" t="s">
        <v>301</v>
      </c>
      <c r="F575" s="13" t="s">
        <v>357</v>
      </c>
      <c r="G575" s="13" t="s">
        <v>8</v>
      </c>
      <c r="H575" s="13" t="s">
        <v>912</v>
      </c>
      <c r="I575" s="13" t="s">
        <v>966</v>
      </c>
      <c r="J575" s="14">
        <v>0.61699999999999999</v>
      </c>
      <c r="K575" s="13" t="str">
        <f t="shared" si="8"/>
        <v>IS58_EMEA HES Symmetrix</v>
      </c>
      <c r="L575" s="13" t="s">
        <v>1960</v>
      </c>
      <c r="M575" s="13" t="s">
        <v>972</v>
      </c>
      <c r="N575" s="13">
        <v>9</v>
      </c>
      <c r="O575" s="13" t="s">
        <v>905</v>
      </c>
      <c r="P575" s="34" t="s">
        <v>1958</v>
      </c>
      <c r="Q575" s="13" t="s">
        <v>2140</v>
      </c>
    </row>
    <row r="576" spans="1:17" ht="15" hidden="1" customHeight="1" collapsed="1" x14ac:dyDescent="0.3">
      <c r="A576" s="13" t="s">
        <v>2144</v>
      </c>
      <c r="B576" s="13" t="s">
        <v>395</v>
      </c>
      <c r="C576" s="13" t="s">
        <v>396</v>
      </c>
      <c r="D576" s="13" t="s">
        <v>973</v>
      </c>
      <c r="E576" s="13" t="s">
        <v>301</v>
      </c>
      <c r="F576" s="13" t="s">
        <v>386</v>
      </c>
      <c r="G576" s="13" t="s">
        <v>8</v>
      </c>
      <c r="H576" s="13" t="s">
        <v>912</v>
      </c>
      <c r="I576" s="13" t="s">
        <v>966</v>
      </c>
      <c r="J576" s="14">
        <v>0.61699999999999999</v>
      </c>
      <c r="K576" s="13" t="str">
        <f t="shared" si="8"/>
        <v>IS59_EMEA HES SymmSW</v>
      </c>
      <c r="L576" s="13" t="s">
        <v>1960</v>
      </c>
      <c r="M576" s="13" t="s">
        <v>972</v>
      </c>
      <c r="N576" s="13">
        <v>4</v>
      </c>
      <c r="O576" s="13" t="s">
        <v>905</v>
      </c>
      <c r="P576" s="34" t="s">
        <v>1958</v>
      </c>
      <c r="Q576" s="13" t="s">
        <v>2141</v>
      </c>
    </row>
    <row r="577" spans="1:17" ht="15" hidden="1" customHeight="1" collapsed="1" x14ac:dyDescent="0.3">
      <c r="A577" s="13" t="s">
        <v>2144</v>
      </c>
      <c r="B577" s="13" t="s">
        <v>254</v>
      </c>
      <c r="C577" s="13" t="s">
        <v>255</v>
      </c>
      <c r="D577" s="13" t="s">
        <v>973</v>
      </c>
      <c r="E577" s="13" t="s">
        <v>229</v>
      </c>
      <c r="F577" s="13" t="s">
        <v>229</v>
      </c>
      <c r="G577" s="13" t="s">
        <v>8</v>
      </c>
      <c r="H577" s="13" t="s">
        <v>912</v>
      </c>
      <c r="I577" s="13" t="s">
        <v>966</v>
      </c>
      <c r="J577" s="14">
        <v>0.61699999999999999</v>
      </c>
      <c r="K577" s="13" t="str">
        <f t="shared" si="8"/>
        <v>IS61_EMEA HES MIDRANGE</v>
      </c>
      <c r="L577" s="13" t="s">
        <v>1960</v>
      </c>
      <c r="M577" s="13" t="s">
        <v>972</v>
      </c>
      <c r="N577" s="13">
        <v>11</v>
      </c>
      <c r="O577" s="13" t="s">
        <v>905</v>
      </c>
      <c r="P577" s="34" t="s">
        <v>1958</v>
      </c>
      <c r="Q577" s="13" t="s">
        <v>2142</v>
      </c>
    </row>
    <row r="578" spans="1:17" ht="15" hidden="1" customHeight="1" collapsed="1" x14ac:dyDescent="0.3">
      <c r="A578" s="13" t="s">
        <v>2144</v>
      </c>
      <c r="B578" s="13" t="s">
        <v>412</v>
      </c>
      <c r="C578" s="13" t="s">
        <v>413</v>
      </c>
      <c r="D578" s="13" t="s">
        <v>973</v>
      </c>
      <c r="E578" s="13" t="s">
        <v>301</v>
      </c>
      <c r="F578" s="13" t="s">
        <v>403</v>
      </c>
      <c r="G578" s="13" t="s">
        <v>8</v>
      </c>
      <c r="H578" s="13" t="s">
        <v>912</v>
      </c>
      <c r="I578" s="13" t="s">
        <v>966</v>
      </c>
      <c r="J578" s="14">
        <v>0.61699999999999999</v>
      </c>
      <c r="K578" s="13" t="str">
        <f t="shared" ref="K578:K589" si="9">B578&amp;"_"&amp;C578</f>
        <v>IS63_EMEA HES Vplex</v>
      </c>
      <c r="L578" s="13" t="s">
        <v>1960</v>
      </c>
      <c r="M578" s="13" t="s">
        <v>972</v>
      </c>
      <c r="N578" s="13">
        <v>9</v>
      </c>
      <c r="O578" s="13" t="s">
        <v>905</v>
      </c>
      <c r="P578" s="34" t="s">
        <v>1958</v>
      </c>
      <c r="Q578" s="13" t="s">
        <v>2143</v>
      </c>
    </row>
    <row r="579" spans="1:17" ht="15" hidden="1" customHeight="1" collapsed="1" x14ac:dyDescent="0.3">
      <c r="A579" s="13" t="s">
        <v>2144</v>
      </c>
      <c r="B579" s="13" t="s">
        <v>430</v>
      </c>
      <c r="C579" s="13" t="s">
        <v>431</v>
      </c>
      <c r="D579" s="13" t="s">
        <v>973</v>
      </c>
      <c r="E579" s="13" t="s">
        <v>301</v>
      </c>
      <c r="F579" s="13" t="s">
        <v>419</v>
      </c>
      <c r="G579" s="13" t="s">
        <v>8</v>
      </c>
      <c r="H579" s="13" t="s">
        <v>912</v>
      </c>
      <c r="I579" s="13" t="s">
        <v>966</v>
      </c>
      <c r="J579" s="14">
        <v>0.61699999999999999</v>
      </c>
      <c r="K579" s="13" t="str">
        <f t="shared" si="9"/>
        <v>IS64_EMEA HES XtremIO</v>
      </c>
      <c r="L579" s="13" t="s">
        <v>1960</v>
      </c>
      <c r="M579" s="13" t="s">
        <v>972</v>
      </c>
      <c r="N579" s="13">
        <v>9</v>
      </c>
      <c r="O579" s="13" t="s">
        <v>905</v>
      </c>
      <c r="P579" s="34" t="s">
        <v>1958</v>
      </c>
      <c r="Q579" s="13" t="s">
        <v>2137</v>
      </c>
    </row>
    <row r="580" spans="1:17" ht="15" customHeight="1" collapsed="1" x14ac:dyDescent="0.3">
      <c r="A580" s="13" t="s">
        <v>64</v>
      </c>
      <c r="B580" s="13" t="s">
        <v>64</v>
      </c>
      <c r="C580" s="13" t="s">
        <v>65</v>
      </c>
      <c r="D580" s="13" t="s">
        <v>1044</v>
      </c>
      <c r="E580" s="13" t="s">
        <v>44</v>
      </c>
      <c r="F580" s="13" t="s">
        <v>45</v>
      </c>
      <c r="G580" s="13" t="s">
        <v>8</v>
      </c>
      <c r="H580" s="13" t="s">
        <v>893</v>
      </c>
      <c r="I580" s="13" t="s">
        <v>1070</v>
      </c>
      <c r="J580" s="52">
        <v>0.64800000000000002</v>
      </c>
      <c r="K580" s="13" t="str">
        <f t="shared" si="9"/>
        <v>IU20_NAMER DPD AVAMAR</v>
      </c>
      <c r="L580" s="13" t="s">
        <v>2129</v>
      </c>
      <c r="M580" s="13" t="s">
        <v>1884</v>
      </c>
      <c r="N580" s="13">
        <v>12</v>
      </c>
      <c r="O580" s="13" t="s">
        <v>905</v>
      </c>
      <c r="P580" s="34" t="s">
        <v>1958</v>
      </c>
    </row>
    <row r="581" spans="1:17" ht="15" hidden="1" customHeight="1" collapsed="1" x14ac:dyDescent="0.3">
      <c r="A581" s="13" t="s">
        <v>2144</v>
      </c>
      <c r="B581" s="13" t="s">
        <v>322</v>
      </c>
      <c r="C581" s="13" t="s">
        <v>323</v>
      </c>
      <c r="D581" s="13" t="s">
        <v>973</v>
      </c>
      <c r="E581" s="13" t="s">
        <v>301</v>
      </c>
      <c r="F581" s="13" t="s">
        <v>305</v>
      </c>
      <c r="G581" s="13" t="s">
        <v>8</v>
      </c>
      <c r="H581" s="13" t="s">
        <v>893</v>
      </c>
      <c r="I581" s="13" t="s">
        <v>1070</v>
      </c>
      <c r="J581" s="14">
        <v>0.64800000000000002</v>
      </c>
      <c r="K581" s="13" t="str">
        <f t="shared" si="9"/>
        <v>IU23_NAMER HES Connectivity</v>
      </c>
      <c r="L581" s="13" t="s">
        <v>1960</v>
      </c>
      <c r="M581" s="13" t="s">
        <v>972</v>
      </c>
      <c r="N581" s="13">
        <v>14</v>
      </c>
      <c r="O581" s="13" t="s">
        <v>905</v>
      </c>
      <c r="P581" s="34" t="s">
        <v>1958</v>
      </c>
      <c r="Q581" s="13" t="s">
        <v>2138</v>
      </c>
    </row>
    <row r="582" spans="1:17" ht="15" customHeight="1" collapsed="1" x14ac:dyDescent="0.3">
      <c r="A582" s="13" t="s">
        <v>90</v>
      </c>
      <c r="B582" s="13" t="s">
        <v>90</v>
      </c>
      <c r="C582" s="13" t="s">
        <v>91</v>
      </c>
      <c r="D582" s="13" t="s">
        <v>1044</v>
      </c>
      <c r="E582" s="13" t="s">
        <v>44</v>
      </c>
      <c r="F582" s="13" t="s">
        <v>71</v>
      </c>
      <c r="G582" s="13" t="s">
        <v>8</v>
      </c>
      <c r="H582" s="13" t="s">
        <v>893</v>
      </c>
      <c r="I582" s="13" t="s">
        <v>1070</v>
      </c>
      <c r="J582" s="52">
        <v>0.64800000000000002</v>
      </c>
      <c r="K582" s="13" t="str">
        <f t="shared" si="9"/>
        <v>IU24_NAMER DPD DataDomain</v>
      </c>
      <c r="L582" s="13" t="s">
        <v>2129</v>
      </c>
      <c r="M582" s="13" t="s">
        <v>1884</v>
      </c>
      <c r="N582" s="13">
        <v>14</v>
      </c>
      <c r="O582" s="13" t="s">
        <v>905</v>
      </c>
      <c r="P582" s="34" t="s">
        <v>1958</v>
      </c>
    </row>
    <row r="583" spans="1:17" ht="15" hidden="1" customHeight="1" collapsed="1" x14ac:dyDescent="0.3">
      <c r="A583" s="13" t="s">
        <v>2144</v>
      </c>
      <c r="B583" s="13" t="s">
        <v>350</v>
      </c>
      <c r="C583" s="13" t="s">
        <v>351</v>
      </c>
      <c r="D583" s="13" t="s">
        <v>973</v>
      </c>
      <c r="E583" s="13" t="s">
        <v>301</v>
      </c>
      <c r="F583" s="13" t="s">
        <v>334</v>
      </c>
      <c r="G583" s="13" t="s">
        <v>8</v>
      </c>
      <c r="H583" s="13" t="s">
        <v>893</v>
      </c>
      <c r="I583" s="13" t="s">
        <v>894</v>
      </c>
      <c r="J583" s="14">
        <v>0.64800000000000002</v>
      </c>
      <c r="K583" s="13" t="str">
        <f t="shared" si="9"/>
        <v>IU30_NAMER HES Integrated_Software</v>
      </c>
      <c r="L583" s="13" t="s">
        <v>1960</v>
      </c>
      <c r="M583" s="13" t="s">
        <v>972</v>
      </c>
      <c r="N583" s="13">
        <v>11</v>
      </c>
      <c r="O583" s="13" t="s">
        <v>905</v>
      </c>
      <c r="P583" s="34" t="s">
        <v>1958</v>
      </c>
      <c r="Q583" s="13" t="s">
        <v>2139</v>
      </c>
    </row>
    <row r="584" spans="1:17" ht="15" customHeight="1" collapsed="1" x14ac:dyDescent="0.3">
      <c r="A584" s="13" t="s">
        <v>128</v>
      </c>
      <c r="B584" s="13" t="s">
        <v>128</v>
      </c>
      <c r="C584" s="13" t="s">
        <v>129</v>
      </c>
      <c r="D584" s="13" t="s">
        <v>1044</v>
      </c>
      <c r="E584" s="13" t="s">
        <v>44</v>
      </c>
      <c r="F584" s="13" t="s">
        <v>109</v>
      </c>
      <c r="G584" s="13" t="s">
        <v>8</v>
      </c>
      <c r="H584" s="13" t="s">
        <v>893</v>
      </c>
      <c r="I584" s="13" t="s">
        <v>1070</v>
      </c>
      <c r="J584" s="52">
        <v>0.64800000000000002</v>
      </c>
      <c r="K584" s="13" t="str">
        <f t="shared" si="9"/>
        <v>IU32_NAMER DPD Networker</v>
      </c>
      <c r="L584" s="13" t="s">
        <v>2129</v>
      </c>
      <c r="M584" s="13" t="s">
        <v>1884</v>
      </c>
      <c r="N584" s="13">
        <v>12</v>
      </c>
      <c r="O584" s="13" t="s">
        <v>905</v>
      </c>
      <c r="P584" s="34" t="s">
        <v>1958</v>
      </c>
    </row>
    <row r="585" spans="1:17" ht="15" hidden="1" customHeight="1" collapsed="1" x14ac:dyDescent="0.3">
      <c r="A585" s="13" t="s">
        <v>2144</v>
      </c>
      <c r="B585" s="13" t="s">
        <v>384</v>
      </c>
      <c r="C585" s="13" t="s">
        <v>385</v>
      </c>
      <c r="D585" s="13" t="s">
        <v>973</v>
      </c>
      <c r="E585" s="13" t="s">
        <v>301</v>
      </c>
      <c r="F585" s="13" t="s">
        <v>357</v>
      </c>
      <c r="G585" s="13" t="s">
        <v>8</v>
      </c>
      <c r="H585" s="13" t="s">
        <v>893</v>
      </c>
      <c r="I585" s="13" t="s">
        <v>1070</v>
      </c>
      <c r="J585" s="14">
        <v>0.64800000000000002</v>
      </c>
      <c r="K585" s="13" t="str">
        <f t="shared" si="9"/>
        <v>IU40_NAMER HES Symmetrix</v>
      </c>
      <c r="L585" s="13" t="s">
        <v>1960</v>
      </c>
      <c r="M585" s="13" t="s">
        <v>972</v>
      </c>
      <c r="N585" s="13">
        <v>16</v>
      </c>
      <c r="O585" s="13" t="s">
        <v>905</v>
      </c>
      <c r="P585" s="34" t="s">
        <v>1958</v>
      </c>
      <c r="Q585" s="13" t="s">
        <v>2140</v>
      </c>
    </row>
    <row r="586" spans="1:17" ht="15" hidden="1" customHeight="1" collapsed="1" x14ac:dyDescent="0.3">
      <c r="A586" s="13" t="s">
        <v>2144</v>
      </c>
      <c r="B586" s="13" t="s">
        <v>401</v>
      </c>
      <c r="C586" s="13" t="s">
        <v>402</v>
      </c>
      <c r="D586" s="13" t="s">
        <v>973</v>
      </c>
      <c r="E586" s="13" t="s">
        <v>301</v>
      </c>
      <c r="F586" s="13" t="s">
        <v>386</v>
      </c>
      <c r="G586" s="13" t="s">
        <v>8</v>
      </c>
      <c r="H586" s="13" t="s">
        <v>893</v>
      </c>
      <c r="I586" s="13" t="s">
        <v>894</v>
      </c>
      <c r="J586" s="14">
        <v>0.64800000000000002</v>
      </c>
      <c r="K586" s="13" t="str">
        <f t="shared" si="9"/>
        <v>IU41_NAMER HES SymmSW</v>
      </c>
      <c r="L586" s="13" t="s">
        <v>1960</v>
      </c>
      <c r="M586" s="13" t="s">
        <v>972</v>
      </c>
      <c r="N586" s="13">
        <v>4</v>
      </c>
      <c r="O586" s="13" t="s">
        <v>905</v>
      </c>
      <c r="P586" s="34" t="s">
        <v>1958</v>
      </c>
      <c r="Q586" s="13" t="s">
        <v>2141</v>
      </c>
    </row>
    <row r="587" spans="1:17" ht="15" hidden="1" customHeight="1" collapsed="1" x14ac:dyDescent="0.3">
      <c r="A587" s="13" t="s">
        <v>2144</v>
      </c>
      <c r="B587" s="13" t="s">
        <v>260</v>
      </c>
      <c r="C587" s="13" t="s">
        <v>261</v>
      </c>
      <c r="D587" s="13" t="s">
        <v>973</v>
      </c>
      <c r="E587" s="13" t="s">
        <v>229</v>
      </c>
      <c r="F587" s="13" t="s">
        <v>229</v>
      </c>
      <c r="G587" s="13" t="s">
        <v>8</v>
      </c>
      <c r="H587" s="13" t="s">
        <v>893</v>
      </c>
      <c r="I587" s="13" t="s">
        <v>894</v>
      </c>
      <c r="J587" s="14">
        <v>0.64800000000000002</v>
      </c>
      <c r="K587" s="13" t="str">
        <f t="shared" si="9"/>
        <v>IU43_NAMER HES MIDRANGE</v>
      </c>
      <c r="L587" s="13" t="s">
        <v>1960</v>
      </c>
      <c r="M587" s="13" t="s">
        <v>972</v>
      </c>
      <c r="N587" s="13">
        <v>14</v>
      </c>
      <c r="O587" s="13" t="s">
        <v>905</v>
      </c>
      <c r="P587" s="34" t="s">
        <v>1958</v>
      </c>
      <c r="Q587" s="13" t="s">
        <v>2142</v>
      </c>
    </row>
    <row r="588" spans="1:17" ht="15" hidden="1" customHeight="1" collapsed="1" x14ac:dyDescent="0.3">
      <c r="A588" s="13" t="s">
        <v>2144</v>
      </c>
      <c r="B588" s="13" t="s">
        <v>416</v>
      </c>
      <c r="C588" s="13" t="s">
        <v>417</v>
      </c>
      <c r="D588" s="13" t="s">
        <v>973</v>
      </c>
      <c r="E588" s="13" t="s">
        <v>301</v>
      </c>
      <c r="F588" s="13" t="s">
        <v>403</v>
      </c>
      <c r="G588" s="13" t="s">
        <v>8</v>
      </c>
      <c r="H588" s="13" t="s">
        <v>893</v>
      </c>
      <c r="I588" s="13" t="s">
        <v>894</v>
      </c>
      <c r="J588" s="14">
        <v>0.64800000000000002</v>
      </c>
      <c r="K588" s="13" t="str">
        <f t="shared" si="9"/>
        <v>IU45_NAMER HES Vplex</v>
      </c>
      <c r="L588" s="13" t="s">
        <v>1960</v>
      </c>
      <c r="M588" s="13" t="s">
        <v>972</v>
      </c>
      <c r="N588" s="13">
        <v>11</v>
      </c>
      <c r="O588" s="13" t="s">
        <v>905</v>
      </c>
      <c r="P588" s="34" t="s">
        <v>1958</v>
      </c>
      <c r="Q588" s="13" t="s">
        <v>2143</v>
      </c>
    </row>
    <row r="589" spans="1:17" ht="15" customHeight="1" collapsed="1" x14ac:dyDescent="0.3">
      <c r="A589" s="13" t="s">
        <v>212</v>
      </c>
      <c r="B589" s="13" t="s">
        <v>212</v>
      </c>
      <c r="C589" s="13" t="s">
        <v>213</v>
      </c>
      <c r="D589" s="13" t="s">
        <v>928</v>
      </c>
      <c r="E589" s="13" t="s">
        <v>158</v>
      </c>
      <c r="F589" s="13" t="s">
        <v>173</v>
      </c>
      <c r="G589" s="13" t="s">
        <v>8</v>
      </c>
      <c r="H589" s="13" t="s">
        <v>935</v>
      </c>
      <c r="I589" s="13" t="s">
        <v>1159</v>
      </c>
      <c r="J589" s="52">
        <v>0.64100000000000001</v>
      </c>
      <c r="K589" s="13" t="str">
        <f t="shared" si="9"/>
        <v>RL15_HCS LATAM MMCLA VxRail</v>
      </c>
      <c r="L589" s="13" t="s">
        <v>2131</v>
      </c>
      <c r="M589" s="13" t="s">
        <v>1885</v>
      </c>
      <c r="N589" s="13">
        <v>18</v>
      </c>
      <c r="O589" s="13" t="s">
        <v>905</v>
      </c>
      <c r="P589" s="34" t="s">
        <v>1958</v>
      </c>
    </row>
    <row r="590" spans="1:17" ht="15" customHeight="1" x14ac:dyDescent="0.3">
      <c r="A590" s="13" t="s">
        <v>2070</v>
      </c>
      <c r="B590" s="13" t="s">
        <v>2070</v>
      </c>
      <c r="C590" s="13" t="s">
        <v>2071</v>
      </c>
      <c r="D590" s="13" t="s">
        <v>928</v>
      </c>
      <c r="E590" s="13" t="s">
        <v>158</v>
      </c>
      <c r="F590" s="13" t="s">
        <v>2098</v>
      </c>
      <c r="G590" s="13" t="s">
        <v>8</v>
      </c>
      <c r="H590" s="13" t="s">
        <v>929</v>
      </c>
      <c r="I590" s="13" t="s">
        <v>929</v>
      </c>
      <c r="J590" s="52">
        <v>0.63300000000000001</v>
      </c>
      <c r="K590" s="13" t="s">
        <v>2099</v>
      </c>
      <c r="L590" s="13" t="s">
        <v>2127</v>
      </c>
      <c r="M590" s="13" t="s">
        <v>1810</v>
      </c>
      <c r="N590" s="13">
        <v>24</v>
      </c>
      <c r="O590" s="13" t="s">
        <v>905</v>
      </c>
      <c r="P590" s="34" t="s">
        <v>1958</v>
      </c>
    </row>
    <row r="591" spans="1:17" ht="15" customHeight="1" x14ac:dyDescent="0.3">
      <c r="A591" s="13" t="s">
        <v>2068</v>
      </c>
      <c r="B591" s="13" t="s">
        <v>2068</v>
      </c>
      <c r="C591" s="13" t="s">
        <v>2069</v>
      </c>
      <c r="D591" s="13" t="s">
        <v>928</v>
      </c>
      <c r="E591" s="13" t="s">
        <v>158</v>
      </c>
      <c r="F591" s="13" t="s">
        <v>2100</v>
      </c>
      <c r="G591" s="13" t="s">
        <v>8</v>
      </c>
      <c r="H591" s="13" t="s">
        <v>929</v>
      </c>
      <c r="I591" s="13" t="s">
        <v>929</v>
      </c>
      <c r="J591" s="52">
        <v>0.63300000000000001</v>
      </c>
      <c r="K591" s="13" t="s">
        <v>2101</v>
      </c>
      <c r="L591" s="13" t="s">
        <v>2127</v>
      </c>
      <c r="M591" s="13" t="s">
        <v>1810</v>
      </c>
      <c r="N591" s="13">
        <v>24</v>
      </c>
      <c r="O591" s="13" t="s">
        <v>905</v>
      </c>
      <c r="P591" s="13" t="s">
        <v>1958</v>
      </c>
    </row>
    <row r="592" spans="1:17" ht="15" customHeight="1" x14ac:dyDescent="0.3">
      <c r="A592" s="13" t="s">
        <v>2079</v>
      </c>
      <c r="B592" s="36" t="s">
        <v>2079</v>
      </c>
      <c r="C592" s="13" t="s">
        <v>2080</v>
      </c>
      <c r="D592" s="13" t="s">
        <v>973</v>
      </c>
      <c r="E592" s="13" t="s">
        <v>301</v>
      </c>
      <c r="F592" s="13" t="s">
        <v>357</v>
      </c>
      <c r="G592" s="13" t="s">
        <v>8</v>
      </c>
      <c r="H592" s="13" t="s">
        <v>929</v>
      </c>
      <c r="I592" s="13" t="s">
        <v>929</v>
      </c>
      <c r="J592" s="52">
        <v>0.63300000000000001</v>
      </c>
      <c r="K592" s="13" t="str">
        <f>B592&amp;"_"&amp;C592</f>
        <v>GC23_Global Symmetrix</v>
      </c>
      <c r="L592" s="13" t="s">
        <v>2130</v>
      </c>
      <c r="M592" s="13" t="s">
        <v>972</v>
      </c>
      <c r="N592" s="13">
        <v>16</v>
      </c>
      <c r="O592" s="13" t="s">
        <v>905</v>
      </c>
      <c r="P592" s="13" t="s">
        <v>1958</v>
      </c>
    </row>
    <row r="593" spans="1:16" ht="15" customHeight="1" x14ac:dyDescent="0.3">
      <c r="A593" s="13" t="s">
        <v>2085</v>
      </c>
      <c r="B593" s="36" t="s">
        <v>2085</v>
      </c>
      <c r="C593" s="13" t="s">
        <v>2086</v>
      </c>
      <c r="D593" s="13" t="s">
        <v>973</v>
      </c>
      <c r="E593" s="13" t="s">
        <v>229</v>
      </c>
      <c r="F593" s="13" t="s">
        <v>229</v>
      </c>
      <c r="G593" s="13" t="s">
        <v>8</v>
      </c>
      <c r="H593" s="13" t="s">
        <v>929</v>
      </c>
      <c r="I593" s="13" t="s">
        <v>929</v>
      </c>
      <c r="J593" s="52">
        <v>0.63300000000000001</v>
      </c>
      <c r="K593" s="13" t="s">
        <v>2112</v>
      </c>
      <c r="L593" s="13" t="s">
        <v>2130</v>
      </c>
      <c r="M593" s="13" t="s">
        <v>972</v>
      </c>
      <c r="N593" s="13">
        <v>14</v>
      </c>
      <c r="O593" s="13" t="s">
        <v>905</v>
      </c>
      <c r="P593" s="13" t="s">
        <v>1958</v>
      </c>
    </row>
    <row r="594" spans="1:16" ht="15" customHeight="1" x14ac:dyDescent="0.3">
      <c r="A594" s="13" t="s">
        <v>2076</v>
      </c>
      <c r="B594" s="36" t="s">
        <v>2076</v>
      </c>
      <c r="C594" s="13" t="s">
        <v>2077</v>
      </c>
      <c r="D594" s="13" t="s">
        <v>973</v>
      </c>
      <c r="E594" s="13" t="s">
        <v>301</v>
      </c>
      <c r="F594" s="13" t="s">
        <v>305</v>
      </c>
      <c r="G594" s="13" t="s">
        <v>8</v>
      </c>
      <c r="H594" s="13" t="s">
        <v>929</v>
      </c>
      <c r="I594" s="13" t="s">
        <v>929</v>
      </c>
      <c r="J594" s="52">
        <v>0.63300000000000001</v>
      </c>
      <c r="K594" s="13" t="s">
        <v>2113</v>
      </c>
      <c r="L594" s="13" t="s">
        <v>2130</v>
      </c>
      <c r="M594" s="13" t="s">
        <v>972</v>
      </c>
      <c r="N594" s="13">
        <v>14</v>
      </c>
      <c r="O594" s="13" t="s">
        <v>905</v>
      </c>
      <c r="P594" s="13" t="s">
        <v>1958</v>
      </c>
    </row>
    <row r="595" spans="1:16" ht="15" customHeight="1" x14ac:dyDescent="0.3">
      <c r="A595" s="13" t="s">
        <v>2083</v>
      </c>
      <c r="B595" s="36" t="s">
        <v>2083</v>
      </c>
      <c r="C595" s="13" t="s">
        <v>2084</v>
      </c>
      <c r="D595" s="13" t="s">
        <v>973</v>
      </c>
      <c r="E595" s="13" t="str">
        <f>E579</f>
        <v>Primary</v>
      </c>
      <c r="F595" s="13" t="str">
        <f>F579</f>
        <v>XtremIO</v>
      </c>
      <c r="G595" s="13" t="str">
        <f>G579</f>
        <v>Y</v>
      </c>
      <c r="H595" s="13" t="s">
        <v>929</v>
      </c>
      <c r="I595" s="13" t="s">
        <v>929</v>
      </c>
      <c r="J595" s="52">
        <v>0.63300000000000001</v>
      </c>
      <c r="K595" s="13" t="s">
        <v>2114</v>
      </c>
      <c r="L595" s="13" t="s">
        <v>2130</v>
      </c>
      <c r="M595" s="13" t="str">
        <f>M579</f>
        <v>Miguel Galicia</v>
      </c>
      <c r="N595" s="13">
        <v>24</v>
      </c>
      <c r="O595" s="13" t="s">
        <v>905</v>
      </c>
      <c r="P595" s="13" t="s">
        <v>1958</v>
      </c>
    </row>
    <row r="596" spans="1:16" ht="15" customHeight="1" x14ac:dyDescent="0.3">
      <c r="A596" s="13" t="s">
        <v>2081</v>
      </c>
      <c r="B596" s="13" t="s">
        <v>2081</v>
      </c>
      <c r="C596" s="13" t="s">
        <v>2082</v>
      </c>
      <c r="D596" s="13" t="s">
        <v>973</v>
      </c>
      <c r="E596" s="13" t="s">
        <v>301</v>
      </c>
      <c r="F596" s="13" t="s">
        <v>386</v>
      </c>
      <c r="G596" s="13" t="s">
        <v>8</v>
      </c>
      <c r="H596" s="13" t="s">
        <v>929</v>
      </c>
      <c r="I596" s="13" t="s">
        <v>929</v>
      </c>
      <c r="J596" s="52">
        <v>0.63300000000000001</v>
      </c>
      <c r="K596" s="13" t="s">
        <v>2115</v>
      </c>
      <c r="L596" s="13" t="s">
        <v>2130</v>
      </c>
      <c r="M596" s="13" t="s">
        <v>972</v>
      </c>
      <c r="N596" s="13">
        <v>12</v>
      </c>
      <c r="O596" s="13" t="s">
        <v>905</v>
      </c>
      <c r="P596" s="13" t="s">
        <v>1958</v>
      </c>
    </row>
    <row r="597" spans="1:16" ht="15" customHeight="1" x14ac:dyDescent="0.3">
      <c r="A597" s="13" t="s">
        <v>2117</v>
      </c>
      <c r="B597" s="13" t="s">
        <v>2117</v>
      </c>
      <c r="C597" s="13" t="s">
        <v>2118</v>
      </c>
      <c r="D597" s="13" t="s">
        <v>973</v>
      </c>
      <c r="E597" s="13" t="s">
        <v>301</v>
      </c>
      <c r="F597" s="13" t="s">
        <v>403</v>
      </c>
      <c r="G597" s="13" t="s">
        <v>8</v>
      </c>
      <c r="H597" s="13" t="s">
        <v>929</v>
      </c>
      <c r="I597" s="13" t="s">
        <v>929</v>
      </c>
      <c r="J597" s="52">
        <v>0.63300000000000001</v>
      </c>
      <c r="K597" s="13" t="s">
        <v>2119</v>
      </c>
      <c r="L597" s="13" t="s">
        <v>2130</v>
      </c>
      <c r="M597" s="13" t="s">
        <v>972</v>
      </c>
      <c r="N597" s="13">
        <v>11</v>
      </c>
      <c r="O597" s="13" t="s">
        <v>905</v>
      </c>
      <c r="P597" s="13" t="s">
        <v>1958</v>
      </c>
    </row>
    <row r="598" spans="1:16" ht="15" customHeight="1" x14ac:dyDescent="0.3">
      <c r="A598" s="13" t="s">
        <v>339</v>
      </c>
      <c r="B598" s="13" t="s">
        <v>339</v>
      </c>
      <c r="C598" s="13" t="s">
        <v>2078</v>
      </c>
      <c r="D598" s="13" t="s">
        <v>973</v>
      </c>
      <c r="E598" s="13" t="s">
        <v>301</v>
      </c>
      <c r="F598" s="13" t="s">
        <v>334</v>
      </c>
      <c r="G598" s="13" t="s">
        <v>8</v>
      </c>
      <c r="H598" s="13" t="s">
        <v>929</v>
      </c>
      <c r="I598" s="13" t="s">
        <v>929</v>
      </c>
      <c r="J598" s="52">
        <v>0.63300000000000001</v>
      </c>
      <c r="K598" s="13" t="s">
        <v>2116</v>
      </c>
      <c r="L598" s="13" t="s">
        <v>2130</v>
      </c>
      <c r="M598" s="13" t="s">
        <v>972</v>
      </c>
      <c r="N598" s="13">
        <v>16</v>
      </c>
      <c r="O598" s="13" t="s">
        <v>905</v>
      </c>
      <c r="P598" s="13" t="s">
        <v>1958</v>
      </c>
    </row>
    <row r="599" spans="1:16" ht="15" customHeight="1" x14ac:dyDescent="0.3">
      <c r="A599" s="13" t="s">
        <v>1951</v>
      </c>
      <c r="B599" s="13" t="s">
        <v>1951</v>
      </c>
      <c r="C599" s="13" t="s">
        <v>1952</v>
      </c>
      <c r="D599" s="13" t="s">
        <v>928</v>
      </c>
      <c r="E599" s="13" t="s">
        <v>301</v>
      </c>
      <c r="F599" s="13" t="s">
        <v>2121</v>
      </c>
      <c r="G599" s="13" t="s">
        <v>8</v>
      </c>
      <c r="H599" s="13" t="s">
        <v>929</v>
      </c>
      <c r="I599" s="13" t="s">
        <v>929</v>
      </c>
      <c r="J599" s="52">
        <v>0.63300000000000001</v>
      </c>
      <c r="K599" s="13" t="s">
        <v>2122</v>
      </c>
      <c r="L599" s="13" t="s">
        <v>2127</v>
      </c>
      <c r="M599" s="13" t="s">
        <v>1810</v>
      </c>
      <c r="O599" s="13" t="s">
        <v>897</v>
      </c>
      <c r="P599" s="13" t="s">
        <v>1958</v>
      </c>
    </row>
    <row r="600" spans="1:16" ht="15" customHeight="1" x14ac:dyDescent="0.3">
      <c r="A600" s="13" t="s">
        <v>2072</v>
      </c>
      <c r="B600" s="13" t="s">
        <v>2072</v>
      </c>
      <c r="C600" s="13" t="s">
        <v>2073</v>
      </c>
      <c r="D600" s="13" t="s">
        <v>928</v>
      </c>
      <c r="E600" s="13" t="s">
        <v>852</v>
      </c>
      <c r="F600" s="13" t="s">
        <v>5</v>
      </c>
      <c r="G600" s="13" t="s">
        <v>8</v>
      </c>
      <c r="H600" s="13" t="s">
        <v>912</v>
      </c>
      <c r="I600" s="13" t="s">
        <v>912</v>
      </c>
      <c r="J600" s="52">
        <v>0.61699999999999999</v>
      </c>
      <c r="K600" s="13" t="s">
        <v>2125</v>
      </c>
      <c r="L600" s="13" t="s">
        <v>2127</v>
      </c>
      <c r="M600" s="13" t="s">
        <v>1810</v>
      </c>
      <c r="N600" s="13">
        <v>14.8</v>
      </c>
      <c r="O600" s="13" t="s">
        <v>897</v>
      </c>
      <c r="P600" s="13" t="s">
        <v>1958</v>
      </c>
    </row>
    <row r="601" spans="1:16" ht="15" customHeight="1" x14ac:dyDescent="0.3">
      <c r="A601" s="13" t="s">
        <v>2074</v>
      </c>
      <c r="B601" s="13" t="s">
        <v>2074</v>
      </c>
      <c r="C601" s="13" t="s">
        <v>2075</v>
      </c>
      <c r="D601" s="13" t="s">
        <v>928</v>
      </c>
      <c r="E601" s="13" t="s">
        <v>852</v>
      </c>
      <c r="F601" s="13" t="s">
        <v>5</v>
      </c>
      <c r="G601" s="13" t="s">
        <v>8</v>
      </c>
      <c r="H601" s="13" t="s">
        <v>912</v>
      </c>
      <c r="I601" s="13" t="s">
        <v>912</v>
      </c>
      <c r="J601" s="52">
        <v>0.61699999999999999</v>
      </c>
      <c r="K601" s="13" t="s">
        <v>2126</v>
      </c>
      <c r="L601" s="13" t="s">
        <v>2127</v>
      </c>
      <c r="M601" s="13" t="s">
        <v>1810</v>
      </c>
      <c r="N601" s="13">
        <v>18</v>
      </c>
      <c r="O601" s="13" t="s">
        <v>897</v>
      </c>
      <c r="P601" s="13" t="s">
        <v>1958</v>
      </c>
    </row>
  </sheetData>
  <autoFilter ref="A1:Q601" xr:uid="{43A4097E-1863-4F55-8EA7-8E0B3642FB4B}">
    <filterColumn colId="0">
      <filters>
        <filter val="AP10"/>
        <filter val="AP11"/>
        <filter val="AP12"/>
        <filter val="AP13"/>
        <filter val="AP14"/>
        <filter val="AP15"/>
        <filter val="AP16"/>
        <filter val="AP17"/>
        <filter val="AP18"/>
        <filter val="AP19"/>
        <filter val="AP20"/>
        <filter val="AP21"/>
        <filter val="AP22"/>
        <filter val="AP23"/>
        <filter val="AP24"/>
        <filter val="AZ11"/>
        <filter val="BAH1"/>
        <filter val="BL17"/>
        <filter val="BT01"/>
        <filter val="BT04"/>
        <filter val="BT06"/>
        <filter val="BT07"/>
        <filter val="BT08"/>
        <filter val="BT09"/>
        <filter val="BT10"/>
        <filter val="BT11"/>
        <filter val="BT12"/>
        <filter val="BT13"/>
        <filter val="BT14"/>
        <filter val="BX02"/>
        <filter val="BZ15"/>
        <filter val="BZ22"/>
        <filter val="BZ24"/>
        <filter val="CC14"/>
        <filter val="CE03"/>
        <filter val="CT20"/>
        <filter val="CT26"/>
        <filter val="CT67"/>
        <filter val="CZ03"/>
        <filter val="DE09"/>
        <filter val="DE17"/>
        <filter val="DE18"/>
        <filter val="EC03"/>
        <filter val="EC14"/>
        <filter val="EC33"/>
        <filter val="FR07"/>
        <filter val="FR27"/>
        <filter val="GC17"/>
        <filter val="GC18"/>
        <filter val="GC19"/>
        <filter val="GC20"/>
        <filter val="GC21"/>
        <filter val="GC22"/>
        <filter val="GC23"/>
        <filter val="GC24"/>
        <filter val="GC25"/>
        <filter val="GH01"/>
        <filter val="GH03"/>
        <filter val="GH04"/>
        <filter val="GH06"/>
        <filter val="GH07"/>
        <filter val="GH08"/>
        <filter val="GH09"/>
        <filter val="GH10"/>
        <filter val="GH11"/>
        <filter val="GH16"/>
        <filter val="GH17"/>
        <filter val="GH19"/>
        <filter val="GH20"/>
        <filter val="GH21"/>
        <filter val="GH23"/>
        <filter val="GH25"/>
        <filter val="GM01"/>
        <filter val="GP01"/>
        <filter val="GS01"/>
        <filter val="GS02"/>
        <filter val="GS03"/>
        <filter val="GS04"/>
        <filter val="GS05"/>
        <filter val="GT06"/>
        <filter val="HE12"/>
        <filter val="HE72"/>
        <filter val="HED1"/>
        <filter val="HED2"/>
        <filter val="HEE4"/>
        <filter val="HEE5"/>
        <filter val="HEG3"/>
        <filter val="HEH4"/>
        <filter val="HEH5"/>
        <filter val="HEK8"/>
        <filter val="HEL1"/>
        <filter val="HEL2"/>
        <filter val="HEL3"/>
        <filter val="HEL4"/>
        <filter val="HEL5"/>
        <filter val="ID06"/>
        <filter val="IN14"/>
        <filter val="IN16"/>
        <filter val="INT1"/>
        <filter val="IS01"/>
        <filter val="IS02"/>
        <filter val="IS05"/>
        <filter val="IS11"/>
        <filter val="IS15"/>
        <filter val="IS23"/>
        <filter val="IS37"/>
        <filter val="IS38"/>
        <filter val="IS42"/>
        <filter val="IS50"/>
        <filter val="IU20"/>
        <filter val="IU24"/>
        <filter val="IU32"/>
        <filter val="JP24"/>
        <filter val="JP25"/>
        <filter val="JP26"/>
        <filter val="JP29"/>
        <filter val="KR05"/>
        <filter val="KR11"/>
        <filter val="KR12"/>
        <filter val="KR13"/>
        <filter val="LS01"/>
        <filter val="MR03"/>
        <filter val="MY14"/>
        <filter val="ND02"/>
        <filter val="NE31"/>
        <filter val="PH08"/>
        <filter val="RAH1"/>
        <filter val="RL15"/>
        <filter val="RL16"/>
        <filter val="ROEN"/>
        <filter val="RTC1"/>
        <filter val="TH07"/>
        <filter val="VN03"/>
        <filter val="XE01"/>
        <filter val="XE02"/>
      </filters>
    </filterColumn>
  </autoFilter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92D4-F1C6-4E57-8627-FB471194B5F7}">
  <sheetPr codeName="Sheet4"/>
  <dimension ref="A3:I22"/>
  <sheetViews>
    <sheetView workbookViewId="0">
      <selection activeCell="A3" sqref="A3"/>
    </sheetView>
  </sheetViews>
  <sheetFormatPr defaultRowHeight="14.5" x14ac:dyDescent="0.35"/>
  <cols>
    <col min="6" max="6" width="12.26953125" bestFit="1" customWidth="1"/>
    <col min="7" max="7" width="21.7265625" bestFit="1" customWidth="1"/>
    <col min="8" max="8" width="17.26953125" bestFit="1" customWidth="1"/>
    <col min="9" max="9" width="28.453125" bestFit="1" customWidth="1"/>
  </cols>
  <sheetData>
    <row r="3" spans="1:9" s="46" customFormat="1" x14ac:dyDescent="0.35">
      <c r="A3"/>
      <c r="B3" s="42" t="s">
        <v>2106</v>
      </c>
      <c r="C3" s="42"/>
      <c r="E3"/>
      <c r="F3" s="42" t="s">
        <v>2107</v>
      </c>
    </row>
    <row r="4" spans="1:9" s="46" customFormat="1" x14ac:dyDescent="0.35">
      <c r="A4"/>
      <c r="B4" s="42" t="s">
        <v>2105</v>
      </c>
      <c r="C4" s="42" t="s">
        <v>2104</v>
      </c>
      <c r="E4"/>
      <c r="F4" s="42" t="s">
        <v>2108</v>
      </c>
      <c r="G4" s="42" t="s">
        <v>2109</v>
      </c>
      <c r="H4" s="42" t="s">
        <v>2110</v>
      </c>
      <c r="I4" s="42" t="s">
        <v>2111</v>
      </c>
    </row>
    <row r="5" spans="1:9" x14ac:dyDescent="0.35">
      <c r="B5" s="45" t="s">
        <v>2102</v>
      </c>
      <c r="C5" s="48" t="s">
        <v>1951</v>
      </c>
      <c r="D5" t="s">
        <v>897</v>
      </c>
      <c r="F5" s="47" t="s">
        <v>252</v>
      </c>
      <c r="G5" s="47" t="s">
        <v>253</v>
      </c>
      <c r="H5" s="83" t="s">
        <v>2085</v>
      </c>
      <c r="I5" s="83" t="s">
        <v>2086</v>
      </c>
    </row>
    <row r="6" spans="1:9" x14ac:dyDescent="0.35">
      <c r="B6" s="45" t="s">
        <v>2102</v>
      </c>
      <c r="C6" s="48" t="s">
        <v>2072</v>
      </c>
      <c r="D6" t="s">
        <v>897</v>
      </c>
      <c r="F6" s="47" t="s">
        <v>254</v>
      </c>
      <c r="G6" s="47" t="s">
        <v>255</v>
      </c>
      <c r="H6" s="84"/>
      <c r="I6" s="84"/>
    </row>
    <row r="7" spans="1:9" x14ac:dyDescent="0.35">
      <c r="B7" s="45" t="s">
        <v>2102</v>
      </c>
      <c r="C7" s="48" t="s">
        <v>2074</v>
      </c>
      <c r="D7" t="s">
        <v>897</v>
      </c>
      <c r="F7" s="47" t="s">
        <v>260</v>
      </c>
      <c r="G7" s="47" t="s">
        <v>261</v>
      </c>
      <c r="H7" s="85"/>
      <c r="I7" s="85"/>
    </row>
    <row r="8" spans="1:9" x14ac:dyDescent="0.35">
      <c r="B8" s="45" t="s">
        <v>2102</v>
      </c>
      <c r="C8" s="47" t="s">
        <v>2076</v>
      </c>
      <c r="F8" s="47" t="s">
        <v>316</v>
      </c>
      <c r="G8" s="47" t="s">
        <v>317</v>
      </c>
      <c r="H8" s="83" t="s">
        <v>2076</v>
      </c>
      <c r="I8" s="83" t="s">
        <v>2077</v>
      </c>
    </row>
    <row r="9" spans="1:9" x14ac:dyDescent="0.35">
      <c r="B9" s="45" t="s">
        <v>2102</v>
      </c>
      <c r="C9" s="47" t="s">
        <v>339</v>
      </c>
      <c r="F9" s="47" t="s">
        <v>318</v>
      </c>
      <c r="G9" s="47" t="s">
        <v>319</v>
      </c>
      <c r="H9" s="84"/>
      <c r="I9" s="84"/>
    </row>
    <row r="10" spans="1:9" x14ac:dyDescent="0.35">
      <c r="B10" s="45" t="s">
        <v>2102</v>
      </c>
      <c r="C10" s="47" t="s">
        <v>2085</v>
      </c>
      <c r="F10" s="47" t="s">
        <v>322</v>
      </c>
      <c r="G10" s="47" t="s">
        <v>323</v>
      </c>
      <c r="H10" s="85"/>
      <c r="I10" s="85"/>
    </row>
    <row r="11" spans="1:9" x14ac:dyDescent="0.35">
      <c r="B11" s="45" t="s">
        <v>2103</v>
      </c>
      <c r="C11" s="47" t="s">
        <v>2079</v>
      </c>
      <c r="F11" s="49" t="s">
        <v>393</v>
      </c>
      <c r="G11" s="49" t="s">
        <v>394</v>
      </c>
      <c r="H11" s="86" t="s">
        <v>2081</v>
      </c>
      <c r="I11" s="86" t="s">
        <v>2082</v>
      </c>
    </row>
    <row r="12" spans="1:9" x14ac:dyDescent="0.35">
      <c r="B12" s="45" t="s">
        <v>2102</v>
      </c>
      <c r="C12" s="47" t="s">
        <v>2081</v>
      </c>
      <c r="F12" s="49" t="s">
        <v>401</v>
      </c>
      <c r="G12" s="49" t="s">
        <v>402</v>
      </c>
      <c r="H12" s="86"/>
      <c r="I12" s="86"/>
    </row>
    <row r="13" spans="1:9" x14ac:dyDescent="0.35">
      <c r="B13" s="45" t="s">
        <v>2102</v>
      </c>
      <c r="C13" s="47" t="s">
        <v>2083</v>
      </c>
      <c r="F13" s="49" t="s">
        <v>395</v>
      </c>
      <c r="G13" s="49" t="s">
        <v>396</v>
      </c>
      <c r="H13" s="86"/>
      <c r="I13" s="86"/>
    </row>
    <row r="14" spans="1:9" x14ac:dyDescent="0.35">
      <c r="B14" s="45" t="s">
        <v>2102</v>
      </c>
      <c r="C14" s="51" t="s">
        <v>406</v>
      </c>
      <c r="F14" s="50" t="s">
        <v>410</v>
      </c>
      <c r="G14" s="50" t="s">
        <v>411</v>
      </c>
      <c r="H14" s="87" t="s">
        <v>406</v>
      </c>
      <c r="I14" s="87" t="s">
        <v>2093</v>
      </c>
    </row>
    <row r="15" spans="1:9" x14ac:dyDescent="0.35">
      <c r="F15" s="49" t="s">
        <v>412</v>
      </c>
      <c r="G15" s="49" t="s">
        <v>413</v>
      </c>
      <c r="H15" s="87"/>
      <c r="I15" s="87"/>
    </row>
    <row r="16" spans="1:9" x14ac:dyDescent="0.35">
      <c r="F16" s="49" t="s">
        <v>416</v>
      </c>
      <c r="G16" s="49" t="s">
        <v>417</v>
      </c>
      <c r="H16" s="88"/>
      <c r="I16" s="88"/>
    </row>
    <row r="17" spans="6:9" x14ac:dyDescent="0.35">
      <c r="F17" s="47" t="s">
        <v>236</v>
      </c>
      <c r="G17" s="47" t="s">
        <v>237</v>
      </c>
      <c r="H17" s="83" t="s">
        <v>2083</v>
      </c>
      <c r="I17" s="83" t="s">
        <v>2084</v>
      </c>
    </row>
    <row r="18" spans="6:9" x14ac:dyDescent="0.35">
      <c r="F18" s="47" t="s">
        <v>420</v>
      </c>
      <c r="G18" s="47" t="s">
        <v>421</v>
      </c>
      <c r="H18" s="84"/>
      <c r="I18" s="84"/>
    </row>
    <row r="19" spans="6:9" x14ac:dyDescent="0.35">
      <c r="F19" s="47" t="s">
        <v>430</v>
      </c>
      <c r="G19" s="47" t="s">
        <v>431</v>
      </c>
      <c r="H19" s="85"/>
      <c r="I19" s="85"/>
    </row>
    <row r="20" spans="6:9" x14ac:dyDescent="0.35">
      <c r="F20" s="47" t="s">
        <v>344</v>
      </c>
      <c r="G20" s="47" t="s">
        <v>345</v>
      </c>
      <c r="H20" s="83" t="s">
        <v>339</v>
      </c>
      <c r="I20" s="83" t="s">
        <v>2078</v>
      </c>
    </row>
    <row r="21" spans="6:9" x14ac:dyDescent="0.35">
      <c r="F21" s="47" t="s">
        <v>346</v>
      </c>
      <c r="G21" s="47" t="s">
        <v>347</v>
      </c>
      <c r="H21" s="84" t="s">
        <v>339</v>
      </c>
      <c r="I21" s="84" t="s">
        <v>2078</v>
      </c>
    </row>
    <row r="22" spans="6:9" x14ac:dyDescent="0.35">
      <c r="F22" s="47" t="s">
        <v>350</v>
      </c>
      <c r="G22" s="47" t="s">
        <v>351</v>
      </c>
      <c r="H22" s="85" t="s">
        <v>339</v>
      </c>
      <c r="I22" s="85" t="s">
        <v>2078</v>
      </c>
    </row>
  </sheetData>
  <mergeCells count="12">
    <mergeCell ref="H5:H7"/>
    <mergeCell ref="I5:I7"/>
    <mergeCell ref="H8:H10"/>
    <mergeCell ref="I8:I10"/>
    <mergeCell ref="H20:H22"/>
    <mergeCell ref="I20:I22"/>
    <mergeCell ref="H17:H19"/>
    <mergeCell ref="I17:I19"/>
    <mergeCell ref="H11:H13"/>
    <mergeCell ref="I11:I13"/>
    <mergeCell ref="I14:I16"/>
    <mergeCell ref="H14:H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F3C0-4AE2-4326-BE61-C4569E796A7D}">
  <sheetPr codeName="Sheet5"/>
  <dimension ref="B2:G116"/>
  <sheetViews>
    <sheetView showGridLines="0" workbookViewId="0">
      <pane xSplit="1" ySplit="3" topLeftCell="B4" activePane="bottomRight" state="frozen"/>
      <selection activeCell="A3" sqref="A3"/>
      <selection pane="topRight" activeCell="A3" sqref="A3"/>
      <selection pane="bottomLeft" activeCell="A3" sqref="A3"/>
      <selection pane="bottomRight" activeCell="C4" sqref="C4"/>
    </sheetView>
  </sheetViews>
  <sheetFormatPr defaultColWidth="29.26953125" defaultRowHeight="14.5" x14ac:dyDescent="0.35"/>
  <cols>
    <col min="1" max="1" width="8.7265625" customWidth="1"/>
    <col min="2" max="2" width="14.54296875" bestFit="1" customWidth="1"/>
    <col min="3" max="3" width="29.81640625" bestFit="1" customWidth="1"/>
    <col min="4" max="4" width="15.453125" bestFit="1" customWidth="1"/>
    <col min="5" max="5" width="47.1796875" customWidth="1"/>
  </cols>
  <sheetData>
    <row r="2" spans="2:7" ht="15.5" x14ac:dyDescent="0.35">
      <c r="B2" s="89" t="s">
        <v>1944</v>
      </c>
      <c r="C2" s="89"/>
      <c r="D2" s="89" t="s">
        <v>1945</v>
      </c>
      <c r="E2" s="89"/>
    </row>
    <row r="3" spans="2:7" ht="15.5" x14ac:dyDescent="0.35">
      <c r="B3" s="23" t="s">
        <v>1946</v>
      </c>
      <c r="C3" s="23" t="s">
        <v>1947</v>
      </c>
      <c r="D3" s="23" t="s">
        <v>1948</v>
      </c>
      <c r="E3" s="23" t="s">
        <v>1949</v>
      </c>
    </row>
    <row r="4" spans="2:7" x14ac:dyDescent="0.35">
      <c r="B4" s="24" t="s">
        <v>612</v>
      </c>
      <c r="C4" s="24" t="s">
        <v>613</v>
      </c>
      <c r="D4" s="24" t="s">
        <v>1811</v>
      </c>
      <c r="E4" s="24" t="s">
        <v>1812</v>
      </c>
    </row>
    <row r="5" spans="2:7" x14ac:dyDescent="0.35">
      <c r="B5" s="24" t="s">
        <v>666</v>
      </c>
      <c r="C5" s="24" t="s">
        <v>667</v>
      </c>
      <c r="D5" s="24" t="s">
        <v>1813</v>
      </c>
      <c r="E5" s="24" t="s">
        <v>1814</v>
      </c>
    </row>
    <row r="6" spans="2:7" x14ac:dyDescent="0.35">
      <c r="B6" s="24" t="s">
        <v>258</v>
      </c>
      <c r="C6" s="24" t="s">
        <v>259</v>
      </c>
      <c r="D6" s="24" t="s">
        <v>1811</v>
      </c>
      <c r="E6" s="24" t="s">
        <v>1812</v>
      </c>
    </row>
    <row r="7" spans="2:7" x14ac:dyDescent="0.35">
      <c r="B7" s="24" t="s">
        <v>293</v>
      </c>
      <c r="C7" s="24" t="s">
        <v>294</v>
      </c>
      <c r="D7" s="25" t="s">
        <v>1872</v>
      </c>
      <c r="E7" s="25" t="s">
        <v>1879</v>
      </c>
    </row>
    <row r="8" spans="2:7" x14ac:dyDescent="0.35">
      <c r="B8" s="24" t="s">
        <v>295</v>
      </c>
      <c r="C8" s="24" t="s">
        <v>296</v>
      </c>
      <c r="D8" s="25" t="s">
        <v>1872</v>
      </c>
      <c r="E8" s="25" t="s">
        <v>1879</v>
      </c>
      <c r="F8" s="37" t="s">
        <v>258</v>
      </c>
      <c r="G8" s="37" t="s">
        <v>259</v>
      </c>
    </row>
    <row r="9" spans="2:7" x14ac:dyDescent="0.35">
      <c r="B9" s="24" t="s">
        <v>291</v>
      </c>
      <c r="C9" s="24" t="s">
        <v>292</v>
      </c>
      <c r="D9" s="25" t="s">
        <v>1872</v>
      </c>
      <c r="E9" s="25" t="s">
        <v>1879</v>
      </c>
    </row>
    <row r="10" spans="2:7" x14ac:dyDescent="0.35">
      <c r="B10" s="24" t="s">
        <v>271</v>
      </c>
      <c r="C10" s="24" t="s">
        <v>272</v>
      </c>
      <c r="D10" s="25" t="s">
        <v>1872</v>
      </c>
      <c r="E10" s="25" t="s">
        <v>1879</v>
      </c>
    </row>
    <row r="11" spans="2:7" x14ac:dyDescent="0.35">
      <c r="B11" s="24" t="s">
        <v>283</v>
      </c>
      <c r="C11" s="24" t="s">
        <v>284</v>
      </c>
      <c r="D11" s="25" t="s">
        <v>1872</v>
      </c>
      <c r="E11" s="25" t="s">
        <v>1879</v>
      </c>
    </row>
    <row r="12" spans="2:7" x14ac:dyDescent="0.35">
      <c r="B12" s="24" t="s">
        <v>505</v>
      </c>
      <c r="C12" s="24" t="s">
        <v>506</v>
      </c>
      <c r="D12" s="25" t="s">
        <v>1801</v>
      </c>
      <c r="E12" s="25" t="s">
        <v>1802</v>
      </c>
    </row>
    <row r="13" spans="2:7" x14ac:dyDescent="0.35">
      <c r="B13" s="24" t="s">
        <v>497</v>
      </c>
      <c r="C13" s="24" t="s">
        <v>498</v>
      </c>
      <c r="D13" s="25" t="s">
        <v>1801</v>
      </c>
      <c r="E13" s="25" t="s">
        <v>1802</v>
      </c>
    </row>
    <row r="14" spans="2:7" x14ac:dyDescent="0.35">
      <c r="B14" s="24" t="s">
        <v>583</v>
      </c>
      <c r="C14" s="24" t="s">
        <v>584</v>
      </c>
      <c r="D14" s="25" t="s">
        <v>1803</v>
      </c>
      <c r="E14" s="25" t="s">
        <v>1804</v>
      </c>
    </row>
    <row r="15" spans="2:7" x14ac:dyDescent="0.35">
      <c r="B15" s="24" t="s">
        <v>599</v>
      </c>
      <c r="C15" s="24" t="s">
        <v>600</v>
      </c>
      <c r="D15" s="25" t="s">
        <v>1803</v>
      </c>
      <c r="E15" s="25" t="s">
        <v>1804</v>
      </c>
    </row>
    <row r="16" spans="2:7" x14ac:dyDescent="0.35">
      <c r="B16" s="24" t="s">
        <v>597</v>
      </c>
      <c r="C16" s="24" t="s">
        <v>598</v>
      </c>
      <c r="D16" s="25" t="s">
        <v>1803</v>
      </c>
      <c r="E16" s="25" t="s">
        <v>1804</v>
      </c>
    </row>
    <row r="17" spans="2:5" x14ac:dyDescent="0.35">
      <c r="B17" s="24" t="s">
        <v>509</v>
      </c>
      <c r="C17" s="24" t="s">
        <v>510</v>
      </c>
      <c r="D17" s="26" t="s">
        <v>1805</v>
      </c>
      <c r="E17" s="26" t="s">
        <v>1950</v>
      </c>
    </row>
    <row r="18" spans="2:5" x14ac:dyDescent="0.35">
      <c r="B18" s="24" t="s">
        <v>511</v>
      </c>
      <c r="C18" s="24" t="s">
        <v>512</v>
      </c>
      <c r="D18" s="26" t="s">
        <v>1805</v>
      </c>
      <c r="E18" s="26" t="s">
        <v>1950</v>
      </c>
    </row>
    <row r="19" spans="2:5" x14ac:dyDescent="0.35">
      <c r="B19" s="24" t="s">
        <v>515</v>
      </c>
      <c r="C19" s="24" t="s">
        <v>516</v>
      </c>
      <c r="D19" s="25" t="s">
        <v>1805</v>
      </c>
      <c r="E19" s="25" t="s">
        <v>1950</v>
      </c>
    </row>
    <row r="20" spans="2:5" x14ac:dyDescent="0.35">
      <c r="B20" s="24" t="s">
        <v>517</v>
      </c>
      <c r="C20" s="24" t="s">
        <v>518</v>
      </c>
      <c r="D20" s="25" t="s">
        <v>1805</v>
      </c>
      <c r="E20" s="25" t="s">
        <v>1950</v>
      </c>
    </row>
    <row r="21" spans="2:5" x14ac:dyDescent="0.35">
      <c r="B21" s="24" t="s">
        <v>275</v>
      </c>
      <c r="C21" s="24" t="s">
        <v>276</v>
      </c>
      <c r="D21" s="25" t="s">
        <v>1875</v>
      </c>
      <c r="E21" s="25" t="s">
        <v>1876</v>
      </c>
    </row>
    <row r="22" spans="2:5" x14ac:dyDescent="0.35">
      <c r="B22" s="24" t="s">
        <v>465</v>
      </c>
      <c r="C22" s="24" t="s">
        <v>466</v>
      </c>
      <c r="D22" s="25" t="s">
        <v>1875</v>
      </c>
      <c r="E22" s="25" t="s">
        <v>1876</v>
      </c>
    </row>
    <row r="23" spans="2:5" x14ac:dyDescent="0.35">
      <c r="B23" s="24" t="s">
        <v>616</v>
      </c>
      <c r="C23" s="24" t="s">
        <v>617</v>
      </c>
      <c r="D23" s="26" t="s">
        <v>1938</v>
      </c>
      <c r="E23" s="26" t="s">
        <v>1939</v>
      </c>
    </row>
    <row r="24" spans="2:5" x14ac:dyDescent="0.35">
      <c r="B24" s="24" t="s">
        <v>1811</v>
      </c>
      <c r="C24" s="24" t="s">
        <v>1812</v>
      </c>
      <c r="D24" s="26" t="s">
        <v>1938</v>
      </c>
      <c r="E24" s="26" t="s">
        <v>1939</v>
      </c>
    </row>
    <row r="25" spans="2:5" x14ac:dyDescent="0.35">
      <c r="B25" s="24" t="s">
        <v>664</v>
      </c>
      <c r="C25" s="24" t="s">
        <v>665</v>
      </c>
      <c r="D25" s="26" t="s">
        <v>1936</v>
      </c>
      <c r="E25" s="26" t="s">
        <v>1937</v>
      </c>
    </row>
    <row r="26" spans="2:5" x14ac:dyDescent="0.35">
      <c r="B26" s="24" t="s">
        <v>1813</v>
      </c>
      <c r="C26" s="24" t="s">
        <v>1814</v>
      </c>
      <c r="D26" s="26" t="s">
        <v>1936</v>
      </c>
      <c r="E26" s="26" t="s">
        <v>1937</v>
      </c>
    </row>
    <row r="27" spans="2:5" x14ac:dyDescent="0.35">
      <c r="B27" s="24" t="s">
        <v>499</v>
      </c>
      <c r="C27" s="24" t="s">
        <v>500</v>
      </c>
      <c r="D27" s="26" t="s">
        <v>1942</v>
      </c>
      <c r="E27" s="26" t="s">
        <v>1943</v>
      </c>
    </row>
    <row r="28" spans="2:5" x14ac:dyDescent="0.35">
      <c r="B28" s="24" t="s">
        <v>501</v>
      </c>
      <c r="C28" s="24" t="s">
        <v>502</v>
      </c>
      <c r="D28" s="26" t="s">
        <v>1942</v>
      </c>
      <c r="E28" s="26" t="s">
        <v>1943</v>
      </c>
    </row>
    <row r="29" spans="2:5" x14ac:dyDescent="0.35">
      <c r="B29" s="24" t="s">
        <v>539</v>
      </c>
      <c r="C29" s="24" t="s">
        <v>540</v>
      </c>
      <c r="D29" s="27" t="s">
        <v>1940</v>
      </c>
      <c r="E29" s="27" t="s">
        <v>1941</v>
      </c>
    </row>
    <row r="30" spans="2:5" x14ac:dyDescent="0.35">
      <c r="B30" s="24" t="s">
        <v>541</v>
      </c>
      <c r="C30" s="24" t="s">
        <v>542</v>
      </c>
      <c r="D30" s="27" t="s">
        <v>1940</v>
      </c>
      <c r="E30" s="27" t="s">
        <v>1941</v>
      </c>
    </row>
    <row r="31" spans="2:5" x14ac:dyDescent="0.35">
      <c r="B31" s="24" t="s">
        <v>479</v>
      </c>
      <c r="C31" s="24" t="s">
        <v>480</v>
      </c>
      <c r="D31" s="26" t="s">
        <v>1887</v>
      </c>
      <c r="E31" s="26" t="s">
        <v>1888</v>
      </c>
    </row>
    <row r="32" spans="2:5" x14ac:dyDescent="0.35">
      <c r="B32" s="24" t="s">
        <v>485</v>
      </c>
      <c r="C32" s="24" t="s">
        <v>1865</v>
      </c>
      <c r="D32" s="25" t="s">
        <v>1887</v>
      </c>
      <c r="E32" s="25" t="s">
        <v>1888</v>
      </c>
    </row>
    <row r="33" spans="2:5" x14ac:dyDescent="0.35">
      <c r="B33" s="24" t="s">
        <v>477</v>
      </c>
      <c r="C33" s="24" t="s">
        <v>478</v>
      </c>
      <c r="D33" s="25" t="s">
        <v>1887</v>
      </c>
      <c r="E33" s="25" t="s">
        <v>1888</v>
      </c>
    </row>
    <row r="34" spans="2:5" x14ac:dyDescent="0.35">
      <c r="B34" s="24" t="s">
        <v>210</v>
      </c>
      <c r="C34" s="24" t="s">
        <v>211</v>
      </c>
      <c r="D34" s="25" t="s">
        <v>1930</v>
      </c>
      <c r="E34" s="25" t="s">
        <v>1934</v>
      </c>
    </row>
    <row r="35" spans="2:5" x14ac:dyDescent="0.35">
      <c r="B35" s="24" t="s">
        <v>208</v>
      </c>
      <c r="C35" s="24" t="s">
        <v>209</v>
      </c>
      <c r="D35" s="25" t="s">
        <v>1930</v>
      </c>
      <c r="E35" s="25" t="s">
        <v>1934</v>
      </c>
    </row>
    <row r="36" spans="2:5" x14ac:dyDescent="0.35">
      <c r="B36" s="24" t="s">
        <v>202</v>
      </c>
      <c r="C36" s="24" t="s">
        <v>203</v>
      </c>
      <c r="D36" s="25" t="s">
        <v>1930</v>
      </c>
      <c r="E36" s="25" t="s">
        <v>1934</v>
      </c>
    </row>
    <row r="37" spans="2:5" x14ac:dyDescent="0.35">
      <c r="B37" s="24" t="s">
        <v>200</v>
      </c>
      <c r="C37" s="24" t="s">
        <v>201</v>
      </c>
      <c r="D37" s="25" t="s">
        <v>1930</v>
      </c>
      <c r="E37" s="25" t="s">
        <v>1934</v>
      </c>
    </row>
    <row r="38" spans="2:5" x14ac:dyDescent="0.35">
      <c r="B38" s="24" t="s">
        <v>184</v>
      </c>
      <c r="C38" s="24" t="s">
        <v>185</v>
      </c>
      <c r="D38" s="25" t="s">
        <v>1929</v>
      </c>
      <c r="E38" s="25" t="s">
        <v>1933</v>
      </c>
    </row>
    <row r="39" spans="2:5" x14ac:dyDescent="0.35">
      <c r="B39" s="24" t="s">
        <v>165</v>
      </c>
      <c r="C39" s="24" t="s">
        <v>166</v>
      </c>
      <c r="D39" s="25" t="s">
        <v>1928</v>
      </c>
      <c r="E39" s="25" t="s">
        <v>1932</v>
      </c>
    </row>
    <row r="40" spans="2:5" x14ac:dyDescent="0.35">
      <c r="B40" s="24" t="s">
        <v>167</v>
      </c>
      <c r="C40" s="24" t="s">
        <v>168</v>
      </c>
      <c r="D40" s="25" t="s">
        <v>1928</v>
      </c>
      <c r="E40" s="25" t="s">
        <v>1932</v>
      </c>
    </row>
    <row r="41" spans="2:5" x14ac:dyDescent="0.35">
      <c r="B41" s="24" t="s">
        <v>169</v>
      </c>
      <c r="C41" s="24" t="s">
        <v>170</v>
      </c>
      <c r="D41" s="25" t="s">
        <v>1928</v>
      </c>
      <c r="E41" s="25" t="s">
        <v>1932</v>
      </c>
    </row>
    <row r="42" spans="2:5" x14ac:dyDescent="0.35">
      <c r="B42" s="24" t="s">
        <v>171</v>
      </c>
      <c r="C42" s="24" t="s">
        <v>172</v>
      </c>
      <c r="D42" s="25" t="s">
        <v>1927</v>
      </c>
      <c r="E42" s="25" t="s">
        <v>1931</v>
      </c>
    </row>
    <row r="43" spans="2:5" x14ac:dyDescent="0.35">
      <c r="B43" s="24" t="s">
        <v>656</v>
      </c>
      <c r="C43" s="24" t="s">
        <v>657</v>
      </c>
      <c r="D43" s="26" t="s">
        <v>1889</v>
      </c>
      <c r="E43" s="26" t="s">
        <v>1890</v>
      </c>
    </row>
    <row r="44" spans="2:5" x14ac:dyDescent="0.35">
      <c r="B44" s="24" t="s">
        <v>658</v>
      </c>
      <c r="C44" s="24" t="s">
        <v>659</v>
      </c>
      <c r="D44" s="26" t="s">
        <v>1889</v>
      </c>
      <c r="E44" s="26" t="s">
        <v>1890</v>
      </c>
    </row>
    <row r="45" spans="2:5" x14ac:dyDescent="0.35">
      <c r="B45" s="24" t="s">
        <v>660</v>
      </c>
      <c r="C45" s="24" t="s">
        <v>661</v>
      </c>
      <c r="D45" s="26" t="s">
        <v>1889</v>
      </c>
      <c r="E45" s="26" t="s">
        <v>1890</v>
      </c>
    </row>
    <row r="46" spans="2:5" x14ac:dyDescent="0.35">
      <c r="B46" s="24" t="s">
        <v>638</v>
      </c>
      <c r="C46" s="24" t="s">
        <v>639</v>
      </c>
      <c r="D46" s="26" t="s">
        <v>1889</v>
      </c>
      <c r="E46" s="26" t="s">
        <v>1890</v>
      </c>
    </row>
    <row r="47" spans="2:5" x14ac:dyDescent="0.35">
      <c r="B47" s="24" t="s">
        <v>668</v>
      </c>
      <c r="C47" s="24" t="s">
        <v>669</v>
      </c>
      <c r="D47" s="26" t="s">
        <v>1889</v>
      </c>
      <c r="E47" s="26" t="s">
        <v>1890</v>
      </c>
    </row>
    <row r="48" spans="2:5" x14ac:dyDescent="0.35">
      <c r="B48" s="24" t="s">
        <v>670</v>
      </c>
      <c r="C48" s="24" t="s">
        <v>671</v>
      </c>
      <c r="D48" s="26" t="s">
        <v>1889</v>
      </c>
      <c r="E48" s="26" t="s">
        <v>1890</v>
      </c>
    </row>
    <row r="49" spans="2:5" x14ac:dyDescent="0.35">
      <c r="B49" s="24" t="s">
        <v>577</v>
      </c>
      <c r="C49" s="24" t="s">
        <v>578</v>
      </c>
      <c r="D49" s="25" t="s">
        <v>1891</v>
      </c>
      <c r="E49" s="25" t="s">
        <v>1892</v>
      </c>
    </row>
    <row r="50" spans="2:5" x14ac:dyDescent="0.35">
      <c r="B50" s="24" t="s">
        <v>487</v>
      </c>
      <c r="C50" s="24" t="s">
        <v>488</v>
      </c>
      <c r="D50" s="25" t="s">
        <v>1891</v>
      </c>
      <c r="E50" s="25" t="s">
        <v>1892</v>
      </c>
    </row>
    <row r="51" spans="2:5" x14ac:dyDescent="0.35">
      <c r="B51" s="24" t="s">
        <v>569</v>
      </c>
      <c r="C51" s="24" t="s">
        <v>570</v>
      </c>
      <c r="D51" s="25" t="s">
        <v>1807</v>
      </c>
      <c r="E51" s="25" t="s">
        <v>1808</v>
      </c>
    </row>
    <row r="52" spans="2:5" x14ac:dyDescent="0.35">
      <c r="B52" s="24" t="s">
        <v>567</v>
      </c>
      <c r="C52" s="24" t="s">
        <v>568</v>
      </c>
      <c r="D52" s="25" t="s">
        <v>1807</v>
      </c>
      <c r="E52" s="25" t="s">
        <v>1808</v>
      </c>
    </row>
    <row r="53" spans="2:5" x14ac:dyDescent="0.35">
      <c r="B53" s="24" t="s">
        <v>605</v>
      </c>
      <c r="C53" s="24" t="s">
        <v>606</v>
      </c>
      <c r="D53" s="25" t="s">
        <v>1799</v>
      </c>
      <c r="E53" s="25" t="s">
        <v>1800</v>
      </c>
    </row>
    <row r="54" spans="2:5" x14ac:dyDescent="0.35">
      <c r="B54" s="24" t="s">
        <v>529</v>
      </c>
      <c r="C54" s="24" t="s">
        <v>530</v>
      </c>
      <c r="D54" s="25" t="s">
        <v>1799</v>
      </c>
      <c r="E54" s="25" t="s">
        <v>1800</v>
      </c>
    </row>
    <row r="55" spans="2:5" x14ac:dyDescent="0.35">
      <c r="B55" s="24" t="s">
        <v>640</v>
      </c>
      <c r="C55" s="24" t="s">
        <v>641</v>
      </c>
      <c r="D55" s="25" t="s">
        <v>647</v>
      </c>
      <c r="E55" s="25" t="s">
        <v>646</v>
      </c>
    </row>
    <row r="56" spans="2:5" x14ac:dyDescent="0.35">
      <c r="B56" s="24" t="s">
        <v>662</v>
      </c>
      <c r="C56" s="24" t="s">
        <v>663</v>
      </c>
      <c r="D56" s="25" t="s">
        <v>647</v>
      </c>
      <c r="E56" s="25" t="s">
        <v>646</v>
      </c>
    </row>
    <row r="57" spans="2:5" x14ac:dyDescent="0.35">
      <c r="B57" s="28" t="s">
        <v>143</v>
      </c>
      <c r="C57" s="15" t="s">
        <v>144</v>
      </c>
      <c r="D57" s="29" t="s">
        <v>131</v>
      </c>
      <c r="E57" s="13" t="s">
        <v>132</v>
      </c>
    </row>
    <row r="58" spans="2:5" x14ac:dyDescent="0.35">
      <c r="B58" s="24" t="s">
        <v>455</v>
      </c>
      <c r="C58" s="24" t="s">
        <v>456</v>
      </c>
      <c r="D58" s="25" t="s">
        <v>1877</v>
      </c>
      <c r="E58" s="25" t="s">
        <v>1878</v>
      </c>
    </row>
    <row r="59" spans="2:5" x14ac:dyDescent="0.35">
      <c r="B59" s="24" t="s">
        <v>457</v>
      </c>
      <c r="C59" s="24" t="s">
        <v>458</v>
      </c>
      <c r="D59" s="25" t="s">
        <v>1877</v>
      </c>
      <c r="E59" s="25" t="s">
        <v>1878</v>
      </c>
    </row>
    <row r="60" spans="2:5" ht="26" x14ac:dyDescent="0.35">
      <c r="B60" s="24" t="s">
        <v>646</v>
      </c>
      <c r="C60" s="31" t="s">
        <v>646</v>
      </c>
      <c r="D60" s="30" t="s">
        <v>647</v>
      </c>
      <c r="E60" s="25" t="s">
        <v>646</v>
      </c>
    </row>
    <row r="61" spans="2:5" x14ac:dyDescent="0.35">
      <c r="B61" s="39" t="s">
        <v>445</v>
      </c>
      <c r="C61" s="39" t="s">
        <v>446</v>
      </c>
      <c r="D61" s="40" t="s">
        <v>1951</v>
      </c>
      <c r="E61" s="41" t="s">
        <v>1952</v>
      </c>
    </row>
    <row r="62" spans="2:5" x14ac:dyDescent="0.35">
      <c r="B62" s="39" t="s">
        <v>595</v>
      </c>
      <c r="C62" s="39" t="s">
        <v>596</v>
      </c>
      <c r="D62" s="40" t="s">
        <v>1951</v>
      </c>
      <c r="E62" s="41" t="s">
        <v>1952</v>
      </c>
    </row>
    <row r="63" spans="2:5" x14ac:dyDescent="0.35">
      <c r="B63" s="39" t="s">
        <v>443</v>
      </c>
      <c r="C63" s="39" t="s">
        <v>444</v>
      </c>
      <c r="D63" s="40" t="s">
        <v>1951</v>
      </c>
      <c r="E63" s="41" t="s">
        <v>1952</v>
      </c>
    </row>
    <row r="64" spans="2:5" x14ac:dyDescent="0.35">
      <c r="B64" s="39" t="s">
        <v>527</v>
      </c>
      <c r="C64" s="39" t="s">
        <v>528</v>
      </c>
      <c r="D64" s="40" t="s">
        <v>1951</v>
      </c>
      <c r="E64" s="41" t="s">
        <v>1952</v>
      </c>
    </row>
    <row r="65" spans="2:5" x14ac:dyDescent="0.35">
      <c r="B65" s="39" t="s">
        <v>523</v>
      </c>
      <c r="C65" s="39" t="s">
        <v>524</v>
      </c>
      <c r="D65" s="40" t="s">
        <v>1951</v>
      </c>
      <c r="E65" s="41" t="s">
        <v>1952</v>
      </c>
    </row>
    <row r="66" spans="2:5" x14ac:dyDescent="0.35">
      <c r="B66" s="39" t="s">
        <v>1799</v>
      </c>
      <c r="C66" s="39" t="s">
        <v>1800</v>
      </c>
      <c r="D66" s="40" t="s">
        <v>1951</v>
      </c>
      <c r="E66" s="41" t="s">
        <v>1952</v>
      </c>
    </row>
    <row r="67" spans="2:5" x14ac:dyDescent="0.35">
      <c r="B67" s="39" t="s">
        <v>557</v>
      </c>
      <c r="C67" s="39" t="s">
        <v>558</v>
      </c>
      <c r="D67" s="40" t="s">
        <v>1951</v>
      </c>
      <c r="E67" s="41" t="s">
        <v>1952</v>
      </c>
    </row>
    <row r="68" spans="2:5" x14ac:dyDescent="0.35">
      <c r="B68" s="39" t="s">
        <v>579</v>
      </c>
      <c r="C68" s="39" t="s">
        <v>580</v>
      </c>
      <c r="D68" s="40" t="s">
        <v>1951</v>
      </c>
      <c r="E68" s="41" t="s">
        <v>1952</v>
      </c>
    </row>
    <row r="69" spans="2:5" x14ac:dyDescent="0.35">
      <c r="B69" s="39" t="s">
        <v>561</v>
      </c>
      <c r="C69" s="39" t="s">
        <v>562</v>
      </c>
      <c r="D69" s="40" t="s">
        <v>1951</v>
      </c>
      <c r="E69" s="41" t="s">
        <v>1952</v>
      </c>
    </row>
    <row r="70" spans="2:5" x14ac:dyDescent="0.35">
      <c r="B70" s="39" t="s">
        <v>1891</v>
      </c>
      <c r="C70" s="39" t="s">
        <v>1892</v>
      </c>
      <c r="D70" s="40" t="s">
        <v>1951</v>
      </c>
      <c r="E70" s="41" t="s">
        <v>1952</v>
      </c>
    </row>
    <row r="71" spans="2:5" x14ac:dyDescent="0.35">
      <c r="B71" s="39" t="s">
        <v>1807</v>
      </c>
      <c r="C71" s="39" t="s">
        <v>1808</v>
      </c>
      <c r="D71" s="40" t="s">
        <v>1951</v>
      </c>
      <c r="E71" s="41" t="s">
        <v>1952</v>
      </c>
    </row>
    <row r="72" spans="2:5" x14ac:dyDescent="0.35">
      <c r="B72" s="39" t="s">
        <v>988</v>
      </c>
      <c r="C72" s="39" t="s">
        <v>989</v>
      </c>
      <c r="D72" s="40" t="s">
        <v>1951</v>
      </c>
      <c r="E72" s="41" t="s">
        <v>1952</v>
      </c>
    </row>
    <row r="73" spans="2:5" x14ac:dyDescent="0.35">
      <c r="B73" s="42" t="s">
        <v>473</v>
      </c>
      <c r="C73" s="39" t="s">
        <v>474</v>
      </c>
      <c r="D73" s="40" t="s">
        <v>2068</v>
      </c>
      <c r="E73" s="41" t="s">
        <v>2069</v>
      </c>
    </row>
    <row r="74" spans="2:5" x14ac:dyDescent="0.35">
      <c r="B74" s="42" t="s">
        <v>225</v>
      </c>
      <c r="C74" s="39" t="s">
        <v>226</v>
      </c>
      <c r="D74" s="40" t="s">
        <v>2068</v>
      </c>
      <c r="E74" s="41" t="s">
        <v>2069</v>
      </c>
    </row>
    <row r="75" spans="2:5" x14ac:dyDescent="0.35">
      <c r="B75" s="42" t="s">
        <v>182</v>
      </c>
      <c r="C75" s="39" t="s">
        <v>183</v>
      </c>
      <c r="D75" s="40" t="s">
        <v>2070</v>
      </c>
      <c r="E75" s="41" t="s">
        <v>2071</v>
      </c>
    </row>
    <row r="76" spans="2:5" x14ac:dyDescent="0.35">
      <c r="B76" s="42" t="s">
        <v>222</v>
      </c>
      <c r="C76" s="39" t="s">
        <v>223</v>
      </c>
      <c r="D76" s="40" t="s">
        <v>2070</v>
      </c>
      <c r="E76" s="41" t="s">
        <v>2071</v>
      </c>
    </row>
    <row r="77" spans="2:5" x14ac:dyDescent="0.35">
      <c r="B77" s="42" t="s">
        <v>855</v>
      </c>
      <c r="C77" s="39" t="s">
        <v>856</v>
      </c>
      <c r="D77" s="40" t="s">
        <v>2072</v>
      </c>
      <c r="E77" s="41" t="s">
        <v>2073</v>
      </c>
    </row>
    <row r="78" spans="2:5" x14ac:dyDescent="0.35">
      <c r="B78" s="42" t="s">
        <v>859</v>
      </c>
      <c r="C78" s="39" t="s">
        <v>860</v>
      </c>
      <c r="D78" s="40" t="s">
        <v>2072</v>
      </c>
      <c r="E78" s="41" t="s">
        <v>2073</v>
      </c>
    </row>
    <row r="79" spans="2:5" x14ac:dyDescent="0.35">
      <c r="B79" s="42" t="s">
        <v>863</v>
      </c>
      <c r="C79" s="39" t="s">
        <v>864</v>
      </c>
      <c r="D79" s="40" t="s">
        <v>2072</v>
      </c>
      <c r="E79" s="41" t="s">
        <v>2073</v>
      </c>
    </row>
    <row r="80" spans="2:5" x14ac:dyDescent="0.35">
      <c r="B80" s="42" t="s">
        <v>853</v>
      </c>
      <c r="C80" s="39" t="s">
        <v>854</v>
      </c>
      <c r="D80" s="40" t="s">
        <v>2074</v>
      </c>
      <c r="E80" s="41" t="s">
        <v>2075</v>
      </c>
    </row>
    <row r="81" spans="2:5" x14ac:dyDescent="0.35">
      <c r="B81" s="42" t="s">
        <v>857</v>
      </c>
      <c r="C81" s="39" t="s">
        <v>858</v>
      </c>
      <c r="D81" s="40" t="s">
        <v>2074</v>
      </c>
      <c r="E81" s="41" t="s">
        <v>2075</v>
      </c>
    </row>
    <row r="82" spans="2:5" x14ac:dyDescent="0.35">
      <c r="B82" s="42" t="s">
        <v>861</v>
      </c>
      <c r="C82" s="39" t="s">
        <v>862</v>
      </c>
      <c r="D82" s="40" t="s">
        <v>2074</v>
      </c>
      <c r="E82" s="41" t="s">
        <v>2075</v>
      </c>
    </row>
    <row r="83" spans="2:5" x14ac:dyDescent="0.35">
      <c r="B83" s="42" t="s">
        <v>316</v>
      </c>
      <c r="C83" s="39" t="s">
        <v>317</v>
      </c>
      <c r="D83" s="40" t="s">
        <v>2076</v>
      </c>
      <c r="E83" s="41" t="s">
        <v>2077</v>
      </c>
    </row>
    <row r="84" spans="2:5" x14ac:dyDescent="0.35">
      <c r="B84" s="42" t="s">
        <v>318</v>
      </c>
      <c r="C84" s="39" t="s">
        <v>319</v>
      </c>
      <c r="D84" s="40" t="s">
        <v>2076</v>
      </c>
      <c r="E84" s="41" t="s">
        <v>2077</v>
      </c>
    </row>
    <row r="85" spans="2:5" x14ac:dyDescent="0.35">
      <c r="B85" s="42" t="s">
        <v>322</v>
      </c>
      <c r="C85" s="39" t="s">
        <v>323</v>
      </c>
      <c r="D85" s="40" t="s">
        <v>2076</v>
      </c>
      <c r="E85" s="41" t="s">
        <v>2077</v>
      </c>
    </row>
    <row r="86" spans="2:5" x14ac:dyDescent="0.35">
      <c r="B86" s="42" t="s">
        <v>344</v>
      </c>
      <c r="C86" s="39" t="s">
        <v>345</v>
      </c>
      <c r="D86" s="40" t="s">
        <v>339</v>
      </c>
      <c r="E86" s="41" t="s">
        <v>2078</v>
      </c>
    </row>
    <row r="87" spans="2:5" x14ac:dyDescent="0.35">
      <c r="B87" s="42" t="s">
        <v>346</v>
      </c>
      <c r="C87" s="39" t="s">
        <v>347</v>
      </c>
      <c r="D87" s="40" t="s">
        <v>339</v>
      </c>
      <c r="E87" s="41" t="s">
        <v>2078</v>
      </c>
    </row>
    <row r="88" spans="2:5" x14ac:dyDescent="0.35">
      <c r="B88" s="42" t="s">
        <v>350</v>
      </c>
      <c r="C88" s="39" t="s">
        <v>351</v>
      </c>
      <c r="D88" s="40" t="s">
        <v>339</v>
      </c>
      <c r="E88" s="41" t="s">
        <v>2078</v>
      </c>
    </row>
    <row r="89" spans="2:5" x14ac:dyDescent="0.35">
      <c r="B89" s="42" t="s">
        <v>252</v>
      </c>
      <c r="C89" s="39" t="s">
        <v>253</v>
      </c>
      <c r="D89" s="40" t="s">
        <v>2085</v>
      </c>
      <c r="E89" s="41" t="s">
        <v>2086</v>
      </c>
    </row>
    <row r="90" spans="2:5" x14ac:dyDescent="0.35">
      <c r="B90" s="42" t="s">
        <v>254</v>
      </c>
      <c r="C90" s="39" t="s">
        <v>255</v>
      </c>
      <c r="D90" s="40" t="s">
        <v>2085</v>
      </c>
      <c r="E90" s="41" t="s">
        <v>2086</v>
      </c>
    </row>
    <row r="91" spans="2:5" x14ac:dyDescent="0.35">
      <c r="B91" s="42" t="s">
        <v>260</v>
      </c>
      <c r="C91" s="39" t="s">
        <v>261</v>
      </c>
      <c r="D91" s="40" t="s">
        <v>2085</v>
      </c>
      <c r="E91" s="41" t="s">
        <v>2086</v>
      </c>
    </row>
    <row r="92" spans="2:5" x14ac:dyDescent="0.35">
      <c r="B92" s="42" t="s">
        <v>376</v>
      </c>
      <c r="C92" s="39" t="s">
        <v>377</v>
      </c>
      <c r="D92" s="40" t="s">
        <v>2079</v>
      </c>
      <c r="E92" s="41" t="s">
        <v>2080</v>
      </c>
    </row>
    <row r="93" spans="2:5" x14ac:dyDescent="0.35">
      <c r="B93" s="42" t="s">
        <v>378</v>
      </c>
      <c r="C93" s="39" t="s">
        <v>379</v>
      </c>
      <c r="D93" s="40" t="s">
        <v>2079</v>
      </c>
      <c r="E93" s="41" t="s">
        <v>2080</v>
      </c>
    </row>
    <row r="94" spans="2:5" x14ac:dyDescent="0.35">
      <c r="B94" s="42" t="s">
        <v>384</v>
      </c>
      <c r="C94" s="39" t="s">
        <v>385</v>
      </c>
      <c r="D94" s="40" t="s">
        <v>2079</v>
      </c>
      <c r="E94" s="41" t="s">
        <v>2080</v>
      </c>
    </row>
    <row r="95" spans="2:5" x14ac:dyDescent="0.35">
      <c r="B95" s="42" t="s">
        <v>393</v>
      </c>
      <c r="C95" s="39" t="s">
        <v>394</v>
      </c>
      <c r="D95" s="40" t="s">
        <v>2081</v>
      </c>
      <c r="E95" s="41" t="s">
        <v>2082</v>
      </c>
    </row>
    <row r="96" spans="2:5" x14ac:dyDescent="0.35">
      <c r="B96" s="42" t="s">
        <v>401</v>
      </c>
      <c r="C96" s="39" t="s">
        <v>402</v>
      </c>
      <c r="D96" s="40" t="s">
        <v>2081</v>
      </c>
      <c r="E96" s="41" t="s">
        <v>2082</v>
      </c>
    </row>
    <row r="97" spans="2:6" x14ac:dyDescent="0.35">
      <c r="B97" s="42" t="s">
        <v>395</v>
      </c>
      <c r="C97" s="39" t="s">
        <v>396</v>
      </c>
      <c r="D97" s="40" t="s">
        <v>2081</v>
      </c>
      <c r="E97" s="41" t="s">
        <v>2082</v>
      </c>
    </row>
    <row r="98" spans="2:6" x14ac:dyDescent="0.35">
      <c r="B98" s="42" t="s">
        <v>410</v>
      </c>
      <c r="C98" s="39" t="s">
        <v>411</v>
      </c>
      <c r="D98" s="40" t="s">
        <v>2117</v>
      </c>
      <c r="E98" s="41" t="s">
        <v>2118</v>
      </c>
    </row>
    <row r="99" spans="2:6" x14ac:dyDescent="0.35">
      <c r="B99" s="42" t="s">
        <v>412</v>
      </c>
      <c r="C99" s="39" t="s">
        <v>413</v>
      </c>
      <c r="D99" s="40" t="s">
        <v>2117</v>
      </c>
      <c r="E99" s="41" t="s">
        <v>2118</v>
      </c>
    </row>
    <row r="100" spans="2:6" x14ac:dyDescent="0.35">
      <c r="B100" s="42" t="s">
        <v>416</v>
      </c>
      <c r="C100" s="39" t="s">
        <v>417</v>
      </c>
      <c r="D100" s="40" t="s">
        <v>2117</v>
      </c>
      <c r="E100" s="41" t="s">
        <v>2118</v>
      </c>
    </row>
    <row r="101" spans="2:6" x14ac:dyDescent="0.35">
      <c r="B101" s="42" t="s">
        <v>236</v>
      </c>
      <c r="C101" s="39" t="s">
        <v>237</v>
      </c>
      <c r="D101" s="40" t="s">
        <v>2083</v>
      </c>
      <c r="E101" s="41" t="s">
        <v>2084</v>
      </c>
    </row>
    <row r="102" spans="2:6" x14ac:dyDescent="0.35">
      <c r="B102" s="42" t="s">
        <v>420</v>
      </c>
      <c r="C102" s="39" t="s">
        <v>421</v>
      </c>
      <c r="D102" s="40" t="s">
        <v>2083</v>
      </c>
      <c r="E102" s="41" t="s">
        <v>2084</v>
      </c>
    </row>
    <row r="103" spans="2:6" x14ac:dyDescent="0.35">
      <c r="B103" s="42" t="s">
        <v>430</v>
      </c>
      <c r="C103" s="39" t="s">
        <v>431</v>
      </c>
      <c r="D103" s="40" t="s">
        <v>2083</v>
      </c>
      <c r="E103" s="41" t="s">
        <v>2084</v>
      </c>
    </row>
    <row r="104" spans="2:6" x14ac:dyDescent="0.35">
      <c r="B104" s="39" t="s">
        <v>945</v>
      </c>
      <c r="C104" s="39" t="s">
        <v>946</v>
      </c>
      <c r="D104" s="54" t="s">
        <v>2168</v>
      </c>
      <c r="E104" s="54" t="s">
        <v>2167</v>
      </c>
      <c r="F104" t="s">
        <v>2164</v>
      </c>
    </row>
    <row r="105" spans="2:6" x14ac:dyDescent="0.35">
      <c r="B105" s="42" t="s">
        <v>1875</v>
      </c>
      <c r="C105" s="42" t="s">
        <v>1876</v>
      </c>
      <c r="D105" s="54" t="s">
        <v>2168</v>
      </c>
      <c r="E105" s="54" t="s">
        <v>2167</v>
      </c>
      <c r="F105" t="s">
        <v>2164</v>
      </c>
    </row>
    <row r="106" spans="2:6" x14ac:dyDescent="0.35">
      <c r="B106" s="42" t="s">
        <v>469</v>
      </c>
      <c r="C106" s="42" t="s">
        <v>1863</v>
      </c>
      <c r="D106" s="54" t="s">
        <v>2168</v>
      </c>
      <c r="E106" s="54" t="s">
        <v>2167</v>
      </c>
      <c r="F106" t="s">
        <v>2164</v>
      </c>
    </row>
    <row r="107" spans="2:6" x14ac:dyDescent="0.35">
      <c r="B107" s="42" t="s">
        <v>610</v>
      </c>
      <c r="C107" s="42" t="s">
        <v>611</v>
      </c>
      <c r="D107" s="90"/>
      <c r="E107" s="90" t="s">
        <v>2163</v>
      </c>
      <c r="F107" t="s">
        <v>2164</v>
      </c>
    </row>
    <row r="108" spans="2:6" x14ac:dyDescent="0.35">
      <c r="B108" s="42" t="s">
        <v>654</v>
      </c>
      <c r="C108" s="42" t="s">
        <v>655</v>
      </c>
      <c r="D108" s="90"/>
      <c r="E108" s="90"/>
      <c r="F108" t="s">
        <v>2164</v>
      </c>
    </row>
    <row r="109" spans="2:6" x14ac:dyDescent="0.35">
      <c r="B109" s="42" t="s">
        <v>547</v>
      </c>
      <c r="C109" s="42" t="s">
        <v>1966</v>
      </c>
      <c r="D109" s="54" t="s">
        <v>2170</v>
      </c>
      <c r="E109" s="54" t="s">
        <v>2169</v>
      </c>
      <c r="F109" t="s">
        <v>2164</v>
      </c>
    </row>
    <row r="110" spans="2:6" x14ac:dyDescent="0.35">
      <c r="B110" s="42" t="s">
        <v>549</v>
      </c>
      <c r="C110" s="42" t="s">
        <v>1964</v>
      </c>
      <c r="D110" s="54" t="s">
        <v>2170</v>
      </c>
      <c r="E110" s="54" t="s">
        <v>2169</v>
      </c>
      <c r="F110" t="s">
        <v>2164</v>
      </c>
    </row>
    <row r="111" spans="2:6" x14ac:dyDescent="0.35">
      <c r="B111" s="42" t="s">
        <v>289</v>
      </c>
      <c r="C111" s="42" t="s">
        <v>1967</v>
      </c>
      <c r="D111" s="54" t="s">
        <v>2170</v>
      </c>
      <c r="E111" s="54" t="s">
        <v>2169</v>
      </c>
      <c r="F111" t="s">
        <v>2164</v>
      </c>
    </row>
    <row r="112" spans="2:6" x14ac:dyDescent="0.35">
      <c r="B112" s="39" t="s">
        <v>428</v>
      </c>
      <c r="C112" s="39" t="s">
        <v>429</v>
      </c>
      <c r="D112" s="54" t="s">
        <v>232</v>
      </c>
      <c r="E112" s="54" t="s">
        <v>233</v>
      </c>
      <c r="F112" t="s">
        <v>2164</v>
      </c>
    </row>
    <row r="113" spans="2:5" x14ac:dyDescent="0.35">
      <c r="B113" s="26" t="s">
        <v>56</v>
      </c>
      <c r="C113" s="26" t="s">
        <v>57</v>
      </c>
      <c r="D113" s="54"/>
      <c r="E113" s="54" t="s">
        <v>2166</v>
      </c>
    </row>
    <row r="114" spans="2:5" x14ac:dyDescent="0.35">
      <c r="B114" s="26" t="s">
        <v>82</v>
      </c>
      <c r="C114" s="26" t="s">
        <v>83</v>
      </c>
      <c r="D114" s="54"/>
      <c r="E114" s="54" t="s">
        <v>2166</v>
      </c>
    </row>
    <row r="115" spans="2:5" x14ac:dyDescent="0.35">
      <c r="B115" s="26" t="s">
        <v>120</v>
      </c>
      <c r="C115" s="26" t="s">
        <v>121</v>
      </c>
      <c r="D115" s="54"/>
      <c r="E115" s="54" t="s">
        <v>2166</v>
      </c>
    </row>
    <row r="116" spans="2:5" x14ac:dyDescent="0.35">
      <c r="B116" s="26" t="s">
        <v>138</v>
      </c>
      <c r="C116" s="26" t="s">
        <v>139</v>
      </c>
      <c r="D116" s="54"/>
      <c r="E116" s="54" t="s">
        <v>2166</v>
      </c>
    </row>
  </sheetData>
  <autoFilter ref="B3:G116" xr:uid="{C4DAF3C0-4AE2-4326-BE61-C4569E796A7D}"/>
  <mergeCells count="4">
    <mergeCell ref="B2:C2"/>
    <mergeCell ref="D2:E2"/>
    <mergeCell ref="D107:D108"/>
    <mergeCell ref="E107:E10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27A2-828C-4AE6-86EA-54E3FFA4BDCC}">
  <sheetPr codeName="Sheet6" filterMode="1"/>
  <dimension ref="C3:M212"/>
  <sheetViews>
    <sheetView topLeftCell="A94" workbookViewId="0">
      <selection activeCell="A3" sqref="A3"/>
    </sheetView>
  </sheetViews>
  <sheetFormatPr defaultRowHeight="14.5" x14ac:dyDescent="0.35"/>
  <sheetData>
    <row r="3" spans="3:13" x14ac:dyDescent="0.35">
      <c r="C3" t="s">
        <v>103</v>
      </c>
      <c r="D3" t="e">
        <f>VLOOKUP(C3,$L$3:$M$212,2,FALSE)</f>
        <v>#N/A</v>
      </c>
      <c r="L3" t="s">
        <v>945</v>
      </c>
      <c r="M3" t="s">
        <v>946</v>
      </c>
    </row>
    <row r="4" spans="3:13" hidden="1" x14ac:dyDescent="0.35">
      <c r="C4" t="s">
        <v>271</v>
      </c>
      <c r="D4" t="e">
        <f t="shared" ref="D4:D67" si="0">VLOOKUP(C4,$L$3:$M$212,2,FALSE)</f>
        <v>#N/A</v>
      </c>
      <c r="L4" t="s">
        <v>303</v>
      </c>
      <c r="M4" t="s">
        <v>304</v>
      </c>
    </row>
    <row r="5" spans="3:13" x14ac:dyDescent="0.35">
      <c r="C5" t="s">
        <v>443</v>
      </c>
      <c r="D5" t="str">
        <f t="shared" si="0"/>
        <v>Server ProSupport ANZ</v>
      </c>
      <c r="L5" t="s">
        <v>974</v>
      </c>
      <c r="M5" t="s">
        <v>975</v>
      </c>
    </row>
    <row r="6" spans="3:13" x14ac:dyDescent="0.35">
      <c r="C6" t="s">
        <v>445</v>
      </c>
      <c r="D6" t="str">
        <f t="shared" si="0"/>
        <v>Enterprise ANZ AOH</v>
      </c>
      <c r="L6" t="s">
        <v>471</v>
      </c>
      <c r="M6" t="s">
        <v>472</v>
      </c>
    </row>
    <row r="7" spans="3:13" hidden="1" x14ac:dyDescent="0.35">
      <c r="C7" t="s">
        <v>1811</v>
      </c>
      <c r="D7" t="e">
        <f t="shared" si="0"/>
        <v>#N/A</v>
      </c>
      <c r="L7" t="s">
        <v>473</v>
      </c>
      <c r="M7" t="s">
        <v>474</v>
      </c>
    </row>
    <row r="8" spans="3:13" hidden="1" x14ac:dyDescent="0.35">
      <c r="C8" t="s">
        <v>1813</v>
      </c>
      <c r="D8" t="e">
        <f t="shared" si="0"/>
        <v>#N/A</v>
      </c>
      <c r="L8" t="s">
        <v>277</v>
      </c>
      <c r="M8" t="s">
        <v>278</v>
      </c>
    </row>
    <row r="9" spans="3:13" x14ac:dyDescent="0.35">
      <c r="C9" t="s">
        <v>1799</v>
      </c>
      <c r="D9" t="str">
        <f t="shared" si="0"/>
        <v>EMEA Server Upsell English</v>
      </c>
      <c r="L9" t="s">
        <v>866</v>
      </c>
      <c r="M9" t="s">
        <v>867</v>
      </c>
    </row>
    <row r="10" spans="3:13" hidden="1" x14ac:dyDescent="0.35">
      <c r="C10" t="s">
        <v>616</v>
      </c>
      <c r="D10" t="e">
        <f t="shared" si="0"/>
        <v>#N/A</v>
      </c>
      <c r="L10" t="s">
        <v>986</v>
      </c>
      <c r="M10" t="s">
        <v>987</v>
      </c>
    </row>
    <row r="11" spans="3:13" x14ac:dyDescent="0.35">
      <c r="C11" t="s">
        <v>945</v>
      </c>
      <c r="D11" t="str">
        <f t="shared" si="0"/>
        <v>Social Media CCC</v>
      </c>
      <c r="L11" t="s">
        <v>988</v>
      </c>
      <c r="M11" t="s">
        <v>989</v>
      </c>
    </row>
    <row r="12" spans="3:13" hidden="1" x14ac:dyDescent="0.35">
      <c r="C12" t="s">
        <v>955</v>
      </c>
      <c r="D12" t="e">
        <f t="shared" si="0"/>
        <v>#N/A</v>
      </c>
      <c r="L12" t="s">
        <v>1038</v>
      </c>
      <c r="M12" t="s">
        <v>1039</v>
      </c>
    </row>
    <row r="13" spans="3:13" x14ac:dyDescent="0.35">
      <c r="C13" t="s">
        <v>974</v>
      </c>
      <c r="D13" t="str">
        <f t="shared" si="0"/>
        <v>HCS Global DSE</v>
      </c>
      <c r="L13" t="s">
        <v>1040</v>
      </c>
      <c r="M13" t="s">
        <v>1041</v>
      </c>
    </row>
    <row r="14" spans="3:13" x14ac:dyDescent="0.35">
      <c r="C14" t="s">
        <v>473</v>
      </c>
      <c r="D14" t="str">
        <f t="shared" si="0"/>
        <v>Global Compute Software</v>
      </c>
      <c r="L14" t="s">
        <v>1042</v>
      </c>
      <c r="M14" t="s">
        <v>1043</v>
      </c>
    </row>
    <row r="15" spans="3:13" x14ac:dyDescent="0.35">
      <c r="C15" t="s">
        <v>222</v>
      </c>
      <c r="D15" t="str">
        <f t="shared" si="0"/>
        <v>HCS Global Vmware</v>
      </c>
      <c r="L15" t="s">
        <v>1953</v>
      </c>
      <c r="M15" t="s">
        <v>1954</v>
      </c>
    </row>
    <row r="16" spans="3:13" x14ac:dyDescent="0.35">
      <c r="C16" t="s">
        <v>986</v>
      </c>
      <c r="D16" t="str">
        <f t="shared" si="0"/>
        <v>RPS Proactive Systems Maintenance</v>
      </c>
      <c r="L16" t="s">
        <v>531</v>
      </c>
      <c r="M16" t="s">
        <v>532</v>
      </c>
    </row>
    <row r="17" spans="3:13" x14ac:dyDescent="0.35">
      <c r="C17" t="s">
        <v>988</v>
      </c>
      <c r="D17" t="str">
        <f t="shared" si="0"/>
        <v>Social Media English</v>
      </c>
      <c r="L17" t="s">
        <v>872</v>
      </c>
      <c r="M17" t="s">
        <v>873</v>
      </c>
    </row>
    <row r="18" spans="3:13" hidden="1" x14ac:dyDescent="0.35">
      <c r="C18" t="s">
        <v>165</v>
      </c>
      <c r="D18" t="e">
        <f t="shared" si="0"/>
        <v>#N/A</v>
      </c>
      <c r="L18" t="s">
        <v>1092</v>
      </c>
      <c r="M18" t="s">
        <v>1093</v>
      </c>
    </row>
    <row r="19" spans="3:13" hidden="1" x14ac:dyDescent="0.35">
      <c r="C19" t="s">
        <v>167</v>
      </c>
      <c r="D19" t="e">
        <f t="shared" si="0"/>
        <v>#N/A</v>
      </c>
      <c r="L19" t="s">
        <v>1098</v>
      </c>
      <c r="M19" t="s">
        <v>1099</v>
      </c>
    </row>
    <row r="20" spans="3:13" hidden="1" x14ac:dyDescent="0.35">
      <c r="C20" t="s">
        <v>169</v>
      </c>
      <c r="D20" t="e">
        <f t="shared" si="0"/>
        <v>#N/A</v>
      </c>
      <c r="L20" t="s">
        <v>1102</v>
      </c>
      <c r="M20" t="s">
        <v>1103</v>
      </c>
    </row>
    <row r="21" spans="3:13" hidden="1" x14ac:dyDescent="0.35">
      <c r="C21" t="s">
        <v>171</v>
      </c>
      <c r="D21" t="e">
        <f t="shared" si="0"/>
        <v>#N/A</v>
      </c>
      <c r="L21" t="s">
        <v>1104</v>
      </c>
      <c r="M21" t="s">
        <v>1105</v>
      </c>
    </row>
    <row r="22" spans="3:13" hidden="1" x14ac:dyDescent="0.35">
      <c r="C22" t="s">
        <v>479</v>
      </c>
      <c r="D22" t="e">
        <f t="shared" si="0"/>
        <v>#N/A</v>
      </c>
      <c r="L22" t="s">
        <v>1106</v>
      </c>
      <c r="M22" t="s">
        <v>1107</v>
      </c>
    </row>
    <row r="23" spans="3:13" hidden="1" x14ac:dyDescent="0.35">
      <c r="C23" t="s">
        <v>485</v>
      </c>
      <c r="D23" t="e">
        <f t="shared" si="0"/>
        <v>#N/A</v>
      </c>
      <c r="L23" t="s">
        <v>1110</v>
      </c>
      <c r="M23" t="s">
        <v>1111</v>
      </c>
    </row>
    <row r="24" spans="3:13" hidden="1" x14ac:dyDescent="0.35">
      <c r="C24" t="s">
        <v>487</v>
      </c>
      <c r="D24" t="e">
        <f t="shared" si="0"/>
        <v>#N/A</v>
      </c>
      <c r="L24" t="s">
        <v>1112</v>
      </c>
      <c r="M24" t="s">
        <v>1113</v>
      </c>
    </row>
    <row r="25" spans="3:13" hidden="1" x14ac:dyDescent="0.35">
      <c r="C25" t="s">
        <v>499</v>
      </c>
      <c r="D25" t="e">
        <f t="shared" si="0"/>
        <v>#N/A</v>
      </c>
      <c r="L25" t="s">
        <v>1121</v>
      </c>
      <c r="M25" t="s">
        <v>1122</v>
      </c>
    </row>
    <row r="26" spans="3:13" hidden="1" x14ac:dyDescent="0.35">
      <c r="C26" t="s">
        <v>501</v>
      </c>
      <c r="D26" t="e">
        <f t="shared" si="0"/>
        <v>#N/A</v>
      </c>
      <c r="L26" t="s">
        <v>1125</v>
      </c>
      <c r="M26" t="s">
        <v>1126</v>
      </c>
    </row>
    <row r="27" spans="3:13" x14ac:dyDescent="0.35">
      <c r="C27" t="s">
        <v>182</v>
      </c>
      <c r="D27" t="str">
        <f t="shared" si="0"/>
        <v>HCS Global Cloud Solutions</v>
      </c>
      <c r="L27" t="s">
        <v>1129</v>
      </c>
      <c r="M27" t="s">
        <v>1130</v>
      </c>
    </row>
    <row r="28" spans="3:13" hidden="1" x14ac:dyDescent="0.35">
      <c r="C28" t="s">
        <v>509</v>
      </c>
      <c r="D28" t="e">
        <f t="shared" si="0"/>
        <v>#N/A</v>
      </c>
      <c r="L28" t="s">
        <v>1131</v>
      </c>
      <c r="M28" t="s">
        <v>1132</v>
      </c>
    </row>
    <row r="29" spans="3:13" hidden="1" x14ac:dyDescent="0.35">
      <c r="C29" t="s">
        <v>511</v>
      </c>
      <c r="D29" t="e">
        <f t="shared" si="0"/>
        <v>#N/A</v>
      </c>
      <c r="L29" t="s">
        <v>1133</v>
      </c>
      <c r="M29" t="s">
        <v>1134</v>
      </c>
    </row>
    <row r="30" spans="3:13" x14ac:dyDescent="0.35">
      <c r="C30" t="s">
        <v>523</v>
      </c>
      <c r="D30" t="str">
        <f t="shared" si="0"/>
        <v>ENG Modular (CWD)</v>
      </c>
      <c r="L30" t="s">
        <v>1137</v>
      </c>
      <c r="M30" t="s">
        <v>1138</v>
      </c>
    </row>
    <row r="31" spans="3:13" x14ac:dyDescent="0.35">
      <c r="C31" t="s">
        <v>527</v>
      </c>
      <c r="D31" t="str">
        <f t="shared" si="0"/>
        <v>ENG ProSupp Server 247 (CWD)</v>
      </c>
      <c r="L31" t="s">
        <v>1139</v>
      </c>
      <c r="M31" t="s">
        <v>1140</v>
      </c>
    </row>
    <row r="32" spans="3:13" hidden="1" x14ac:dyDescent="0.35">
      <c r="C32" t="s">
        <v>638</v>
      </c>
      <c r="D32" t="e">
        <f t="shared" si="0"/>
        <v>#N/A</v>
      </c>
      <c r="L32" t="s">
        <v>1143</v>
      </c>
      <c r="M32" t="s">
        <v>1144</v>
      </c>
    </row>
    <row r="33" spans="3:13" hidden="1" x14ac:dyDescent="0.35">
      <c r="C33" t="s">
        <v>2094</v>
      </c>
      <c r="D33" t="e">
        <f t="shared" si="0"/>
        <v>#N/A</v>
      </c>
      <c r="L33" t="s">
        <v>1147</v>
      </c>
      <c r="M33" t="s">
        <v>1148</v>
      </c>
    </row>
    <row r="34" spans="3:13" hidden="1" x14ac:dyDescent="0.35">
      <c r="C34" t="s">
        <v>1036</v>
      </c>
      <c r="D34" t="e">
        <f t="shared" si="0"/>
        <v>#N/A</v>
      </c>
      <c r="L34" t="s">
        <v>1155</v>
      </c>
      <c r="M34" t="s">
        <v>1156</v>
      </c>
    </row>
    <row r="35" spans="3:13" x14ac:dyDescent="0.35">
      <c r="C35" t="s">
        <v>1038</v>
      </c>
      <c r="D35" t="str">
        <f t="shared" si="0"/>
        <v>E2E Quality Coach</v>
      </c>
      <c r="L35" t="s">
        <v>1157</v>
      </c>
      <c r="M35" t="s">
        <v>1158</v>
      </c>
    </row>
    <row r="36" spans="3:13" x14ac:dyDescent="0.35">
      <c r="C36" t="s">
        <v>1040</v>
      </c>
      <c r="D36" t="str">
        <f t="shared" si="0"/>
        <v>GIST Quality Coach</v>
      </c>
      <c r="L36" t="s">
        <v>1162</v>
      </c>
      <c r="M36" t="s">
        <v>1163</v>
      </c>
    </row>
    <row r="37" spans="3:13" x14ac:dyDescent="0.35">
      <c r="C37" t="s">
        <v>1042</v>
      </c>
      <c r="D37" t="str">
        <f t="shared" si="0"/>
        <v>Licensing Quality Coach</v>
      </c>
      <c r="L37" t="s">
        <v>1168</v>
      </c>
      <c r="M37" t="s">
        <v>1169</v>
      </c>
    </row>
    <row r="38" spans="3:13" x14ac:dyDescent="0.35">
      <c r="C38" t="s">
        <v>105</v>
      </c>
      <c r="D38" t="str">
        <f t="shared" si="0"/>
        <v>GLOBAL DPD DPSolutions</v>
      </c>
      <c r="L38" t="s">
        <v>1170</v>
      </c>
      <c r="M38" t="s">
        <v>1171</v>
      </c>
    </row>
    <row r="39" spans="3:13" hidden="1" x14ac:dyDescent="0.35">
      <c r="C39" t="s">
        <v>143</v>
      </c>
      <c r="D39" t="e">
        <f t="shared" si="0"/>
        <v>#N/A</v>
      </c>
      <c r="L39" t="s">
        <v>1191</v>
      </c>
      <c r="M39" t="s">
        <v>1192</v>
      </c>
    </row>
    <row r="40" spans="3:13" hidden="1" x14ac:dyDescent="0.35">
      <c r="C40" t="s">
        <v>184</v>
      </c>
      <c r="D40" t="e">
        <f t="shared" si="0"/>
        <v>#N/A</v>
      </c>
      <c r="L40" t="s">
        <v>1193</v>
      </c>
      <c r="M40" t="s">
        <v>1194</v>
      </c>
    </row>
    <row r="41" spans="3:13" x14ac:dyDescent="0.35">
      <c r="C41" t="s">
        <v>225</v>
      </c>
      <c r="D41" t="str">
        <f t="shared" si="0"/>
        <v>HCS Global Solutions</v>
      </c>
      <c r="L41" t="s">
        <v>1955</v>
      </c>
      <c r="M41" t="s">
        <v>1956</v>
      </c>
    </row>
    <row r="42" spans="3:13" x14ac:dyDescent="0.35">
      <c r="C42" t="s">
        <v>236</v>
      </c>
      <c r="D42" t="str">
        <f t="shared" si="0"/>
        <v>GLOBAL HES MIDRANGE</v>
      </c>
      <c r="L42" t="s">
        <v>1893</v>
      </c>
      <c r="M42" t="s">
        <v>1926</v>
      </c>
    </row>
    <row r="43" spans="3:13" x14ac:dyDescent="0.35">
      <c r="C43" t="s">
        <v>420</v>
      </c>
      <c r="D43" t="str">
        <f t="shared" si="0"/>
        <v>GLOBAL HES XtremIO</v>
      </c>
      <c r="L43" t="s">
        <v>581</v>
      </c>
      <c r="M43" t="s">
        <v>582</v>
      </c>
    </row>
    <row r="44" spans="3:13" hidden="1" x14ac:dyDescent="0.35">
      <c r="C44" t="s">
        <v>2095</v>
      </c>
      <c r="D44" t="e">
        <f t="shared" si="0"/>
        <v>#N/A</v>
      </c>
      <c r="L44" t="s">
        <v>1201</v>
      </c>
      <c r="M44" t="s">
        <v>1202</v>
      </c>
    </row>
    <row r="45" spans="3:13" hidden="1" x14ac:dyDescent="0.35">
      <c r="C45" t="s">
        <v>1890</v>
      </c>
      <c r="D45" t="e">
        <f t="shared" si="0"/>
        <v>#N/A</v>
      </c>
      <c r="L45" t="s">
        <v>1793</v>
      </c>
      <c r="M45" t="s">
        <v>1794</v>
      </c>
    </row>
    <row r="46" spans="3:13" hidden="1" x14ac:dyDescent="0.35">
      <c r="C46" t="s">
        <v>646</v>
      </c>
      <c r="D46" t="e">
        <f t="shared" si="0"/>
        <v>#N/A</v>
      </c>
      <c r="L46" t="s">
        <v>1894</v>
      </c>
      <c r="M46" t="s">
        <v>1895</v>
      </c>
    </row>
    <row r="47" spans="3:13" hidden="1" x14ac:dyDescent="0.35">
      <c r="C47" t="s">
        <v>870</v>
      </c>
      <c r="D47" t="e">
        <f t="shared" si="0"/>
        <v>#N/A</v>
      </c>
      <c r="L47" t="s">
        <v>1249</v>
      </c>
      <c r="M47" t="s">
        <v>1250</v>
      </c>
    </row>
    <row r="48" spans="3:13" x14ac:dyDescent="0.35">
      <c r="C48" t="s">
        <v>316</v>
      </c>
      <c r="D48" t="str">
        <f t="shared" si="0"/>
        <v>APJ HES Connectivity</v>
      </c>
      <c r="L48" t="s">
        <v>1253</v>
      </c>
      <c r="M48" t="s">
        <v>1871</v>
      </c>
    </row>
    <row r="49" spans="3:13" hidden="1" x14ac:dyDescent="0.35">
      <c r="C49" t="s">
        <v>200</v>
      </c>
      <c r="D49" t="e">
        <f t="shared" si="0"/>
        <v>#N/A</v>
      </c>
      <c r="L49" t="s">
        <v>1938</v>
      </c>
      <c r="M49" t="s">
        <v>1939</v>
      </c>
    </row>
    <row r="50" spans="3:13" x14ac:dyDescent="0.35">
      <c r="C50" t="s">
        <v>344</v>
      </c>
      <c r="D50" t="str">
        <f t="shared" si="0"/>
        <v>APJ HES Integrated_Software</v>
      </c>
      <c r="L50" t="s">
        <v>1936</v>
      </c>
      <c r="M50" t="s">
        <v>1937</v>
      </c>
    </row>
    <row r="51" spans="3:13" x14ac:dyDescent="0.35">
      <c r="C51" t="s">
        <v>376</v>
      </c>
      <c r="D51" t="str">
        <f t="shared" si="0"/>
        <v>APJ HES Symmetrix</v>
      </c>
      <c r="L51" t="s">
        <v>154</v>
      </c>
      <c r="M51" t="s">
        <v>155</v>
      </c>
    </row>
    <row r="52" spans="3:13" x14ac:dyDescent="0.35">
      <c r="C52" t="s">
        <v>393</v>
      </c>
      <c r="D52" t="str">
        <f t="shared" si="0"/>
        <v>APJ HES SymmSW</v>
      </c>
      <c r="L52" t="s">
        <v>1928</v>
      </c>
      <c r="M52" t="s">
        <v>1932</v>
      </c>
    </row>
    <row r="53" spans="3:13" x14ac:dyDescent="0.35">
      <c r="C53" t="s">
        <v>252</v>
      </c>
      <c r="D53" t="str">
        <f t="shared" si="0"/>
        <v>APJ HES MIDRANGE</v>
      </c>
      <c r="L53" t="s">
        <v>1927</v>
      </c>
      <c r="M53" t="s">
        <v>1931</v>
      </c>
    </row>
    <row r="54" spans="3:13" x14ac:dyDescent="0.35">
      <c r="C54" t="s">
        <v>410</v>
      </c>
      <c r="D54" t="str">
        <f t="shared" si="0"/>
        <v>APJ HES Vplex</v>
      </c>
      <c r="L54" t="s">
        <v>874</v>
      </c>
      <c r="M54" t="s">
        <v>1866</v>
      </c>
    </row>
    <row r="55" spans="3:13" x14ac:dyDescent="0.35">
      <c r="C55" t="s">
        <v>318</v>
      </c>
      <c r="D55" t="str">
        <f t="shared" si="0"/>
        <v>EMEA HES Connectivity</v>
      </c>
      <c r="L55" t="s">
        <v>1795</v>
      </c>
      <c r="M55" t="s">
        <v>1796</v>
      </c>
    </row>
    <row r="56" spans="3:13" hidden="1" x14ac:dyDescent="0.35">
      <c r="C56" t="s">
        <v>202</v>
      </c>
      <c r="D56" t="e">
        <f t="shared" si="0"/>
        <v>#N/A</v>
      </c>
      <c r="L56" t="s">
        <v>1797</v>
      </c>
      <c r="M56" t="s">
        <v>1798</v>
      </c>
    </row>
    <row r="57" spans="3:13" x14ac:dyDescent="0.35">
      <c r="C57" t="s">
        <v>346</v>
      </c>
      <c r="D57" t="str">
        <f t="shared" si="0"/>
        <v>EMEA HES Integrated_Software</v>
      </c>
      <c r="L57" t="s">
        <v>443</v>
      </c>
      <c r="M57" t="s">
        <v>444</v>
      </c>
    </row>
    <row r="58" spans="3:13" x14ac:dyDescent="0.35">
      <c r="C58" t="s">
        <v>378</v>
      </c>
      <c r="D58" t="str">
        <f t="shared" si="0"/>
        <v>EMEA HES Symmetrix</v>
      </c>
      <c r="L58" t="s">
        <v>610</v>
      </c>
      <c r="M58" t="s">
        <v>611</v>
      </c>
    </row>
    <row r="59" spans="3:13" x14ac:dyDescent="0.35">
      <c r="C59" t="s">
        <v>395</v>
      </c>
      <c r="D59" t="str">
        <f t="shared" si="0"/>
        <v>EMEA HES SymmSW</v>
      </c>
      <c r="L59" t="s">
        <v>445</v>
      </c>
      <c r="M59" t="s">
        <v>446</v>
      </c>
    </row>
    <row r="60" spans="3:13" x14ac:dyDescent="0.35">
      <c r="C60" t="s">
        <v>254</v>
      </c>
      <c r="D60" t="str">
        <f t="shared" si="0"/>
        <v>EMEA HES MIDRANGE</v>
      </c>
      <c r="L60" t="s">
        <v>447</v>
      </c>
      <c r="M60" t="s">
        <v>1857</v>
      </c>
    </row>
    <row r="61" spans="3:13" x14ac:dyDescent="0.35">
      <c r="C61" t="s">
        <v>412</v>
      </c>
      <c r="D61" t="str">
        <f t="shared" si="0"/>
        <v>EMEA HES Vplex</v>
      </c>
      <c r="L61" t="s">
        <v>449</v>
      </c>
      <c r="M61" t="s">
        <v>1858</v>
      </c>
    </row>
    <row r="62" spans="3:13" x14ac:dyDescent="0.35">
      <c r="C62" t="s">
        <v>430</v>
      </c>
      <c r="D62" t="str">
        <f t="shared" si="0"/>
        <v>EMEA HES XtremIO</v>
      </c>
      <c r="L62" t="s">
        <v>1872</v>
      </c>
      <c r="M62" t="s">
        <v>1879</v>
      </c>
    </row>
    <row r="63" spans="3:13" hidden="1" x14ac:dyDescent="0.35">
      <c r="C63" t="s">
        <v>539</v>
      </c>
      <c r="D63" t="e">
        <f t="shared" si="0"/>
        <v>#N/A</v>
      </c>
      <c r="L63" t="s">
        <v>1799</v>
      </c>
      <c r="M63" t="s">
        <v>1800</v>
      </c>
    </row>
    <row r="64" spans="3:13" hidden="1" x14ac:dyDescent="0.35">
      <c r="C64" t="s">
        <v>541</v>
      </c>
      <c r="D64" t="e">
        <f t="shared" si="0"/>
        <v>#N/A</v>
      </c>
      <c r="L64" t="s">
        <v>1801</v>
      </c>
      <c r="M64" t="s">
        <v>1802</v>
      </c>
    </row>
    <row r="65" spans="3:13" x14ac:dyDescent="0.35">
      <c r="C65" t="s">
        <v>322</v>
      </c>
      <c r="D65" t="str">
        <f t="shared" si="0"/>
        <v>NAMER HES Connectivity</v>
      </c>
      <c r="L65" t="s">
        <v>1803</v>
      </c>
      <c r="M65" t="s">
        <v>1804</v>
      </c>
    </row>
    <row r="66" spans="3:13" hidden="1" x14ac:dyDescent="0.35">
      <c r="C66" t="s">
        <v>208</v>
      </c>
      <c r="D66" t="e">
        <f t="shared" si="0"/>
        <v>#N/A</v>
      </c>
      <c r="L66" t="s">
        <v>1805</v>
      </c>
      <c r="M66" t="s">
        <v>1950</v>
      </c>
    </row>
    <row r="67" spans="3:13" x14ac:dyDescent="0.35">
      <c r="C67" t="s">
        <v>350</v>
      </c>
      <c r="D67" t="str">
        <f t="shared" si="0"/>
        <v>NAMER HES Integrated_Software</v>
      </c>
      <c r="L67" t="s">
        <v>1873</v>
      </c>
      <c r="M67" t="s">
        <v>1874</v>
      </c>
    </row>
    <row r="68" spans="3:13" x14ac:dyDescent="0.35">
      <c r="C68" t="s">
        <v>384</v>
      </c>
      <c r="D68" t="str">
        <f t="shared" ref="D68:D123" si="1">VLOOKUP(C68,$L$3:$M$212,2,FALSE)</f>
        <v>NAMER HES Symmetrix</v>
      </c>
      <c r="L68" t="s">
        <v>1875</v>
      </c>
      <c r="M68" t="s">
        <v>1876</v>
      </c>
    </row>
    <row r="69" spans="3:13" x14ac:dyDescent="0.35">
      <c r="C69" t="s">
        <v>401</v>
      </c>
      <c r="D69" t="str">
        <f t="shared" si="1"/>
        <v>NAMER HES SymmSW</v>
      </c>
      <c r="L69" t="s">
        <v>1942</v>
      </c>
      <c r="M69" t="s">
        <v>1943</v>
      </c>
    </row>
    <row r="70" spans="3:13" x14ac:dyDescent="0.35">
      <c r="C70" t="s">
        <v>260</v>
      </c>
      <c r="D70" t="str">
        <f t="shared" si="1"/>
        <v>NAMER HES MIDRANGE</v>
      </c>
      <c r="L70" t="s">
        <v>1940</v>
      </c>
      <c r="M70" t="s">
        <v>1941</v>
      </c>
    </row>
    <row r="71" spans="3:13" x14ac:dyDescent="0.35">
      <c r="C71" t="s">
        <v>416</v>
      </c>
      <c r="D71" t="str">
        <f t="shared" si="1"/>
        <v>NAMER HES Vplex</v>
      </c>
      <c r="L71" t="s">
        <v>453</v>
      </c>
      <c r="M71" t="s">
        <v>454</v>
      </c>
    </row>
    <row r="72" spans="3:13" hidden="1" x14ac:dyDescent="0.35">
      <c r="C72" t="s">
        <v>210</v>
      </c>
      <c r="D72" t="e">
        <f t="shared" si="1"/>
        <v>#N/A</v>
      </c>
      <c r="L72" t="s">
        <v>273</v>
      </c>
      <c r="M72" t="s">
        <v>1860</v>
      </c>
    </row>
    <row r="73" spans="3:13" x14ac:dyDescent="0.35">
      <c r="C73" t="s">
        <v>853</v>
      </c>
      <c r="D73" t="str">
        <f t="shared" si="1"/>
        <v>EMEA Solutions MS (ENG)</v>
      </c>
      <c r="L73" t="s">
        <v>1877</v>
      </c>
      <c r="M73" t="s">
        <v>1878</v>
      </c>
    </row>
    <row r="74" spans="3:13" x14ac:dyDescent="0.35">
      <c r="C74" t="s">
        <v>855</v>
      </c>
      <c r="D74" t="str">
        <f t="shared" si="1"/>
        <v>EMEA Solutions HCI (ENG)</v>
      </c>
      <c r="L74" t="s">
        <v>463</v>
      </c>
      <c r="M74" t="s">
        <v>1861</v>
      </c>
    </row>
    <row r="75" spans="3:13" x14ac:dyDescent="0.35">
      <c r="C75" t="s">
        <v>857</v>
      </c>
      <c r="D75" t="str">
        <f t="shared" si="1"/>
        <v>EMEA Solutions MS (FRA)</v>
      </c>
      <c r="L75" t="s">
        <v>469</v>
      </c>
      <c r="M75" t="s">
        <v>1863</v>
      </c>
    </row>
    <row r="76" spans="3:13" x14ac:dyDescent="0.35">
      <c r="C76" t="s">
        <v>859</v>
      </c>
      <c r="D76" t="str">
        <f t="shared" si="1"/>
        <v>EMEA Solutions HCI (FRA)</v>
      </c>
      <c r="L76" t="s">
        <v>475</v>
      </c>
      <c r="M76" t="s">
        <v>1864</v>
      </c>
    </row>
    <row r="77" spans="3:13" x14ac:dyDescent="0.35">
      <c r="C77" t="s">
        <v>861</v>
      </c>
      <c r="D77" t="str">
        <f t="shared" si="1"/>
        <v>EMEA Solutions MS (GER)</v>
      </c>
      <c r="L77" t="s">
        <v>279</v>
      </c>
      <c r="M77" t="s">
        <v>280</v>
      </c>
    </row>
    <row r="78" spans="3:13" x14ac:dyDescent="0.35">
      <c r="C78" t="s">
        <v>863</v>
      </c>
      <c r="D78" t="str">
        <f t="shared" si="1"/>
        <v>EMEA Solutions HCI (GER)</v>
      </c>
      <c r="L78" t="s">
        <v>622</v>
      </c>
      <c r="M78" t="s">
        <v>623</v>
      </c>
    </row>
    <row r="79" spans="3:13" hidden="1" x14ac:dyDescent="0.35">
      <c r="C79" t="s">
        <v>291</v>
      </c>
      <c r="D79" t="e">
        <f t="shared" si="1"/>
        <v>#N/A</v>
      </c>
      <c r="L79" t="s">
        <v>1887</v>
      </c>
      <c r="M79" t="s">
        <v>1888</v>
      </c>
    </row>
    <row r="80" spans="3:13" x14ac:dyDescent="0.35">
      <c r="C80" t="s">
        <v>1891</v>
      </c>
      <c r="D80" t="str">
        <f t="shared" si="1"/>
        <v>NA Compute Pro Support</v>
      </c>
      <c r="L80" t="s">
        <v>489</v>
      </c>
      <c r="M80" t="s">
        <v>490</v>
      </c>
    </row>
    <row r="81" spans="3:13" x14ac:dyDescent="0.35">
      <c r="C81" t="s">
        <v>557</v>
      </c>
      <c r="D81" t="str">
        <f t="shared" si="1"/>
        <v>Backup Solution HC US</v>
      </c>
      <c r="L81" t="s">
        <v>495</v>
      </c>
      <c r="M81" t="s">
        <v>496</v>
      </c>
    </row>
    <row r="82" spans="3:13" hidden="1" x14ac:dyDescent="0.35">
      <c r="C82" t="s">
        <v>656</v>
      </c>
      <c r="D82" t="e">
        <f t="shared" si="1"/>
        <v>#N/A</v>
      </c>
      <c r="L82" t="s">
        <v>503</v>
      </c>
      <c r="M82" t="s">
        <v>504</v>
      </c>
    </row>
    <row r="83" spans="3:13" x14ac:dyDescent="0.35">
      <c r="C83" t="s">
        <v>561</v>
      </c>
      <c r="D83" t="str">
        <f t="shared" si="1"/>
        <v>PowerEdge After Hours US</v>
      </c>
      <c r="L83" t="s">
        <v>281</v>
      </c>
      <c r="M83" t="s">
        <v>282</v>
      </c>
    </row>
    <row r="84" spans="3:13" hidden="1" x14ac:dyDescent="0.35">
      <c r="C84" t="s">
        <v>658</v>
      </c>
      <c r="D84" t="e">
        <f t="shared" si="1"/>
        <v>#N/A</v>
      </c>
      <c r="L84" t="s">
        <v>632</v>
      </c>
      <c r="M84" t="s">
        <v>633</v>
      </c>
    </row>
    <row r="85" spans="3:13" hidden="1" x14ac:dyDescent="0.35">
      <c r="C85" t="s">
        <v>660</v>
      </c>
      <c r="D85" t="e">
        <f t="shared" si="1"/>
        <v>#N/A</v>
      </c>
      <c r="L85" t="s">
        <v>523</v>
      </c>
      <c r="M85" t="s">
        <v>524</v>
      </c>
    </row>
    <row r="86" spans="3:13" hidden="1" x14ac:dyDescent="0.35">
      <c r="C86" t="s">
        <v>577</v>
      </c>
      <c r="D86" t="e">
        <f t="shared" si="1"/>
        <v>#N/A</v>
      </c>
      <c r="L86" t="s">
        <v>527</v>
      </c>
      <c r="M86" t="s">
        <v>528</v>
      </c>
    </row>
    <row r="87" spans="3:13" x14ac:dyDescent="0.35">
      <c r="C87" t="s">
        <v>579</v>
      </c>
      <c r="D87" t="str">
        <f t="shared" si="1"/>
        <v>Compute High Complexity</v>
      </c>
      <c r="L87" t="s">
        <v>1889</v>
      </c>
      <c r="M87" t="s">
        <v>1890</v>
      </c>
    </row>
    <row r="88" spans="3:13" x14ac:dyDescent="0.35">
      <c r="C88" t="s">
        <v>1807</v>
      </c>
      <c r="D88" t="str">
        <f t="shared" si="1"/>
        <v>Compute ProSupport Alt Channel</v>
      </c>
      <c r="L88" t="s">
        <v>647</v>
      </c>
      <c r="M88" t="s">
        <v>646</v>
      </c>
    </row>
    <row r="89" spans="3:13" x14ac:dyDescent="0.35">
      <c r="C89" t="s">
        <v>1092</v>
      </c>
      <c r="D89" t="str">
        <f t="shared" si="1"/>
        <v>APJ Manager</v>
      </c>
      <c r="L89" t="s">
        <v>820</v>
      </c>
      <c r="M89" t="s">
        <v>821</v>
      </c>
    </row>
    <row r="90" spans="3:13" x14ac:dyDescent="0.35">
      <c r="C90" t="s">
        <v>1098</v>
      </c>
      <c r="D90" t="str">
        <f t="shared" si="1"/>
        <v>APJ Quality Coach</v>
      </c>
      <c r="L90" t="s">
        <v>533</v>
      </c>
      <c r="M90" t="s">
        <v>534</v>
      </c>
    </row>
    <row r="91" spans="3:13" x14ac:dyDescent="0.35">
      <c r="C91" t="s">
        <v>1102</v>
      </c>
      <c r="D91" t="str">
        <f t="shared" si="1"/>
        <v>Social Media Quality Coach</v>
      </c>
      <c r="L91" t="s">
        <v>648</v>
      </c>
      <c r="M91" t="s">
        <v>649</v>
      </c>
    </row>
    <row r="92" spans="3:13" x14ac:dyDescent="0.35">
      <c r="C92" t="s">
        <v>1104</v>
      </c>
      <c r="D92" t="str">
        <f t="shared" si="1"/>
        <v>DPD/UDS Manager</v>
      </c>
      <c r="L92" t="s">
        <v>537</v>
      </c>
      <c r="M92" t="s">
        <v>538</v>
      </c>
    </row>
    <row r="93" spans="3:13" x14ac:dyDescent="0.35">
      <c r="C93" t="s">
        <v>1110</v>
      </c>
      <c r="D93" t="str">
        <f t="shared" si="1"/>
        <v>DPD/UDS Quality Coach</v>
      </c>
      <c r="L93" t="s">
        <v>285</v>
      </c>
      <c r="M93" t="s">
        <v>286</v>
      </c>
    </row>
    <row r="94" spans="3:13" x14ac:dyDescent="0.35">
      <c r="C94" t="s">
        <v>1112</v>
      </c>
      <c r="D94" t="str">
        <f t="shared" si="1"/>
        <v>DPD/UDS Technical Lead</v>
      </c>
      <c r="L94" t="s">
        <v>543</v>
      </c>
      <c r="M94" t="s">
        <v>544</v>
      </c>
    </row>
    <row r="95" spans="3:13" x14ac:dyDescent="0.35">
      <c r="C95" t="s">
        <v>1121</v>
      </c>
      <c r="D95" t="str">
        <f t="shared" si="1"/>
        <v>EMEA Quality Coach</v>
      </c>
      <c r="L95" t="s">
        <v>650</v>
      </c>
      <c r="M95" t="s">
        <v>651</v>
      </c>
    </row>
    <row r="96" spans="3:13" hidden="1" x14ac:dyDescent="0.35">
      <c r="C96" t="s">
        <v>1123</v>
      </c>
      <c r="D96" t="e">
        <f t="shared" si="1"/>
        <v>#N/A</v>
      </c>
      <c r="L96" t="s">
        <v>545</v>
      </c>
      <c r="M96" t="s">
        <v>546</v>
      </c>
    </row>
    <row r="97" spans="3:13" x14ac:dyDescent="0.35">
      <c r="C97" t="s">
        <v>1125</v>
      </c>
      <c r="D97" t="str">
        <f t="shared" si="1"/>
        <v>HCS Non-Frontline</v>
      </c>
      <c r="L97" t="s">
        <v>287</v>
      </c>
      <c r="M97" t="s">
        <v>288</v>
      </c>
    </row>
    <row r="98" spans="3:13" x14ac:dyDescent="0.35">
      <c r="C98" t="s">
        <v>1129</v>
      </c>
      <c r="D98" t="str">
        <f t="shared" si="1"/>
        <v>HCS Technical Lead</v>
      </c>
      <c r="L98" t="s">
        <v>547</v>
      </c>
      <c r="M98" t="s">
        <v>1966</v>
      </c>
    </row>
    <row r="99" spans="3:13" x14ac:dyDescent="0.35">
      <c r="C99" t="s">
        <v>1131</v>
      </c>
      <c r="D99" t="str">
        <f t="shared" si="1"/>
        <v>HES Manager</v>
      </c>
      <c r="L99" t="s">
        <v>652</v>
      </c>
      <c r="M99" t="s">
        <v>1965</v>
      </c>
    </row>
    <row r="100" spans="3:13" x14ac:dyDescent="0.35">
      <c r="C100" t="s">
        <v>1137</v>
      </c>
      <c r="D100" t="str">
        <f t="shared" si="1"/>
        <v>HES Quality Coach</v>
      </c>
      <c r="L100" t="s">
        <v>549</v>
      </c>
      <c r="M100" t="s">
        <v>1964</v>
      </c>
    </row>
    <row r="101" spans="3:13" x14ac:dyDescent="0.35">
      <c r="C101" t="s">
        <v>1139</v>
      </c>
      <c r="D101" t="str">
        <f t="shared" si="1"/>
        <v>HES Technical Lead</v>
      </c>
      <c r="L101" t="s">
        <v>289</v>
      </c>
      <c r="M101" t="s">
        <v>1967</v>
      </c>
    </row>
    <row r="102" spans="3:13" hidden="1" x14ac:dyDescent="0.35">
      <c r="C102" t="s">
        <v>1141</v>
      </c>
      <c r="D102" t="e">
        <f t="shared" si="1"/>
        <v>#N/A</v>
      </c>
      <c r="L102" t="s">
        <v>853</v>
      </c>
      <c r="M102" t="s">
        <v>854</v>
      </c>
    </row>
    <row r="103" spans="3:13" x14ac:dyDescent="0.35">
      <c r="C103" t="s">
        <v>1147</v>
      </c>
      <c r="D103" t="str">
        <f t="shared" si="1"/>
        <v>LATAM Quality Coach</v>
      </c>
      <c r="L103" t="s">
        <v>855</v>
      </c>
      <c r="M103" t="s">
        <v>856</v>
      </c>
    </row>
    <row r="104" spans="3:13" hidden="1" x14ac:dyDescent="0.35">
      <c r="C104" t="s">
        <v>1149</v>
      </c>
      <c r="D104" t="e">
        <f t="shared" si="1"/>
        <v>#N/A</v>
      </c>
      <c r="L104" t="s">
        <v>857</v>
      </c>
      <c r="M104" t="s">
        <v>858</v>
      </c>
    </row>
    <row r="105" spans="3:13" x14ac:dyDescent="0.35">
      <c r="C105" t="s">
        <v>1155</v>
      </c>
      <c r="D105" t="str">
        <f t="shared" si="1"/>
        <v>NAMER Quality Coach</v>
      </c>
      <c r="L105" t="s">
        <v>859</v>
      </c>
      <c r="M105" t="s">
        <v>860</v>
      </c>
    </row>
    <row r="106" spans="3:13" x14ac:dyDescent="0.35">
      <c r="C106" t="s">
        <v>1157</v>
      </c>
      <c r="D106" t="str">
        <f t="shared" si="1"/>
        <v>NAMER Technical Lead</v>
      </c>
      <c r="L106" t="s">
        <v>861</v>
      </c>
      <c r="M106" t="s">
        <v>862</v>
      </c>
    </row>
    <row r="107" spans="3:13" x14ac:dyDescent="0.35">
      <c r="C107" t="s">
        <v>1162</v>
      </c>
      <c r="D107" t="str">
        <f t="shared" si="1"/>
        <v>Service Engineering Non-Frontline</v>
      </c>
      <c r="L107" t="s">
        <v>863</v>
      </c>
      <c r="M107" t="s">
        <v>864</v>
      </c>
    </row>
    <row r="108" spans="3:13" x14ac:dyDescent="0.35">
      <c r="C108" t="s">
        <v>1168</v>
      </c>
      <c r="D108" t="str">
        <f t="shared" si="1"/>
        <v>SSO Non-Frontline</v>
      </c>
      <c r="L108" t="s">
        <v>551</v>
      </c>
      <c r="M108" t="s">
        <v>1867</v>
      </c>
    </row>
    <row r="109" spans="3:13" x14ac:dyDescent="0.35">
      <c r="C109" t="s">
        <v>1191</v>
      </c>
      <c r="D109" t="str">
        <f t="shared" si="1"/>
        <v>HCS Quality Coach</v>
      </c>
      <c r="L109" t="s">
        <v>654</v>
      </c>
      <c r="M109" t="s">
        <v>655</v>
      </c>
    </row>
    <row r="110" spans="3:13" hidden="1" x14ac:dyDescent="0.35">
      <c r="C110" t="s">
        <v>1195</v>
      </c>
      <c r="D110" t="e">
        <f t="shared" si="1"/>
        <v>#N/A</v>
      </c>
      <c r="L110" t="s">
        <v>1891</v>
      </c>
      <c r="M110" t="s">
        <v>1892</v>
      </c>
    </row>
    <row r="111" spans="3:13" x14ac:dyDescent="0.35">
      <c r="C111" t="s">
        <v>1893</v>
      </c>
      <c r="D111" t="str">
        <f t="shared" si="1"/>
        <v xml:space="preserve">Global PowerEdge DSE </v>
      </c>
      <c r="L111" t="s">
        <v>553</v>
      </c>
      <c r="M111" t="s">
        <v>554</v>
      </c>
    </row>
    <row r="112" spans="3:13" hidden="1" x14ac:dyDescent="0.35">
      <c r="C112" t="s">
        <v>664</v>
      </c>
      <c r="D112" t="e">
        <f t="shared" si="1"/>
        <v>#N/A</v>
      </c>
      <c r="L112" t="s">
        <v>557</v>
      </c>
      <c r="M112" t="s">
        <v>558</v>
      </c>
    </row>
    <row r="113" spans="3:13" hidden="1" x14ac:dyDescent="0.35">
      <c r="C113" t="s">
        <v>1206</v>
      </c>
      <c r="D113" t="e">
        <f t="shared" si="1"/>
        <v>#N/A</v>
      </c>
      <c r="L113" t="s">
        <v>561</v>
      </c>
      <c r="M113" t="s">
        <v>562</v>
      </c>
    </row>
    <row r="114" spans="3:13" hidden="1" x14ac:dyDescent="0.35">
      <c r="C114" t="s">
        <v>1208</v>
      </c>
      <c r="D114" t="e">
        <f t="shared" si="1"/>
        <v>#N/A</v>
      </c>
      <c r="L114" t="s">
        <v>571</v>
      </c>
      <c r="M114" t="s">
        <v>572</v>
      </c>
    </row>
    <row r="115" spans="3:13" hidden="1" x14ac:dyDescent="0.35">
      <c r="C115" t="s">
        <v>2096</v>
      </c>
      <c r="D115" t="e">
        <f t="shared" si="1"/>
        <v>#N/A</v>
      </c>
      <c r="L115" t="s">
        <v>579</v>
      </c>
      <c r="M115" t="s">
        <v>580</v>
      </c>
    </row>
    <row r="116" spans="3:13" x14ac:dyDescent="0.35">
      <c r="C116" t="s">
        <v>595</v>
      </c>
      <c r="D116" t="str">
        <f t="shared" si="1"/>
        <v>Enterprise SA</v>
      </c>
      <c r="L116" t="s">
        <v>1807</v>
      </c>
      <c r="M116" t="s">
        <v>1808</v>
      </c>
    </row>
    <row r="117" spans="3:13" hidden="1" x14ac:dyDescent="0.35">
      <c r="C117" t="s">
        <v>668</v>
      </c>
      <c r="D117" t="e">
        <f t="shared" si="1"/>
        <v>#N/A</v>
      </c>
      <c r="L117" t="s">
        <v>585</v>
      </c>
      <c r="M117" t="s">
        <v>586</v>
      </c>
    </row>
    <row r="118" spans="3:13" x14ac:dyDescent="0.35">
      <c r="C118" t="s">
        <v>1793</v>
      </c>
      <c r="D118" t="str">
        <f t="shared" si="1"/>
        <v>VCF Delivery Engineer</v>
      </c>
      <c r="L118" t="s">
        <v>587</v>
      </c>
      <c r="M118" t="s">
        <v>1868</v>
      </c>
    </row>
    <row r="119" spans="3:13" x14ac:dyDescent="0.35">
      <c r="C119" t="s">
        <v>1894</v>
      </c>
      <c r="D119" t="str">
        <f t="shared" si="1"/>
        <v>VCF Upgrade Coordinator</v>
      </c>
      <c r="L119" t="s">
        <v>297</v>
      </c>
      <c r="M119" t="s">
        <v>1869</v>
      </c>
    </row>
    <row r="120" spans="3:13" hidden="1" x14ac:dyDescent="0.35">
      <c r="C120" t="s">
        <v>2097</v>
      </c>
      <c r="D120" t="e">
        <f t="shared" si="1"/>
        <v>#N/A</v>
      </c>
      <c r="L120" t="s">
        <v>299</v>
      </c>
      <c r="M120" t="s">
        <v>300</v>
      </c>
    </row>
    <row r="121" spans="3:13" hidden="1" x14ac:dyDescent="0.35">
      <c r="C121" t="s">
        <v>1247</v>
      </c>
      <c r="D121" t="e">
        <f t="shared" si="1"/>
        <v>#N/A</v>
      </c>
      <c r="L121" t="s">
        <v>593</v>
      </c>
      <c r="M121" t="s">
        <v>1870</v>
      </c>
    </row>
    <row r="122" spans="3:13" x14ac:dyDescent="0.35">
      <c r="C122" t="s">
        <v>1249</v>
      </c>
      <c r="D122" t="str">
        <f t="shared" si="1"/>
        <v>EMEA WFM</v>
      </c>
      <c r="L122" t="s">
        <v>595</v>
      </c>
      <c r="M122" t="s">
        <v>596</v>
      </c>
    </row>
    <row r="123" spans="3:13" x14ac:dyDescent="0.35">
      <c r="C123" t="s">
        <v>1253</v>
      </c>
      <c r="D123" t="str">
        <f t="shared" si="1"/>
        <v>APJ WFM</v>
      </c>
      <c r="L123" t="s">
        <v>601</v>
      </c>
      <c r="M123" t="s">
        <v>602</v>
      </c>
    </row>
    <row r="124" spans="3:13" x14ac:dyDescent="0.35">
      <c r="L124" t="s">
        <v>607</v>
      </c>
      <c r="M124" t="s">
        <v>608</v>
      </c>
    </row>
    <row r="125" spans="3:13" x14ac:dyDescent="0.35">
      <c r="L125" t="s">
        <v>674</v>
      </c>
      <c r="M125" t="s">
        <v>1896</v>
      </c>
    </row>
    <row r="126" spans="3:13" x14ac:dyDescent="0.35">
      <c r="L126" t="s">
        <v>676</v>
      </c>
      <c r="M126" t="s">
        <v>1897</v>
      </c>
    </row>
    <row r="127" spans="3:13" x14ac:dyDescent="0.35">
      <c r="L127" t="s">
        <v>46</v>
      </c>
      <c r="M127" t="s">
        <v>47</v>
      </c>
    </row>
    <row r="128" spans="3:13" x14ac:dyDescent="0.35">
      <c r="L128" t="s">
        <v>306</v>
      </c>
      <c r="M128" t="s">
        <v>307</v>
      </c>
    </row>
    <row r="129" spans="12:13" x14ac:dyDescent="0.35">
      <c r="L129" t="s">
        <v>72</v>
      </c>
      <c r="M129" t="s">
        <v>73</v>
      </c>
    </row>
    <row r="130" spans="12:13" x14ac:dyDescent="0.35">
      <c r="L130" t="s">
        <v>174</v>
      </c>
      <c r="M130" t="s">
        <v>175</v>
      </c>
    </row>
    <row r="131" spans="12:13" x14ac:dyDescent="0.35">
      <c r="L131" t="s">
        <v>176</v>
      </c>
      <c r="M131" t="s">
        <v>177</v>
      </c>
    </row>
    <row r="132" spans="12:13" x14ac:dyDescent="0.35">
      <c r="L132" t="s">
        <v>335</v>
      </c>
      <c r="M132" t="s">
        <v>336</v>
      </c>
    </row>
    <row r="133" spans="12:13" x14ac:dyDescent="0.35">
      <c r="L133" t="s">
        <v>110</v>
      </c>
      <c r="M133" t="s">
        <v>111</v>
      </c>
    </row>
    <row r="134" spans="12:13" x14ac:dyDescent="0.35">
      <c r="L134" t="s">
        <v>358</v>
      </c>
      <c r="M134" t="s">
        <v>359</v>
      </c>
    </row>
    <row r="135" spans="12:13" x14ac:dyDescent="0.35">
      <c r="L135" t="s">
        <v>360</v>
      </c>
      <c r="M135" t="s">
        <v>361</v>
      </c>
    </row>
    <row r="136" spans="12:13" x14ac:dyDescent="0.35">
      <c r="L136" t="s">
        <v>387</v>
      </c>
      <c r="M136" t="s">
        <v>388</v>
      </c>
    </row>
    <row r="137" spans="12:13" x14ac:dyDescent="0.35">
      <c r="L137" t="s">
        <v>230</v>
      </c>
      <c r="M137" t="s">
        <v>231</v>
      </c>
    </row>
    <row r="138" spans="12:13" x14ac:dyDescent="0.35">
      <c r="L138" t="s">
        <v>232</v>
      </c>
      <c r="M138" t="s">
        <v>233</v>
      </c>
    </row>
    <row r="139" spans="12:13" x14ac:dyDescent="0.35">
      <c r="L139" t="s">
        <v>404</v>
      </c>
      <c r="M139" t="s">
        <v>405</v>
      </c>
    </row>
    <row r="140" spans="12:13" x14ac:dyDescent="0.35">
      <c r="L140" t="s">
        <v>178</v>
      </c>
      <c r="M140" t="s">
        <v>1898</v>
      </c>
    </row>
    <row r="141" spans="12:13" x14ac:dyDescent="0.35">
      <c r="L141" t="s">
        <v>234</v>
      </c>
      <c r="M141" t="s">
        <v>2087</v>
      </c>
    </row>
    <row r="142" spans="12:13" x14ac:dyDescent="0.35">
      <c r="L142" t="s">
        <v>222</v>
      </c>
      <c r="M142" t="s">
        <v>223</v>
      </c>
    </row>
    <row r="143" spans="12:13" x14ac:dyDescent="0.35">
      <c r="L143" t="s">
        <v>437</v>
      </c>
      <c r="M143" t="s">
        <v>438</v>
      </c>
    </row>
    <row r="144" spans="12:13" x14ac:dyDescent="0.35">
      <c r="L144" t="s">
        <v>182</v>
      </c>
      <c r="M144" t="s">
        <v>183</v>
      </c>
    </row>
    <row r="145" spans="12:13" x14ac:dyDescent="0.35">
      <c r="L145" t="s">
        <v>1930</v>
      </c>
      <c r="M145" t="s">
        <v>1934</v>
      </c>
    </row>
    <row r="146" spans="12:13" x14ac:dyDescent="0.35">
      <c r="L146" t="s">
        <v>1929</v>
      </c>
      <c r="M146" t="s">
        <v>1933</v>
      </c>
    </row>
    <row r="147" spans="12:13" x14ac:dyDescent="0.35">
      <c r="L147" t="s">
        <v>48</v>
      </c>
      <c r="M147" t="s">
        <v>49</v>
      </c>
    </row>
    <row r="148" spans="12:13" x14ac:dyDescent="0.35">
      <c r="L148" t="s">
        <v>74</v>
      </c>
      <c r="M148" t="s">
        <v>75</v>
      </c>
    </row>
    <row r="149" spans="12:13" x14ac:dyDescent="0.35">
      <c r="L149" t="s">
        <v>93</v>
      </c>
      <c r="M149" t="s">
        <v>94</v>
      </c>
    </row>
    <row r="150" spans="12:13" x14ac:dyDescent="0.35">
      <c r="L150" t="s">
        <v>105</v>
      </c>
      <c r="M150" t="s">
        <v>106</v>
      </c>
    </row>
    <row r="151" spans="12:13" x14ac:dyDescent="0.35">
      <c r="L151" t="s">
        <v>680</v>
      </c>
      <c r="M151" t="s">
        <v>1902</v>
      </c>
    </row>
    <row r="152" spans="12:13" x14ac:dyDescent="0.35">
      <c r="L152" t="s">
        <v>112</v>
      </c>
      <c r="M152" t="s">
        <v>113</v>
      </c>
    </row>
    <row r="153" spans="12:13" x14ac:dyDescent="0.35">
      <c r="L153" t="s">
        <v>703</v>
      </c>
      <c r="M153" t="s">
        <v>704</v>
      </c>
    </row>
    <row r="154" spans="12:13" x14ac:dyDescent="0.35">
      <c r="L154" t="s">
        <v>131</v>
      </c>
      <c r="M154" t="s">
        <v>132</v>
      </c>
    </row>
    <row r="155" spans="12:13" x14ac:dyDescent="0.35">
      <c r="L155" t="s">
        <v>138</v>
      </c>
      <c r="M155" t="s">
        <v>139</v>
      </c>
    </row>
    <row r="156" spans="12:13" x14ac:dyDescent="0.35">
      <c r="L156" t="s">
        <v>225</v>
      </c>
      <c r="M156" t="s">
        <v>226</v>
      </c>
    </row>
    <row r="157" spans="12:13" x14ac:dyDescent="0.35">
      <c r="L157" t="s">
        <v>308</v>
      </c>
      <c r="M157" t="s">
        <v>2088</v>
      </c>
    </row>
    <row r="158" spans="12:13" x14ac:dyDescent="0.35">
      <c r="L158" t="s">
        <v>326</v>
      </c>
      <c r="M158" t="s">
        <v>2089</v>
      </c>
    </row>
    <row r="159" spans="12:13" x14ac:dyDescent="0.35">
      <c r="L159" t="s">
        <v>353</v>
      </c>
      <c r="M159" t="s">
        <v>2090</v>
      </c>
    </row>
    <row r="160" spans="12:13" x14ac:dyDescent="0.35">
      <c r="L160" t="s">
        <v>362</v>
      </c>
      <c r="M160" t="s">
        <v>2091</v>
      </c>
    </row>
    <row r="161" spans="12:13" x14ac:dyDescent="0.35">
      <c r="L161" t="s">
        <v>389</v>
      </c>
      <c r="M161" t="s">
        <v>2092</v>
      </c>
    </row>
    <row r="162" spans="12:13" x14ac:dyDescent="0.35">
      <c r="L162" t="s">
        <v>236</v>
      </c>
      <c r="M162" t="s">
        <v>237</v>
      </c>
    </row>
    <row r="163" spans="12:13" x14ac:dyDescent="0.35">
      <c r="L163" t="s">
        <v>406</v>
      </c>
      <c r="M163" t="s">
        <v>2093</v>
      </c>
    </row>
    <row r="164" spans="12:13" x14ac:dyDescent="0.35">
      <c r="L164" t="s">
        <v>420</v>
      </c>
      <c r="M164" t="s">
        <v>421</v>
      </c>
    </row>
    <row r="165" spans="12:13" x14ac:dyDescent="0.35">
      <c r="L165" t="s">
        <v>135</v>
      </c>
      <c r="M165" t="s">
        <v>136</v>
      </c>
    </row>
    <row r="166" spans="12:13" x14ac:dyDescent="0.35">
      <c r="L166" t="s">
        <v>198</v>
      </c>
      <c r="M166" t="s">
        <v>199</v>
      </c>
    </row>
    <row r="167" spans="12:13" x14ac:dyDescent="0.35">
      <c r="L167" t="s">
        <v>1825</v>
      </c>
      <c r="M167" t="s">
        <v>1827</v>
      </c>
    </row>
    <row r="168" spans="12:13" x14ac:dyDescent="0.35">
      <c r="L168" t="s">
        <v>1826</v>
      </c>
      <c r="M168" t="s">
        <v>1828</v>
      </c>
    </row>
    <row r="169" spans="12:13" x14ac:dyDescent="0.35">
      <c r="L169" t="s">
        <v>1833</v>
      </c>
      <c r="M169" t="s">
        <v>1834</v>
      </c>
    </row>
    <row r="170" spans="12:13" x14ac:dyDescent="0.35">
      <c r="L170" t="s">
        <v>1835</v>
      </c>
      <c r="M170" t="s">
        <v>1836</v>
      </c>
    </row>
    <row r="171" spans="12:13" x14ac:dyDescent="0.35">
      <c r="L171" t="s">
        <v>1818</v>
      </c>
      <c r="M171" t="s">
        <v>1819</v>
      </c>
    </row>
    <row r="172" spans="12:13" x14ac:dyDescent="0.35">
      <c r="L172" t="s">
        <v>1821</v>
      </c>
      <c r="M172" t="s">
        <v>1823</v>
      </c>
    </row>
    <row r="173" spans="12:13" x14ac:dyDescent="0.35">
      <c r="L173" t="s">
        <v>1822</v>
      </c>
      <c r="M173" t="s">
        <v>1824</v>
      </c>
    </row>
    <row r="174" spans="12:13" x14ac:dyDescent="0.35">
      <c r="L174" t="s">
        <v>374</v>
      </c>
      <c r="M174" t="s">
        <v>375</v>
      </c>
    </row>
    <row r="175" spans="12:13" x14ac:dyDescent="0.35">
      <c r="L175" t="s">
        <v>1830</v>
      </c>
      <c r="M175" t="s">
        <v>1832</v>
      </c>
    </row>
    <row r="176" spans="12:13" x14ac:dyDescent="0.35">
      <c r="L176" t="s">
        <v>1817</v>
      </c>
      <c r="M176" t="s">
        <v>1820</v>
      </c>
    </row>
    <row r="177" spans="12:13" x14ac:dyDescent="0.35">
      <c r="L177" t="s">
        <v>1829</v>
      </c>
      <c r="M177" t="s">
        <v>1831</v>
      </c>
    </row>
    <row r="178" spans="12:13" x14ac:dyDescent="0.35">
      <c r="L178" t="s">
        <v>1837</v>
      </c>
      <c r="M178" t="s">
        <v>1838</v>
      </c>
    </row>
    <row r="179" spans="12:13" x14ac:dyDescent="0.35">
      <c r="L179" t="s">
        <v>1840</v>
      </c>
      <c r="M179" t="s">
        <v>1839</v>
      </c>
    </row>
    <row r="180" spans="12:13" x14ac:dyDescent="0.35">
      <c r="L180" t="s">
        <v>692</v>
      </c>
      <c r="M180" t="s">
        <v>1913</v>
      </c>
    </row>
    <row r="181" spans="12:13" x14ac:dyDescent="0.35">
      <c r="L181" t="s">
        <v>694</v>
      </c>
      <c r="M181" t="s">
        <v>1914</v>
      </c>
    </row>
    <row r="182" spans="12:13" x14ac:dyDescent="0.35">
      <c r="L182" t="s">
        <v>700</v>
      </c>
      <c r="M182" t="s">
        <v>1917</v>
      </c>
    </row>
    <row r="183" spans="12:13" x14ac:dyDescent="0.35">
      <c r="L183" t="s">
        <v>56</v>
      </c>
      <c r="M183" t="s">
        <v>57</v>
      </c>
    </row>
    <row r="184" spans="12:13" x14ac:dyDescent="0.35">
      <c r="L184" t="s">
        <v>316</v>
      </c>
      <c r="M184" t="s">
        <v>317</v>
      </c>
    </row>
    <row r="185" spans="12:13" x14ac:dyDescent="0.35">
      <c r="L185" t="s">
        <v>82</v>
      </c>
      <c r="M185" t="s">
        <v>83</v>
      </c>
    </row>
    <row r="186" spans="12:13" x14ac:dyDescent="0.35">
      <c r="L186" t="s">
        <v>344</v>
      </c>
      <c r="M186" t="s">
        <v>345</v>
      </c>
    </row>
    <row r="187" spans="12:13" x14ac:dyDescent="0.35">
      <c r="L187" t="s">
        <v>120</v>
      </c>
      <c r="M187" t="s">
        <v>121</v>
      </c>
    </row>
    <row r="188" spans="12:13" x14ac:dyDescent="0.35">
      <c r="L188" t="s">
        <v>376</v>
      </c>
      <c r="M188" t="s">
        <v>377</v>
      </c>
    </row>
    <row r="189" spans="12:13" x14ac:dyDescent="0.35">
      <c r="L189" t="s">
        <v>393</v>
      </c>
      <c r="M189" t="s">
        <v>394</v>
      </c>
    </row>
    <row r="190" spans="12:13" x14ac:dyDescent="0.35">
      <c r="L190" t="s">
        <v>252</v>
      </c>
      <c r="M190" t="s">
        <v>253</v>
      </c>
    </row>
    <row r="191" spans="12:13" x14ac:dyDescent="0.35">
      <c r="L191" t="s">
        <v>410</v>
      </c>
      <c r="M191" t="s">
        <v>411</v>
      </c>
    </row>
    <row r="192" spans="12:13" x14ac:dyDescent="0.35">
      <c r="L192" t="s">
        <v>428</v>
      </c>
      <c r="M192" t="s">
        <v>429</v>
      </c>
    </row>
    <row r="193" spans="12:13" x14ac:dyDescent="0.35">
      <c r="L193" t="s">
        <v>58</v>
      </c>
      <c r="M193" t="s">
        <v>59</v>
      </c>
    </row>
    <row r="194" spans="12:13" x14ac:dyDescent="0.35">
      <c r="L194" t="s">
        <v>318</v>
      </c>
      <c r="M194" t="s">
        <v>319</v>
      </c>
    </row>
    <row r="195" spans="12:13" x14ac:dyDescent="0.35">
      <c r="L195" t="s">
        <v>84</v>
      </c>
      <c r="M195" t="s">
        <v>85</v>
      </c>
    </row>
    <row r="196" spans="12:13" x14ac:dyDescent="0.35">
      <c r="L196" t="s">
        <v>346</v>
      </c>
      <c r="M196" t="s">
        <v>347</v>
      </c>
    </row>
    <row r="197" spans="12:13" x14ac:dyDescent="0.35">
      <c r="L197" t="s">
        <v>122</v>
      </c>
      <c r="M197" t="s">
        <v>123</v>
      </c>
    </row>
    <row r="198" spans="12:13" x14ac:dyDescent="0.35">
      <c r="L198" t="s">
        <v>378</v>
      </c>
      <c r="M198" t="s">
        <v>379</v>
      </c>
    </row>
    <row r="199" spans="12:13" x14ac:dyDescent="0.35">
      <c r="L199" t="s">
        <v>395</v>
      </c>
      <c r="M199" t="s">
        <v>396</v>
      </c>
    </row>
    <row r="200" spans="12:13" x14ac:dyDescent="0.35">
      <c r="L200" t="s">
        <v>254</v>
      </c>
      <c r="M200" t="s">
        <v>255</v>
      </c>
    </row>
    <row r="201" spans="12:13" x14ac:dyDescent="0.35">
      <c r="L201" t="s">
        <v>412</v>
      </c>
      <c r="M201" t="s">
        <v>413</v>
      </c>
    </row>
    <row r="202" spans="12:13" x14ac:dyDescent="0.35">
      <c r="L202" t="s">
        <v>430</v>
      </c>
      <c r="M202" t="s">
        <v>431</v>
      </c>
    </row>
    <row r="203" spans="12:13" x14ac:dyDescent="0.35">
      <c r="L203" t="s">
        <v>64</v>
      </c>
      <c r="M203" t="s">
        <v>65</v>
      </c>
    </row>
    <row r="204" spans="12:13" x14ac:dyDescent="0.35">
      <c r="L204" t="s">
        <v>322</v>
      </c>
      <c r="M204" t="s">
        <v>323</v>
      </c>
    </row>
    <row r="205" spans="12:13" x14ac:dyDescent="0.35">
      <c r="L205" t="s">
        <v>90</v>
      </c>
      <c r="M205" t="s">
        <v>91</v>
      </c>
    </row>
    <row r="206" spans="12:13" x14ac:dyDescent="0.35">
      <c r="L206" t="s">
        <v>350</v>
      </c>
      <c r="M206" t="s">
        <v>351</v>
      </c>
    </row>
    <row r="207" spans="12:13" x14ac:dyDescent="0.35">
      <c r="L207" t="s">
        <v>128</v>
      </c>
      <c r="M207" t="s">
        <v>129</v>
      </c>
    </row>
    <row r="208" spans="12:13" x14ac:dyDescent="0.35">
      <c r="L208" t="s">
        <v>384</v>
      </c>
      <c r="M208" t="s">
        <v>385</v>
      </c>
    </row>
    <row r="209" spans="12:13" x14ac:dyDescent="0.35">
      <c r="L209" t="s">
        <v>401</v>
      </c>
      <c r="M209" t="s">
        <v>402</v>
      </c>
    </row>
    <row r="210" spans="12:13" x14ac:dyDescent="0.35">
      <c r="L210" t="s">
        <v>260</v>
      </c>
      <c r="M210" t="s">
        <v>261</v>
      </c>
    </row>
    <row r="211" spans="12:13" x14ac:dyDescent="0.35">
      <c r="L211" t="s">
        <v>416</v>
      </c>
      <c r="M211" t="s">
        <v>417</v>
      </c>
    </row>
    <row r="212" spans="12:13" x14ac:dyDescent="0.35">
      <c r="L212" t="s">
        <v>212</v>
      </c>
      <c r="M212" t="s">
        <v>213</v>
      </c>
    </row>
  </sheetData>
  <autoFilter ref="C3:M123" xr:uid="{6C0F27A2-828C-4AE6-86EA-54E3FFA4BDCC}">
    <filterColumn colId="1">
      <filters>
        <filter val="APJ HES Connectivity"/>
        <filter val="APJ HES Integrated_Software"/>
        <filter val="APJ HES MIDRANGE"/>
        <filter val="APJ HES Symmetrix"/>
        <filter val="APJ HES SymmSW"/>
        <filter val="APJ HES Vplex"/>
        <filter val="APJ Manager"/>
        <filter val="APJ Quality Coach"/>
        <filter val="APJ WFM"/>
        <filter val="Backup Solution HC US"/>
        <filter val="Compute High Complexity"/>
        <filter val="Compute ProSupport Alt Channel"/>
        <filter val="DPD/UDS Manager"/>
        <filter val="DPD/UDS Quality Coach"/>
        <filter val="DPD/UDS Technical Lead"/>
        <filter val="E2E Quality Coach"/>
        <filter val="EMEA HES Connectivity"/>
        <filter val="EMEA HES Integrated_Software"/>
        <filter val="EMEA HES MIDRANGE"/>
        <filter val="EMEA HES Symmetrix"/>
        <filter val="EMEA HES SymmSW"/>
        <filter val="EMEA HES Vplex"/>
        <filter val="EMEA HES XtremIO"/>
        <filter val="EMEA Quality Coach"/>
        <filter val="EMEA Server Upsell English"/>
        <filter val="EMEA Solutions HCI (ENG)"/>
        <filter val="EMEA Solutions HCI (FRA)"/>
        <filter val="EMEA Solutions HCI (GER)"/>
        <filter val="EMEA Solutions MS (ENG)"/>
        <filter val="EMEA Solutions MS (FRA)"/>
        <filter val="EMEA Solutions MS (GER)"/>
        <filter val="EMEA WFM"/>
        <filter val="ENG Modular (CWD)"/>
        <filter val="ENG ProSupp Server 247 (CWD)"/>
        <filter val="Enterprise ANZ AOH"/>
        <filter val="Enterprise SA"/>
        <filter val="GIST Quality Coach"/>
        <filter val="Global Compute Software"/>
        <filter val="GLOBAL DPD DPSolutions"/>
        <filter val="GLOBAL HES MIDRANGE"/>
        <filter val="GLOBAL HES XtremIO"/>
        <filter val="Global PowerEdge DSE"/>
        <filter val="HCS Global Cloud Solutions"/>
        <filter val="HCS Global DSE"/>
        <filter val="HCS Global Solutions"/>
        <filter val="HCS Global Vmware"/>
        <filter val="HCS Non-Frontline"/>
        <filter val="HCS Quality Coach"/>
        <filter val="HCS Technical Lead"/>
        <filter val="HES Manager"/>
        <filter val="HES Quality Coach"/>
        <filter val="HES Technical Lead"/>
        <filter val="LATAM Quality Coach"/>
        <filter val="Licensing Quality Coach"/>
        <filter val="NA Compute Pro Support"/>
        <filter val="NAMER HES Connectivity"/>
        <filter val="NAMER HES Integrated_Software"/>
        <filter val="NAMER HES MIDRANGE"/>
        <filter val="NAMER HES Symmetrix"/>
        <filter val="NAMER HES SymmSW"/>
        <filter val="NAMER HES Vplex"/>
        <filter val="NAMER Quality Coach"/>
        <filter val="NAMER Technical Lead"/>
        <filter val="PowerEdge After Hours US"/>
        <filter val="RPS Proactive Systems Maintenance"/>
        <filter val="Server ProSupport ANZ"/>
        <filter val="Service Engineering Non-Frontline"/>
        <filter val="Social Media CCC"/>
        <filter val="Social Media English"/>
        <filter val="Social Media Quality Coach"/>
        <filter val="SSO Non-Frontline"/>
        <filter val="VCF Delivery Engineer"/>
        <filter val="VCF Upgrade Coordinator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4743-2DCF-4E4F-91BF-70A286BDCFB7}">
  <sheetPr codeName="Sheet7" filterMode="1"/>
  <dimension ref="D5:F78"/>
  <sheetViews>
    <sheetView workbookViewId="0">
      <selection activeCell="A3" sqref="A3"/>
    </sheetView>
  </sheetViews>
  <sheetFormatPr defaultRowHeight="14.5" x14ac:dyDescent="0.35"/>
  <cols>
    <col min="4" max="4" width="6.26953125" bestFit="1" customWidth="1"/>
    <col min="5" max="5" width="30.81640625" bestFit="1" customWidth="1"/>
  </cols>
  <sheetData>
    <row r="5" spans="4:6" x14ac:dyDescent="0.35">
      <c r="D5">
        <v>1</v>
      </c>
      <c r="E5">
        <v>2</v>
      </c>
      <c r="F5">
        <v>3</v>
      </c>
    </row>
    <row r="6" spans="4:6" hidden="1" x14ac:dyDescent="0.35">
      <c r="D6" t="s">
        <v>443</v>
      </c>
      <c r="E6" t="s">
        <v>444</v>
      </c>
      <c r="F6" t="e">
        <f>VLOOKUP(D6,UniqueCCOQueueCodes!$A$379:$T$505,20,FALSE)</f>
        <v>#N/A</v>
      </c>
    </row>
    <row r="7" spans="4:6" hidden="1" x14ac:dyDescent="0.35">
      <c r="D7" t="s">
        <v>445</v>
      </c>
      <c r="E7" t="s">
        <v>446</v>
      </c>
      <c r="F7" t="e">
        <f>VLOOKUP(D7,UniqueCCOQueueCodes!$A$379:$T$505,20,FALSE)</f>
        <v>#N/A</v>
      </c>
    </row>
    <row r="8" spans="4:6" hidden="1" x14ac:dyDescent="0.35">
      <c r="D8" t="s">
        <v>1799</v>
      </c>
      <c r="E8" t="s">
        <v>1800</v>
      </c>
      <c r="F8" t="e">
        <f>VLOOKUP(D8,UniqueCCOQueueCodes!$A$379:$T$505,20,FALSE)</f>
        <v>#N/A</v>
      </c>
    </row>
    <row r="9" spans="4:6" hidden="1" x14ac:dyDescent="0.35">
      <c r="D9" t="s">
        <v>945</v>
      </c>
      <c r="E9" t="s">
        <v>946</v>
      </c>
      <c r="F9" t="e">
        <f>VLOOKUP(D9,UniqueCCOQueueCodes!$A$379:$T$505,20,FALSE)</f>
        <v>#N/A</v>
      </c>
    </row>
    <row r="10" spans="4:6" hidden="1" x14ac:dyDescent="0.35">
      <c r="D10" t="s">
        <v>974</v>
      </c>
      <c r="E10" t="s">
        <v>975</v>
      </c>
      <c r="F10" t="e">
        <f>VLOOKUP(D10,UniqueCCOQueueCodes!$A$379:$T$505,20,FALSE)</f>
        <v>#N/A</v>
      </c>
    </row>
    <row r="11" spans="4:6" hidden="1" x14ac:dyDescent="0.35">
      <c r="D11" t="s">
        <v>473</v>
      </c>
      <c r="E11" t="s">
        <v>474</v>
      </c>
      <c r="F11" t="str">
        <f>VLOOKUP(D11,UniqueCCOQueueCodes!$A$379:$T$505,20,FALSE)</f>
        <v>Not Planned</v>
      </c>
    </row>
    <row r="12" spans="4:6" x14ac:dyDescent="0.35">
      <c r="D12" t="s">
        <v>222</v>
      </c>
      <c r="E12" t="s">
        <v>223</v>
      </c>
      <c r="F12" t="e">
        <f>VLOOKUP(D12,UniqueCCOQueueCodes!$A$379:$T$505,20,FALSE)</f>
        <v>#N/A</v>
      </c>
    </row>
    <row r="13" spans="4:6" hidden="1" x14ac:dyDescent="0.35">
      <c r="D13" t="s">
        <v>986</v>
      </c>
      <c r="E13" t="s">
        <v>987</v>
      </c>
      <c r="F13" t="e">
        <f>VLOOKUP(D13,UniqueCCOQueueCodes!$A$379:$T$505,20,FALSE)</f>
        <v>#N/A</v>
      </c>
    </row>
    <row r="14" spans="4:6" hidden="1" x14ac:dyDescent="0.35">
      <c r="D14" t="s">
        <v>988</v>
      </c>
      <c r="E14" t="s">
        <v>989</v>
      </c>
      <c r="F14" t="str">
        <f>VLOOKUP(D14,UniqueCCOQueueCodes!$A$379:$T$505,20,FALSE)</f>
        <v>Not Planned</v>
      </c>
    </row>
    <row r="15" spans="4:6" x14ac:dyDescent="0.35">
      <c r="D15" t="s">
        <v>182</v>
      </c>
      <c r="E15" t="s">
        <v>183</v>
      </c>
      <c r="F15" t="e">
        <f>VLOOKUP(D15,UniqueCCOQueueCodes!$A$379:$T$505,20,FALSE)</f>
        <v>#N/A</v>
      </c>
    </row>
    <row r="16" spans="4:6" hidden="1" x14ac:dyDescent="0.35">
      <c r="D16" t="s">
        <v>523</v>
      </c>
      <c r="E16" t="s">
        <v>524</v>
      </c>
      <c r="F16" t="e">
        <f>VLOOKUP(D16,UniqueCCOQueueCodes!$A$379:$T$505,20,FALSE)</f>
        <v>#N/A</v>
      </c>
    </row>
    <row r="17" spans="4:6" hidden="1" x14ac:dyDescent="0.35">
      <c r="D17" t="s">
        <v>527</v>
      </c>
      <c r="E17" t="s">
        <v>528</v>
      </c>
      <c r="F17" t="e">
        <f>VLOOKUP(D17,UniqueCCOQueueCodes!$A$379:$T$505,20,FALSE)</f>
        <v>#N/A</v>
      </c>
    </row>
    <row r="18" spans="4:6" hidden="1" x14ac:dyDescent="0.35">
      <c r="D18" t="s">
        <v>1038</v>
      </c>
      <c r="E18" t="s">
        <v>1039</v>
      </c>
      <c r="F18" t="e">
        <f>VLOOKUP(D18,UniqueCCOQueueCodes!$A$379:$T$505,20,FALSE)</f>
        <v>#N/A</v>
      </c>
    </row>
    <row r="19" spans="4:6" hidden="1" x14ac:dyDescent="0.35">
      <c r="D19" t="s">
        <v>1040</v>
      </c>
      <c r="E19" t="s">
        <v>1041</v>
      </c>
      <c r="F19" t="e">
        <f>VLOOKUP(D19,UniqueCCOQueueCodes!$A$379:$T$505,20,FALSE)</f>
        <v>#N/A</v>
      </c>
    </row>
    <row r="20" spans="4:6" hidden="1" x14ac:dyDescent="0.35">
      <c r="D20" t="s">
        <v>1042</v>
      </c>
      <c r="E20" t="s">
        <v>1043</v>
      </c>
      <c r="F20" t="e">
        <f>VLOOKUP(D20,UniqueCCOQueueCodes!$A$379:$T$505,20,FALSE)</f>
        <v>#N/A</v>
      </c>
    </row>
    <row r="21" spans="4:6" x14ac:dyDescent="0.35">
      <c r="D21" t="s">
        <v>105</v>
      </c>
      <c r="E21" t="s">
        <v>106</v>
      </c>
      <c r="F21" t="str">
        <f>VLOOKUP(D21,UniqueCCOQueueCodes!$A$379:$T$505,20,FALSE)</f>
        <v>HES</v>
      </c>
    </row>
    <row r="22" spans="4:6" x14ac:dyDescent="0.35">
      <c r="D22" t="s">
        <v>225</v>
      </c>
      <c r="E22" t="s">
        <v>226</v>
      </c>
      <c r="F22" t="e">
        <f>VLOOKUP(D22,UniqueCCOQueueCodes!$A$379:$T$505,20,FALSE)</f>
        <v>#N/A</v>
      </c>
    </row>
    <row r="23" spans="4:6" x14ac:dyDescent="0.35">
      <c r="D23" t="s">
        <v>236</v>
      </c>
      <c r="E23" t="s">
        <v>237</v>
      </c>
      <c r="F23" t="e">
        <f>VLOOKUP(D23,UniqueCCOQueueCodes!$A$379:$T$505,20,FALSE)</f>
        <v>#N/A</v>
      </c>
    </row>
    <row r="24" spans="4:6" x14ac:dyDescent="0.35">
      <c r="D24" t="s">
        <v>420</v>
      </c>
      <c r="E24" t="s">
        <v>421</v>
      </c>
      <c r="F24" t="e">
        <f>VLOOKUP(D24,UniqueCCOQueueCodes!$A$379:$T$505,20,FALSE)</f>
        <v>#N/A</v>
      </c>
    </row>
    <row r="25" spans="4:6" x14ac:dyDescent="0.35">
      <c r="D25" t="s">
        <v>316</v>
      </c>
      <c r="E25" t="s">
        <v>317</v>
      </c>
      <c r="F25" t="e">
        <f>VLOOKUP(D25,UniqueCCOQueueCodes!$A$379:$T$505,20,FALSE)</f>
        <v>#N/A</v>
      </c>
    </row>
    <row r="26" spans="4:6" x14ac:dyDescent="0.35">
      <c r="D26" t="s">
        <v>344</v>
      </c>
      <c r="E26" t="s">
        <v>345</v>
      </c>
      <c r="F26" t="e">
        <f>VLOOKUP(D26,UniqueCCOQueueCodes!$A$379:$T$505,20,FALSE)</f>
        <v>#N/A</v>
      </c>
    </row>
    <row r="27" spans="4:6" x14ac:dyDescent="0.35">
      <c r="D27" t="s">
        <v>376</v>
      </c>
      <c r="E27" t="s">
        <v>377</v>
      </c>
      <c r="F27" t="e">
        <f>VLOOKUP(D27,UniqueCCOQueueCodes!$A$379:$T$505,20,FALSE)</f>
        <v>#N/A</v>
      </c>
    </row>
    <row r="28" spans="4:6" x14ac:dyDescent="0.35">
      <c r="D28" t="s">
        <v>393</v>
      </c>
      <c r="E28" t="s">
        <v>394</v>
      </c>
      <c r="F28" t="e">
        <f>VLOOKUP(D28,UniqueCCOQueueCodes!$A$379:$T$505,20,FALSE)</f>
        <v>#N/A</v>
      </c>
    </row>
    <row r="29" spans="4:6" x14ac:dyDescent="0.35">
      <c r="D29" t="s">
        <v>252</v>
      </c>
      <c r="E29" t="s">
        <v>253</v>
      </c>
      <c r="F29" t="e">
        <f>VLOOKUP(D29,UniqueCCOQueueCodes!$A$379:$T$505,20,FALSE)</f>
        <v>#N/A</v>
      </c>
    </row>
    <row r="30" spans="4:6" x14ac:dyDescent="0.35">
      <c r="D30" t="s">
        <v>410</v>
      </c>
      <c r="E30" t="s">
        <v>411</v>
      </c>
      <c r="F30" t="e">
        <f>VLOOKUP(D30,UniqueCCOQueueCodes!$A$379:$T$505,20,FALSE)</f>
        <v>#N/A</v>
      </c>
    </row>
    <row r="31" spans="4:6" x14ac:dyDescent="0.35">
      <c r="D31" t="s">
        <v>318</v>
      </c>
      <c r="E31" t="s">
        <v>319</v>
      </c>
      <c r="F31" t="e">
        <f>VLOOKUP(D31,UniqueCCOQueueCodes!$A$379:$T$505,20,FALSE)</f>
        <v>#N/A</v>
      </c>
    </row>
    <row r="32" spans="4:6" x14ac:dyDescent="0.35">
      <c r="D32" t="s">
        <v>346</v>
      </c>
      <c r="E32" t="s">
        <v>347</v>
      </c>
      <c r="F32" t="e">
        <f>VLOOKUP(D32,UniqueCCOQueueCodes!$A$379:$T$505,20,FALSE)</f>
        <v>#N/A</v>
      </c>
    </row>
    <row r="33" spans="4:6" x14ac:dyDescent="0.35">
      <c r="D33" t="s">
        <v>378</v>
      </c>
      <c r="E33" t="s">
        <v>379</v>
      </c>
      <c r="F33" t="e">
        <f>VLOOKUP(D33,UniqueCCOQueueCodes!$A$379:$T$505,20,FALSE)</f>
        <v>#N/A</v>
      </c>
    </row>
    <row r="34" spans="4:6" x14ac:dyDescent="0.35">
      <c r="D34" t="s">
        <v>395</v>
      </c>
      <c r="E34" t="s">
        <v>396</v>
      </c>
      <c r="F34" t="e">
        <f>VLOOKUP(D34,UniqueCCOQueueCodes!$A$379:$T$505,20,FALSE)</f>
        <v>#N/A</v>
      </c>
    </row>
    <row r="35" spans="4:6" x14ac:dyDescent="0.35">
      <c r="D35" t="s">
        <v>254</v>
      </c>
      <c r="E35" t="s">
        <v>255</v>
      </c>
      <c r="F35" t="e">
        <f>VLOOKUP(D35,UniqueCCOQueueCodes!$A$379:$T$505,20,FALSE)</f>
        <v>#N/A</v>
      </c>
    </row>
    <row r="36" spans="4:6" x14ac:dyDescent="0.35">
      <c r="D36" t="s">
        <v>412</v>
      </c>
      <c r="E36" t="s">
        <v>413</v>
      </c>
      <c r="F36" t="e">
        <f>VLOOKUP(D36,UniqueCCOQueueCodes!$A$379:$T$505,20,FALSE)</f>
        <v>#N/A</v>
      </c>
    </row>
    <row r="37" spans="4:6" x14ac:dyDescent="0.35">
      <c r="D37" t="s">
        <v>430</v>
      </c>
      <c r="E37" t="s">
        <v>431</v>
      </c>
      <c r="F37" t="e">
        <f>VLOOKUP(D37,UniqueCCOQueueCodes!$A$379:$T$505,20,FALSE)</f>
        <v>#N/A</v>
      </c>
    </row>
    <row r="38" spans="4:6" x14ac:dyDescent="0.35">
      <c r="D38" t="s">
        <v>322</v>
      </c>
      <c r="E38" t="s">
        <v>323</v>
      </c>
      <c r="F38" t="e">
        <f>VLOOKUP(D38,UniqueCCOQueueCodes!$A$379:$T$505,20,FALSE)</f>
        <v>#N/A</v>
      </c>
    </row>
    <row r="39" spans="4:6" x14ac:dyDescent="0.35">
      <c r="D39" t="s">
        <v>350</v>
      </c>
      <c r="E39" t="s">
        <v>351</v>
      </c>
      <c r="F39" t="e">
        <f>VLOOKUP(D39,UniqueCCOQueueCodes!$A$379:$T$505,20,FALSE)</f>
        <v>#N/A</v>
      </c>
    </row>
    <row r="40" spans="4:6" x14ac:dyDescent="0.35">
      <c r="D40" t="s">
        <v>384</v>
      </c>
      <c r="E40" t="s">
        <v>385</v>
      </c>
      <c r="F40" t="e">
        <f>VLOOKUP(D40,UniqueCCOQueueCodes!$A$379:$T$505,20,FALSE)</f>
        <v>#N/A</v>
      </c>
    </row>
    <row r="41" spans="4:6" x14ac:dyDescent="0.35">
      <c r="D41" t="s">
        <v>401</v>
      </c>
      <c r="E41" t="s">
        <v>402</v>
      </c>
      <c r="F41" t="e">
        <f>VLOOKUP(D41,UniqueCCOQueueCodes!$A$379:$T$505,20,FALSE)</f>
        <v>#N/A</v>
      </c>
    </row>
    <row r="42" spans="4:6" x14ac:dyDescent="0.35">
      <c r="D42" t="s">
        <v>260</v>
      </c>
      <c r="E42" t="s">
        <v>261</v>
      </c>
      <c r="F42" t="e">
        <f>VLOOKUP(D42,UniqueCCOQueueCodes!$A$379:$T$505,20,FALSE)</f>
        <v>#N/A</v>
      </c>
    </row>
    <row r="43" spans="4:6" x14ac:dyDescent="0.35">
      <c r="D43" t="s">
        <v>416</v>
      </c>
      <c r="E43" t="s">
        <v>417</v>
      </c>
      <c r="F43" t="e">
        <f>VLOOKUP(D43,UniqueCCOQueueCodes!$A$379:$T$505,20,FALSE)</f>
        <v>#N/A</v>
      </c>
    </row>
    <row r="44" spans="4:6" hidden="1" x14ac:dyDescent="0.35">
      <c r="D44" t="s">
        <v>853</v>
      </c>
      <c r="E44" t="s">
        <v>854</v>
      </c>
      <c r="F44" t="e">
        <f>VLOOKUP(D44,UniqueCCOQueueCodes!$A$379:$T$505,20,FALSE)</f>
        <v>#N/A</v>
      </c>
    </row>
    <row r="45" spans="4:6" hidden="1" x14ac:dyDescent="0.35">
      <c r="D45" t="s">
        <v>855</v>
      </c>
      <c r="E45" t="s">
        <v>856</v>
      </c>
      <c r="F45" t="e">
        <f>VLOOKUP(D45,UniqueCCOQueueCodes!$A$379:$T$505,20,FALSE)</f>
        <v>#N/A</v>
      </c>
    </row>
    <row r="46" spans="4:6" hidden="1" x14ac:dyDescent="0.35">
      <c r="D46" t="s">
        <v>857</v>
      </c>
      <c r="E46" t="s">
        <v>858</v>
      </c>
      <c r="F46" t="e">
        <f>VLOOKUP(D46,UniqueCCOQueueCodes!$A$379:$T$505,20,FALSE)</f>
        <v>#N/A</v>
      </c>
    </row>
    <row r="47" spans="4:6" hidden="1" x14ac:dyDescent="0.35">
      <c r="D47" t="s">
        <v>859</v>
      </c>
      <c r="E47" t="s">
        <v>860</v>
      </c>
      <c r="F47" t="e">
        <f>VLOOKUP(D47,UniqueCCOQueueCodes!$A$379:$T$505,20,FALSE)</f>
        <v>#N/A</v>
      </c>
    </row>
    <row r="48" spans="4:6" hidden="1" x14ac:dyDescent="0.35">
      <c r="D48" t="s">
        <v>861</v>
      </c>
      <c r="E48" t="s">
        <v>862</v>
      </c>
      <c r="F48" t="e">
        <f>VLOOKUP(D48,UniqueCCOQueueCodes!$A$379:$T$505,20,FALSE)</f>
        <v>#N/A</v>
      </c>
    </row>
    <row r="49" spans="4:6" hidden="1" x14ac:dyDescent="0.35">
      <c r="D49" t="s">
        <v>863</v>
      </c>
      <c r="E49" t="s">
        <v>864</v>
      </c>
      <c r="F49" t="e">
        <f>VLOOKUP(D49,UniqueCCOQueueCodes!$A$379:$T$505,20,FALSE)</f>
        <v>#N/A</v>
      </c>
    </row>
    <row r="50" spans="4:6" hidden="1" x14ac:dyDescent="0.35">
      <c r="D50" t="s">
        <v>1891</v>
      </c>
      <c r="E50" t="s">
        <v>1892</v>
      </c>
      <c r="F50" t="e">
        <f>VLOOKUP(D50,UniqueCCOQueueCodes!$A$379:$T$505,20,FALSE)</f>
        <v>#N/A</v>
      </c>
    </row>
    <row r="51" spans="4:6" hidden="1" x14ac:dyDescent="0.35">
      <c r="D51" t="s">
        <v>557</v>
      </c>
      <c r="E51" t="s">
        <v>558</v>
      </c>
      <c r="F51" t="e">
        <f>VLOOKUP(D51,UniqueCCOQueueCodes!$A$379:$T$505,20,FALSE)</f>
        <v>#N/A</v>
      </c>
    </row>
    <row r="52" spans="4:6" hidden="1" x14ac:dyDescent="0.35">
      <c r="D52" t="s">
        <v>561</v>
      </c>
      <c r="E52" t="s">
        <v>562</v>
      </c>
      <c r="F52" t="e">
        <f>VLOOKUP(D52,UniqueCCOQueueCodes!$A$379:$T$505,20,FALSE)</f>
        <v>#N/A</v>
      </c>
    </row>
    <row r="53" spans="4:6" hidden="1" x14ac:dyDescent="0.35">
      <c r="D53" t="s">
        <v>579</v>
      </c>
      <c r="E53" t="s">
        <v>580</v>
      </c>
      <c r="F53" t="e">
        <f>VLOOKUP(D53,UniqueCCOQueueCodes!$A$379:$T$505,20,FALSE)</f>
        <v>#N/A</v>
      </c>
    </row>
    <row r="54" spans="4:6" hidden="1" x14ac:dyDescent="0.35">
      <c r="D54" t="s">
        <v>1807</v>
      </c>
      <c r="E54" t="s">
        <v>1808</v>
      </c>
      <c r="F54" t="e">
        <f>VLOOKUP(D54,UniqueCCOQueueCodes!$A$379:$T$505,20,FALSE)</f>
        <v>#N/A</v>
      </c>
    </row>
    <row r="55" spans="4:6" hidden="1" x14ac:dyDescent="0.35">
      <c r="D55" t="s">
        <v>1092</v>
      </c>
      <c r="E55" t="s">
        <v>1093</v>
      </c>
      <c r="F55" t="e">
        <f>VLOOKUP(D55,UniqueCCOQueueCodes!$A$379:$T$505,20,FALSE)</f>
        <v>#N/A</v>
      </c>
    </row>
    <row r="56" spans="4:6" hidden="1" x14ac:dyDescent="0.35">
      <c r="D56" t="s">
        <v>1098</v>
      </c>
      <c r="E56" t="s">
        <v>1099</v>
      </c>
      <c r="F56" t="e">
        <f>VLOOKUP(D56,UniqueCCOQueueCodes!$A$379:$T$505,20,FALSE)</f>
        <v>#N/A</v>
      </c>
    </row>
    <row r="57" spans="4:6" hidden="1" x14ac:dyDescent="0.35">
      <c r="D57" t="s">
        <v>1102</v>
      </c>
      <c r="E57" t="s">
        <v>1103</v>
      </c>
      <c r="F57" t="e">
        <f>VLOOKUP(D57,UniqueCCOQueueCodes!$A$379:$T$505,20,FALSE)</f>
        <v>#N/A</v>
      </c>
    </row>
    <row r="58" spans="4:6" hidden="1" x14ac:dyDescent="0.35">
      <c r="D58" t="s">
        <v>1104</v>
      </c>
      <c r="E58" t="s">
        <v>1105</v>
      </c>
      <c r="F58" t="e">
        <f>VLOOKUP(D58,UniqueCCOQueueCodes!$A$379:$T$505,20,FALSE)</f>
        <v>#N/A</v>
      </c>
    </row>
    <row r="59" spans="4:6" hidden="1" x14ac:dyDescent="0.35">
      <c r="D59" t="s">
        <v>1110</v>
      </c>
      <c r="E59" t="s">
        <v>1111</v>
      </c>
      <c r="F59" t="e">
        <f>VLOOKUP(D59,UniqueCCOQueueCodes!$A$379:$T$505,20,FALSE)</f>
        <v>#N/A</v>
      </c>
    </row>
    <row r="60" spans="4:6" hidden="1" x14ac:dyDescent="0.35">
      <c r="D60" t="s">
        <v>1112</v>
      </c>
      <c r="E60" t="s">
        <v>1113</v>
      </c>
      <c r="F60" t="e">
        <f>VLOOKUP(D60,UniqueCCOQueueCodes!$A$379:$T$505,20,FALSE)</f>
        <v>#N/A</v>
      </c>
    </row>
    <row r="61" spans="4:6" hidden="1" x14ac:dyDescent="0.35">
      <c r="D61" t="s">
        <v>1121</v>
      </c>
      <c r="E61" t="s">
        <v>1122</v>
      </c>
      <c r="F61" t="e">
        <f>VLOOKUP(D61,UniqueCCOQueueCodes!$A$379:$T$505,20,FALSE)</f>
        <v>#N/A</v>
      </c>
    </row>
    <row r="62" spans="4:6" hidden="1" x14ac:dyDescent="0.35">
      <c r="D62" t="s">
        <v>1125</v>
      </c>
      <c r="E62" t="s">
        <v>1126</v>
      </c>
      <c r="F62" t="e">
        <f>VLOOKUP(D62,UniqueCCOQueueCodes!$A$379:$T$505,20,FALSE)</f>
        <v>#N/A</v>
      </c>
    </row>
    <row r="63" spans="4:6" hidden="1" x14ac:dyDescent="0.35">
      <c r="D63" t="s">
        <v>1129</v>
      </c>
      <c r="E63" t="s">
        <v>1130</v>
      </c>
      <c r="F63" t="e">
        <f>VLOOKUP(D63,UniqueCCOQueueCodes!$A$379:$T$505,20,FALSE)</f>
        <v>#N/A</v>
      </c>
    </row>
    <row r="64" spans="4:6" hidden="1" x14ac:dyDescent="0.35">
      <c r="D64" t="s">
        <v>1131</v>
      </c>
      <c r="E64" t="s">
        <v>1132</v>
      </c>
      <c r="F64" t="e">
        <f>VLOOKUP(D64,UniqueCCOQueueCodes!$A$379:$T$505,20,FALSE)</f>
        <v>#N/A</v>
      </c>
    </row>
    <row r="65" spans="4:6" hidden="1" x14ac:dyDescent="0.35">
      <c r="D65" t="s">
        <v>1137</v>
      </c>
      <c r="E65" t="s">
        <v>1138</v>
      </c>
      <c r="F65" t="e">
        <f>VLOOKUP(D65,UniqueCCOQueueCodes!$A$379:$T$505,20,FALSE)</f>
        <v>#N/A</v>
      </c>
    </row>
    <row r="66" spans="4:6" hidden="1" x14ac:dyDescent="0.35">
      <c r="D66" t="s">
        <v>1139</v>
      </c>
      <c r="E66" t="s">
        <v>1140</v>
      </c>
      <c r="F66" t="e">
        <f>VLOOKUP(D66,UniqueCCOQueueCodes!$A$379:$T$505,20,FALSE)</f>
        <v>#N/A</v>
      </c>
    </row>
    <row r="67" spans="4:6" hidden="1" x14ac:dyDescent="0.35">
      <c r="D67" t="s">
        <v>1147</v>
      </c>
      <c r="E67" t="s">
        <v>1148</v>
      </c>
      <c r="F67" t="e">
        <f>VLOOKUP(D67,UniqueCCOQueueCodes!$A$379:$T$505,20,FALSE)</f>
        <v>#N/A</v>
      </c>
    </row>
    <row r="68" spans="4:6" hidden="1" x14ac:dyDescent="0.35">
      <c r="D68" t="s">
        <v>1155</v>
      </c>
      <c r="E68" t="s">
        <v>1156</v>
      </c>
      <c r="F68" t="e">
        <f>VLOOKUP(D68,UniqueCCOQueueCodes!$A$379:$T$505,20,FALSE)</f>
        <v>#N/A</v>
      </c>
    </row>
    <row r="69" spans="4:6" hidden="1" x14ac:dyDescent="0.35">
      <c r="D69" t="s">
        <v>1157</v>
      </c>
      <c r="E69" t="s">
        <v>1158</v>
      </c>
      <c r="F69" t="str">
        <f>VLOOKUP(D69,UniqueCCOQueueCodes!$A$379:$T$505,20,FALSE)</f>
        <v>Not Planned</v>
      </c>
    </row>
    <row r="70" spans="4:6" hidden="1" x14ac:dyDescent="0.35">
      <c r="D70" t="s">
        <v>1162</v>
      </c>
      <c r="E70" t="s">
        <v>1163</v>
      </c>
      <c r="F70" t="e">
        <f>VLOOKUP(D70,UniqueCCOQueueCodes!$A$379:$T$505,20,FALSE)</f>
        <v>#N/A</v>
      </c>
    </row>
    <row r="71" spans="4:6" hidden="1" x14ac:dyDescent="0.35">
      <c r="D71" t="s">
        <v>1168</v>
      </c>
      <c r="E71" t="s">
        <v>1169</v>
      </c>
      <c r="F71" t="e">
        <f>VLOOKUP(D71,UniqueCCOQueueCodes!$A$379:$T$505,20,FALSE)</f>
        <v>#N/A</v>
      </c>
    </row>
    <row r="72" spans="4:6" hidden="1" x14ac:dyDescent="0.35">
      <c r="D72" t="s">
        <v>1191</v>
      </c>
      <c r="E72" t="s">
        <v>1192</v>
      </c>
      <c r="F72" t="e">
        <f>VLOOKUP(D72,UniqueCCOQueueCodes!$A$379:$T$505,20,FALSE)</f>
        <v>#N/A</v>
      </c>
    </row>
    <row r="73" spans="4:6" hidden="1" x14ac:dyDescent="0.35">
      <c r="D73" t="s">
        <v>1893</v>
      </c>
      <c r="E73" t="s">
        <v>1926</v>
      </c>
      <c r="F73" t="e">
        <f>VLOOKUP(D73,UniqueCCOQueueCodes!$A$379:$T$505,20,FALSE)</f>
        <v>#N/A</v>
      </c>
    </row>
    <row r="74" spans="4:6" hidden="1" x14ac:dyDescent="0.35">
      <c r="D74" t="s">
        <v>595</v>
      </c>
      <c r="E74" t="s">
        <v>596</v>
      </c>
      <c r="F74" t="e">
        <f>VLOOKUP(D74,UniqueCCOQueueCodes!$A$379:$T$505,20,FALSE)</f>
        <v>#N/A</v>
      </c>
    </row>
    <row r="75" spans="4:6" hidden="1" x14ac:dyDescent="0.35">
      <c r="D75" t="s">
        <v>1793</v>
      </c>
      <c r="E75" t="s">
        <v>1794</v>
      </c>
      <c r="F75" t="e">
        <f>VLOOKUP(D75,UniqueCCOQueueCodes!$A$379:$T$505,20,FALSE)</f>
        <v>#N/A</v>
      </c>
    </row>
    <row r="76" spans="4:6" hidden="1" x14ac:dyDescent="0.35">
      <c r="D76" t="s">
        <v>1894</v>
      </c>
      <c r="E76" t="s">
        <v>1895</v>
      </c>
      <c r="F76" t="e">
        <f>VLOOKUP(D76,UniqueCCOQueueCodes!$A$379:$T$505,20,FALSE)</f>
        <v>#N/A</v>
      </c>
    </row>
    <row r="77" spans="4:6" hidden="1" x14ac:dyDescent="0.35">
      <c r="D77" t="s">
        <v>1249</v>
      </c>
      <c r="E77" t="s">
        <v>1250</v>
      </c>
      <c r="F77" t="str">
        <f>VLOOKUP(D77,UniqueCCOQueueCodes!$A$379:$T$505,20,FALSE)</f>
        <v>Not Planned</v>
      </c>
    </row>
    <row r="78" spans="4:6" hidden="1" x14ac:dyDescent="0.35">
      <c r="D78" t="s">
        <v>1253</v>
      </c>
      <c r="E78" t="s">
        <v>1871</v>
      </c>
      <c r="F78" t="str">
        <f>VLOOKUP(D78,UniqueCCOQueueCodes!$A$379:$T$505,20,FALSE)</f>
        <v>Not Planned</v>
      </c>
    </row>
  </sheetData>
  <autoFilter ref="D5:F78" xr:uid="{BB584743-2DCF-4E4F-91BF-70A286BDCFB7}">
    <filterColumn colId="2">
      <filters>
        <filter val="HES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B3E4-32DD-4D3F-99C0-DA9AA92964C4}">
  <sheetPr codeName="Sheet8"/>
  <dimension ref="C5:F29"/>
  <sheetViews>
    <sheetView workbookViewId="0">
      <selection activeCell="A3" sqref="A3"/>
    </sheetView>
  </sheetViews>
  <sheetFormatPr defaultRowHeight="14.5" x14ac:dyDescent="0.35"/>
  <cols>
    <col min="3" max="3" width="5.26953125" bestFit="1" customWidth="1"/>
    <col min="4" max="4" width="28.7265625" bestFit="1" customWidth="1"/>
    <col min="5" max="5" width="4" bestFit="1" customWidth="1"/>
  </cols>
  <sheetData>
    <row r="5" spans="3:6" x14ac:dyDescent="0.35">
      <c r="C5" t="s">
        <v>222</v>
      </c>
      <c r="D5" t="s">
        <v>223</v>
      </c>
      <c r="E5" t="s">
        <v>905</v>
      </c>
      <c r="F5" t="s">
        <v>2070</v>
      </c>
    </row>
    <row r="6" spans="3:6" x14ac:dyDescent="0.35">
      <c r="C6" t="s">
        <v>182</v>
      </c>
      <c r="D6" t="s">
        <v>183</v>
      </c>
      <c r="E6" t="s">
        <v>905</v>
      </c>
      <c r="F6" t="s">
        <v>2070</v>
      </c>
    </row>
    <row r="7" spans="3:6" x14ac:dyDescent="0.35">
      <c r="C7" t="s">
        <v>105</v>
      </c>
      <c r="D7" t="s">
        <v>106</v>
      </c>
      <c r="E7" t="s">
        <v>905</v>
      </c>
      <c r="F7" t="s">
        <v>105</v>
      </c>
    </row>
    <row r="8" spans="3:6" x14ac:dyDescent="0.35">
      <c r="C8" t="s">
        <v>225</v>
      </c>
      <c r="D8" t="s">
        <v>226</v>
      </c>
      <c r="E8" t="s">
        <v>905</v>
      </c>
      <c r="F8" t="s">
        <v>2068</v>
      </c>
    </row>
    <row r="9" spans="3:6" x14ac:dyDescent="0.35">
      <c r="C9" t="s">
        <v>236</v>
      </c>
      <c r="D9" t="s">
        <v>237</v>
      </c>
      <c r="E9" t="s">
        <v>905</v>
      </c>
      <c r="F9" t="s">
        <v>2083</v>
      </c>
    </row>
    <row r="10" spans="3:6" x14ac:dyDescent="0.35">
      <c r="C10" t="s">
        <v>420</v>
      </c>
      <c r="D10" t="s">
        <v>421</v>
      </c>
      <c r="E10" t="s">
        <v>905</v>
      </c>
      <c r="F10" t="s">
        <v>2083</v>
      </c>
    </row>
    <row r="11" spans="3:6" x14ac:dyDescent="0.35">
      <c r="C11" t="s">
        <v>316</v>
      </c>
      <c r="D11" t="s">
        <v>317</v>
      </c>
      <c r="E11" t="s">
        <v>905</v>
      </c>
      <c r="F11" t="s">
        <v>2076</v>
      </c>
    </row>
    <row r="12" spans="3:6" x14ac:dyDescent="0.35">
      <c r="C12" t="s">
        <v>344</v>
      </c>
      <c r="D12" t="s">
        <v>345</v>
      </c>
      <c r="E12" t="s">
        <v>905</v>
      </c>
      <c r="F12" t="s">
        <v>339</v>
      </c>
    </row>
    <row r="13" spans="3:6" x14ac:dyDescent="0.35">
      <c r="C13" t="s">
        <v>376</v>
      </c>
      <c r="D13" t="s">
        <v>377</v>
      </c>
      <c r="E13" t="s">
        <v>905</v>
      </c>
      <c r="F13" t="s">
        <v>2079</v>
      </c>
    </row>
    <row r="14" spans="3:6" x14ac:dyDescent="0.35">
      <c r="C14" t="s">
        <v>393</v>
      </c>
      <c r="D14" t="s">
        <v>394</v>
      </c>
      <c r="E14" t="s">
        <v>905</v>
      </c>
      <c r="F14" t="s">
        <v>2081</v>
      </c>
    </row>
    <row r="15" spans="3:6" x14ac:dyDescent="0.35">
      <c r="C15" t="s">
        <v>252</v>
      </c>
      <c r="D15" t="s">
        <v>253</v>
      </c>
      <c r="E15" t="s">
        <v>905</v>
      </c>
      <c r="F15" t="s">
        <v>2085</v>
      </c>
    </row>
    <row r="16" spans="3:6" x14ac:dyDescent="0.35">
      <c r="C16" t="s">
        <v>410</v>
      </c>
      <c r="D16" t="s">
        <v>411</v>
      </c>
      <c r="E16" t="s">
        <v>905</v>
      </c>
      <c r="F16" t="s">
        <v>2081</v>
      </c>
    </row>
    <row r="17" spans="3:6" x14ac:dyDescent="0.35">
      <c r="C17" t="s">
        <v>318</v>
      </c>
      <c r="D17" t="s">
        <v>319</v>
      </c>
      <c r="E17" t="s">
        <v>905</v>
      </c>
      <c r="F17" t="s">
        <v>2076</v>
      </c>
    </row>
    <row r="18" spans="3:6" x14ac:dyDescent="0.35">
      <c r="C18" t="s">
        <v>346</v>
      </c>
      <c r="D18" t="s">
        <v>347</v>
      </c>
      <c r="E18" t="s">
        <v>905</v>
      </c>
      <c r="F18" t="s">
        <v>339</v>
      </c>
    </row>
    <row r="19" spans="3:6" x14ac:dyDescent="0.35">
      <c r="C19" t="s">
        <v>378</v>
      </c>
      <c r="D19" t="s">
        <v>379</v>
      </c>
      <c r="E19" t="s">
        <v>905</v>
      </c>
      <c r="F19" t="s">
        <v>2079</v>
      </c>
    </row>
    <row r="20" spans="3:6" x14ac:dyDescent="0.35">
      <c r="C20" t="s">
        <v>395</v>
      </c>
      <c r="D20" t="s">
        <v>396</v>
      </c>
      <c r="E20" t="s">
        <v>905</v>
      </c>
      <c r="F20" t="s">
        <v>2081</v>
      </c>
    </row>
    <row r="21" spans="3:6" x14ac:dyDescent="0.35">
      <c r="C21" t="s">
        <v>254</v>
      </c>
      <c r="D21" t="s">
        <v>255</v>
      </c>
      <c r="E21" t="s">
        <v>905</v>
      </c>
      <c r="F21" t="s">
        <v>2085</v>
      </c>
    </row>
    <row r="22" spans="3:6" x14ac:dyDescent="0.35">
      <c r="C22" t="s">
        <v>412</v>
      </c>
      <c r="D22" t="s">
        <v>413</v>
      </c>
      <c r="E22" t="s">
        <v>905</v>
      </c>
      <c r="F22" t="s">
        <v>2081</v>
      </c>
    </row>
    <row r="23" spans="3:6" x14ac:dyDescent="0.35">
      <c r="C23" t="s">
        <v>430</v>
      </c>
      <c r="D23" t="s">
        <v>431</v>
      </c>
      <c r="E23" t="s">
        <v>905</v>
      </c>
      <c r="F23" t="s">
        <v>2083</v>
      </c>
    </row>
    <row r="24" spans="3:6" x14ac:dyDescent="0.35">
      <c r="C24" t="s">
        <v>322</v>
      </c>
      <c r="D24" t="s">
        <v>323</v>
      </c>
      <c r="E24" t="s">
        <v>905</v>
      </c>
      <c r="F24" t="s">
        <v>2076</v>
      </c>
    </row>
    <row r="25" spans="3:6" x14ac:dyDescent="0.35">
      <c r="C25" t="s">
        <v>350</v>
      </c>
      <c r="D25" t="s">
        <v>351</v>
      </c>
      <c r="E25" t="s">
        <v>905</v>
      </c>
      <c r="F25" t="s">
        <v>339</v>
      </c>
    </row>
    <row r="26" spans="3:6" x14ac:dyDescent="0.35">
      <c r="C26" t="s">
        <v>384</v>
      </c>
      <c r="D26" t="s">
        <v>385</v>
      </c>
      <c r="E26" t="s">
        <v>905</v>
      </c>
      <c r="F26" t="s">
        <v>2079</v>
      </c>
    </row>
    <row r="27" spans="3:6" x14ac:dyDescent="0.35">
      <c r="C27" t="s">
        <v>401</v>
      </c>
      <c r="D27" t="s">
        <v>402</v>
      </c>
      <c r="E27" t="s">
        <v>905</v>
      </c>
      <c r="F27" t="s">
        <v>2081</v>
      </c>
    </row>
    <row r="28" spans="3:6" x14ac:dyDescent="0.35">
      <c r="C28" t="s">
        <v>260</v>
      </c>
      <c r="D28" t="s">
        <v>261</v>
      </c>
      <c r="E28" t="s">
        <v>905</v>
      </c>
      <c r="F28" t="s">
        <v>2085</v>
      </c>
    </row>
    <row r="29" spans="3:6" x14ac:dyDescent="0.35">
      <c r="C29" t="s">
        <v>416</v>
      </c>
      <c r="D29" t="s">
        <v>417</v>
      </c>
      <c r="E29" t="s">
        <v>905</v>
      </c>
      <c r="F29" t="s">
        <v>2081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1A71-02BF-4373-8258-1A10BD0C5BFE}">
  <sheetPr codeName="Sheet9"/>
  <dimension ref="A1:C93"/>
  <sheetViews>
    <sheetView workbookViewId="0">
      <selection activeCell="A4" sqref="A4:C92"/>
    </sheetView>
  </sheetViews>
  <sheetFormatPr defaultRowHeight="14.5" x14ac:dyDescent="0.35"/>
  <cols>
    <col min="1" max="1" width="21.453125" bestFit="1" customWidth="1"/>
    <col min="2" max="2" width="21.81640625" customWidth="1"/>
    <col min="3" max="3" width="18.1796875" bestFit="1" customWidth="1"/>
    <col min="4" max="4" width="6.1796875" bestFit="1" customWidth="1"/>
    <col min="5" max="5" width="6.81640625" bestFit="1" customWidth="1"/>
    <col min="6" max="6" width="5.453125" bestFit="1" customWidth="1"/>
    <col min="7" max="7" width="7.26953125" bestFit="1" customWidth="1"/>
    <col min="8" max="8" width="7.7265625" bestFit="1" customWidth="1"/>
    <col min="9" max="9" width="18.1796875" bestFit="1" customWidth="1"/>
  </cols>
  <sheetData>
    <row r="1" spans="1:3" x14ac:dyDescent="0.35">
      <c r="A1" s="3" t="s">
        <v>4</v>
      </c>
      <c r="B1" t="s">
        <v>8</v>
      </c>
    </row>
    <row r="4" spans="1:3" x14ac:dyDescent="0.35">
      <c r="A4" s="3" t="s">
        <v>1</v>
      </c>
      <c r="B4" s="3" t="s">
        <v>877</v>
      </c>
      <c r="C4" s="3" t="s">
        <v>879</v>
      </c>
    </row>
    <row r="5" spans="1:3" x14ac:dyDescent="0.35">
      <c r="A5" t="s">
        <v>45</v>
      </c>
      <c r="B5" t="s">
        <v>1044</v>
      </c>
      <c r="C5" t="s">
        <v>912</v>
      </c>
    </row>
    <row r="6" spans="1:3" x14ac:dyDescent="0.35">
      <c r="C6" t="s">
        <v>929</v>
      </c>
    </row>
    <row r="7" spans="1:3" x14ac:dyDescent="0.35">
      <c r="C7" t="s">
        <v>935</v>
      </c>
    </row>
    <row r="8" spans="1:3" x14ac:dyDescent="0.35">
      <c r="C8" t="s">
        <v>893</v>
      </c>
    </row>
    <row r="9" spans="1:3" x14ac:dyDescent="0.35">
      <c r="B9" t="s">
        <v>914</v>
      </c>
      <c r="C9" t="s">
        <v>903</v>
      </c>
    </row>
    <row r="10" spans="1:3" x14ac:dyDescent="0.35">
      <c r="C10" t="s">
        <v>906</v>
      </c>
    </row>
    <row r="11" spans="1:3" x14ac:dyDescent="0.35">
      <c r="A11" t="s">
        <v>66</v>
      </c>
      <c r="B11" t="s">
        <v>1044</v>
      </c>
      <c r="C11" t="s">
        <v>929</v>
      </c>
    </row>
    <row r="12" spans="1:3" x14ac:dyDescent="0.35">
      <c r="A12" t="s">
        <v>305</v>
      </c>
      <c r="B12" t="s">
        <v>1255</v>
      </c>
      <c r="C12" t="s">
        <v>912</v>
      </c>
    </row>
    <row r="13" spans="1:3" x14ac:dyDescent="0.35">
      <c r="C13" t="s">
        <v>929</v>
      </c>
    </row>
    <row r="14" spans="1:3" x14ac:dyDescent="0.35">
      <c r="C14" t="s">
        <v>893</v>
      </c>
    </row>
    <row r="15" spans="1:3" x14ac:dyDescent="0.35">
      <c r="B15" t="s">
        <v>914</v>
      </c>
      <c r="C15" t="s">
        <v>903</v>
      </c>
    </row>
    <row r="16" spans="1:3" x14ac:dyDescent="0.35">
      <c r="C16" t="s">
        <v>906</v>
      </c>
    </row>
    <row r="17" spans="1:3" x14ac:dyDescent="0.35">
      <c r="A17" t="s">
        <v>1256</v>
      </c>
      <c r="B17" t="s">
        <v>1044</v>
      </c>
      <c r="C17" t="s">
        <v>912</v>
      </c>
    </row>
    <row r="18" spans="1:3" x14ac:dyDescent="0.35">
      <c r="C18" t="s">
        <v>929</v>
      </c>
    </row>
    <row r="19" spans="1:3" x14ac:dyDescent="0.35">
      <c r="C19" t="s">
        <v>935</v>
      </c>
    </row>
    <row r="20" spans="1:3" x14ac:dyDescent="0.35">
      <c r="C20" t="s">
        <v>893</v>
      </c>
    </row>
    <row r="21" spans="1:3" x14ac:dyDescent="0.35">
      <c r="B21" t="s">
        <v>914</v>
      </c>
      <c r="C21" t="s">
        <v>903</v>
      </c>
    </row>
    <row r="22" spans="1:3" x14ac:dyDescent="0.35">
      <c r="C22" t="s">
        <v>906</v>
      </c>
    </row>
    <row r="23" spans="1:3" x14ac:dyDescent="0.35">
      <c r="A23" t="s">
        <v>325</v>
      </c>
      <c r="B23" t="s">
        <v>1255</v>
      </c>
      <c r="C23" t="s">
        <v>929</v>
      </c>
    </row>
    <row r="24" spans="1:3" x14ac:dyDescent="0.35">
      <c r="A24" t="s">
        <v>1257</v>
      </c>
      <c r="B24" t="s">
        <v>914</v>
      </c>
      <c r="C24" t="s">
        <v>903</v>
      </c>
    </row>
    <row r="25" spans="1:3" x14ac:dyDescent="0.35">
      <c r="A25" t="s">
        <v>92</v>
      </c>
      <c r="B25" t="s">
        <v>1044</v>
      </c>
      <c r="C25" t="s">
        <v>929</v>
      </c>
    </row>
    <row r="26" spans="1:3" x14ac:dyDescent="0.35">
      <c r="A26" t="s">
        <v>99</v>
      </c>
      <c r="B26" t="s">
        <v>1044</v>
      </c>
      <c r="C26" t="s">
        <v>929</v>
      </c>
    </row>
    <row r="27" spans="1:3" x14ac:dyDescent="0.35">
      <c r="A27" t="s">
        <v>102</v>
      </c>
      <c r="B27" t="s">
        <v>1044</v>
      </c>
      <c r="C27" t="s">
        <v>929</v>
      </c>
    </row>
    <row r="28" spans="1:3" x14ac:dyDescent="0.35">
      <c r="B28" t="s">
        <v>914</v>
      </c>
      <c r="C28" t="s">
        <v>906</v>
      </c>
    </row>
    <row r="29" spans="1:3" x14ac:dyDescent="0.35">
      <c r="A29" t="s">
        <v>173</v>
      </c>
      <c r="B29" t="s">
        <v>928</v>
      </c>
      <c r="C29" t="s">
        <v>912</v>
      </c>
    </row>
    <row r="30" spans="1:3" x14ac:dyDescent="0.35">
      <c r="C30" t="s">
        <v>929</v>
      </c>
    </row>
    <row r="31" spans="1:3" x14ac:dyDescent="0.35">
      <c r="C31" t="s">
        <v>935</v>
      </c>
    </row>
    <row r="32" spans="1:3" x14ac:dyDescent="0.35">
      <c r="C32" t="s">
        <v>893</v>
      </c>
    </row>
    <row r="33" spans="1:3" x14ac:dyDescent="0.35">
      <c r="B33" t="s">
        <v>914</v>
      </c>
      <c r="C33" t="s">
        <v>903</v>
      </c>
    </row>
    <row r="34" spans="1:3" x14ac:dyDescent="0.35">
      <c r="C34" t="s">
        <v>906</v>
      </c>
    </row>
    <row r="35" spans="1:3" x14ac:dyDescent="0.35">
      <c r="A35" t="s">
        <v>334</v>
      </c>
      <c r="B35" t="s">
        <v>1255</v>
      </c>
      <c r="C35" t="s">
        <v>912</v>
      </c>
    </row>
    <row r="36" spans="1:3" x14ac:dyDescent="0.35">
      <c r="C36" t="s">
        <v>929</v>
      </c>
    </row>
    <row r="37" spans="1:3" x14ac:dyDescent="0.35">
      <c r="C37" t="s">
        <v>893</v>
      </c>
    </row>
    <row r="38" spans="1:3" x14ac:dyDescent="0.35">
      <c r="B38" t="s">
        <v>914</v>
      </c>
      <c r="C38" t="s">
        <v>903</v>
      </c>
    </row>
    <row r="39" spans="1:3" x14ac:dyDescent="0.35">
      <c r="C39" t="s">
        <v>906</v>
      </c>
    </row>
    <row r="40" spans="1:3" x14ac:dyDescent="0.35">
      <c r="A40" t="s">
        <v>673</v>
      </c>
      <c r="B40" t="s">
        <v>1044</v>
      </c>
      <c r="C40" t="s">
        <v>912</v>
      </c>
    </row>
    <row r="41" spans="1:3" x14ac:dyDescent="0.35">
      <c r="C41" t="s">
        <v>929</v>
      </c>
    </row>
    <row r="42" spans="1:3" x14ac:dyDescent="0.35">
      <c r="C42" t="s">
        <v>935</v>
      </c>
    </row>
    <row r="43" spans="1:3" x14ac:dyDescent="0.35">
      <c r="C43" t="s">
        <v>893</v>
      </c>
    </row>
    <row r="44" spans="1:3" x14ac:dyDescent="0.35">
      <c r="B44" t="s">
        <v>914</v>
      </c>
      <c r="C44" t="s">
        <v>903</v>
      </c>
    </row>
    <row r="45" spans="1:3" x14ac:dyDescent="0.35">
      <c r="C45" t="s">
        <v>906</v>
      </c>
    </row>
    <row r="46" spans="1:3" x14ac:dyDescent="0.35">
      <c r="A46" t="s">
        <v>352</v>
      </c>
      <c r="B46" t="s">
        <v>1255</v>
      </c>
      <c r="C46" t="s">
        <v>929</v>
      </c>
    </row>
    <row r="47" spans="1:3" x14ac:dyDescent="0.35">
      <c r="A47" t="s">
        <v>229</v>
      </c>
      <c r="B47" t="s">
        <v>1255</v>
      </c>
      <c r="C47" t="s">
        <v>912</v>
      </c>
    </row>
    <row r="48" spans="1:3" x14ac:dyDescent="0.35">
      <c r="C48" t="s">
        <v>929</v>
      </c>
    </row>
    <row r="49" spans="1:3" x14ac:dyDescent="0.35">
      <c r="C49" t="s">
        <v>935</v>
      </c>
    </row>
    <row r="50" spans="1:3" x14ac:dyDescent="0.35">
      <c r="C50" t="s">
        <v>893</v>
      </c>
    </row>
    <row r="51" spans="1:3" x14ac:dyDescent="0.35">
      <c r="B51" t="s">
        <v>914</v>
      </c>
      <c r="C51" t="s">
        <v>903</v>
      </c>
    </row>
    <row r="52" spans="1:3" x14ac:dyDescent="0.35">
      <c r="C52" t="s">
        <v>906</v>
      </c>
    </row>
    <row r="53" spans="1:3" x14ac:dyDescent="0.35">
      <c r="A53" t="s">
        <v>109</v>
      </c>
      <c r="B53" t="s">
        <v>1044</v>
      </c>
      <c r="C53" t="s">
        <v>912</v>
      </c>
    </row>
    <row r="54" spans="1:3" x14ac:dyDescent="0.35">
      <c r="C54" t="s">
        <v>929</v>
      </c>
    </row>
    <row r="55" spans="1:3" x14ac:dyDescent="0.35">
      <c r="C55" t="s">
        <v>935</v>
      </c>
    </row>
    <row r="56" spans="1:3" x14ac:dyDescent="0.35">
      <c r="C56" t="s">
        <v>893</v>
      </c>
    </row>
    <row r="57" spans="1:3" x14ac:dyDescent="0.35">
      <c r="B57" t="s">
        <v>914</v>
      </c>
      <c r="C57" t="s">
        <v>903</v>
      </c>
    </row>
    <row r="58" spans="1:3" x14ac:dyDescent="0.35">
      <c r="C58" t="s">
        <v>906</v>
      </c>
    </row>
    <row r="59" spans="1:3" x14ac:dyDescent="0.35">
      <c r="A59" t="s">
        <v>702</v>
      </c>
      <c r="B59" t="s">
        <v>1044</v>
      </c>
      <c r="C59" t="s">
        <v>912</v>
      </c>
    </row>
    <row r="60" spans="1:3" x14ac:dyDescent="0.35">
      <c r="C60" t="s">
        <v>929</v>
      </c>
    </row>
    <row r="61" spans="1:3" x14ac:dyDescent="0.35">
      <c r="C61" t="s">
        <v>893</v>
      </c>
    </row>
    <row r="62" spans="1:3" x14ac:dyDescent="0.35">
      <c r="B62" t="s">
        <v>914</v>
      </c>
      <c r="C62" t="s">
        <v>903</v>
      </c>
    </row>
    <row r="63" spans="1:3" x14ac:dyDescent="0.35">
      <c r="C63" t="s">
        <v>906</v>
      </c>
    </row>
    <row r="64" spans="1:3" x14ac:dyDescent="0.35">
      <c r="A64" t="s">
        <v>218</v>
      </c>
      <c r="B64" t="s">
        <v>928</v>
      </c>
      <c r="C64" t="s">
        <v>929</v>
      </c>
    </row>
    <row r="65" spans="1:3" x14ac:dyDescent="0.35">
      <c r="A65" t="s">
        <v>130</v>
      </c>
      <c r="B65" t="s">
        <v>1044</v>
      </c>
      <c r="C65" t="s">
        <v>929</v>
      </c>
    </row>
    <row r="66" spans="1:3" x14ac:dyDescent="0.35">
      <c r="A66" t="s">
        <v>137</v>
      </c>
      <c r="B66" t="s">
        <v>1044</v>
      </c>
      <c r="C66" t="s">
        <v>929</v>
      </c>
    </row>
    <row r="67" spans="1:3" x14ac:dyDescent="0.35">
      <c r="A67" t="s">
        <v>852</v>
      </c>
      <c r="B67" t="s">
        <v>928</v>
      </c>
      <c r="C67" t="s">
        <v>929</v>
      </c>
    </row>
    <row r="68" spans="1:3" x14ac:dyDescent="0.35">
      <c r="A68" t="s">
        <v>142</v>
      </c>
      <c r="B68" t="s">
        <v>1044</v>
      </c>
      <c r="C68" t="s">
        <v>929</v>
      </c>
    </row>
    <row r="69" spans="1:3" x14ac:dyDescent="0.35">
      <c r="A69" t="s">
        <v>357</v>
      </c>
      <c r="B69" t="s">
        <v>1255</v>
      </c>
      <c r="C69" t="s">
        <v>912</v>
      </c>
    </row>
    <row r="70" spans="1:3" x14ac:dyDescent="0.35">
      <c r="C70" t="s">
        <v>929</v>
      </c>
    </row>
    <row r="71" spans="1:3" x14ac:dyDescent="0.35">
      <c r="C71" t="s">
        <v>935</v>
      </c>
    </row>
    <row r="72" spans="1:3" x14ac:dyDescent="0.35">
      <c r="C72" t="s">
        <v>893</v>
      </c>
    </row>
    <row r="73" spans="1:3" x14ac:dyDescent="0.35">
      <c r="B73" t="s">
        <v>914</v>
      </c>
      <c r="C73" t="s">
        <v>903</v>
      </c>
    </row>
    <row r="74" spans="1:3" x14ac:dyDescent="0.35">
      <c r="C74" t="s">
        <v>906</v>
      </c>
    </row>
    <row r="75" spans="1:3" x14ac:dyDescent="0.35">
      <c r="A75" t="s">
        <v>386</v>
      </c>
      <c r="B75" t="s">
        <v>1255</v>
      </c>
      <c r="C75" t="s">
        <v>912</v>
      </c>
    </row>
    <row r="76" spans="1:3" x14ac:dyDescent="0.35">
      <c r="C76" t="s">
        <v>929</v>
      </c>
    </row>
    <row r="77" spans="1:3" x14ac:dyDescent="0.35">
      <c r="C77" t="s">
        <v>935</v>
      </c>
    </row>
    <row r="78" spans="1:3" x14ac:dyDescent="0.35">
      <c r="C78" t="s">
        <v>893</v>
      </c>
    </row>
    <row r="79" spans="1:3" x14ac:dyDescent="0.35">
      <c r="B79" t="s">
        <v>914</v>
      </c>
      <c r="C79" t="s">
        <v>903</v>
      </c>
    </row>
    <row r="80" spans="1:3" x14ac:dyDescent="0.35">
      <c r="C80" t="s">
        <v>906</v>
      </c>
    </row>
    <row r="81" spans="1:3" x14ac:dyDescent="0.35">
      <c r="A81" t="s">
        <v>403</v>
      </c>
      <c r="B81" t="s">
        <v>1255</v>
      </c>
      <c r="C81" t="s">
        <v>912</v>
      </c>
    </row>
    <row r="82" spans="1:3" x14ac:dyDescent="0.35">
      <c r="C82" t="s">
        <v>929</v>
      </c>
    </row>
    <row r="83" spans="1:3" x14ac:dyDescent="0.35">
      <c r="C83" t="s">
        <v>893</v>
      </c>
    </row>
    <row r="84" spans="1:3" x14ac:dyDescent="0.35">
      <c r="B84" t="s">
        <v>914</v>
      </c>
      <c r="C84" t="s">
        <v>903</v>
      </c>
    </row>
    <row r="85" spans="1:3" x14ac:dyDescent="0.35">
      <c r="C85" t="s">
        <v>906</v>
      </c>
    </row>
    <row r="86" spans="1:3" x14ac:dyDescent="0.35">
      <c r="A86" t="s">
        <v>1258</v>
      </c>
      <c r="B86" t="s">
        <v>914</v>
      </c>
      <c r="C86" t="s">
        <v>903</v>
      </c>
    </row>
    <row r="87" spans="1:3" x14ac:dyDescent="0.35">
      <c r="A87" t="s">
        <v>147</v>
      </c>
      <c r="B87" t="s">
        <v>1044</v>
      </c>
      <c r="C87" t="s">
        <v>929</v>
      </c>
    </row>
    <row r="88" spans="1:3" x14ac:dyDescent="0.35">
      <c r="A88" t="s">
        <v>419</v>
      </c>
      <c r="B88" t="s">
        <v>1255</v>
      </c>
      <c r="C88" t="s">
        <v>912</v>
      </c>
    </row>
    <row r="89" spans="1:3" x14ac:dyDescent="0.35">
      <c r="C89" t="s">
        <v>929</v>
      </c>
    </row>
    <row r="90" spans="1:3" x14ac:dyDescent="0.35">
      <c r="C90" t="s">
        <v>893</v>
      </c>
    </row>
    <row r="91" spans="1:3" x14ac:dyDescent="0.35">
      <c r="B91" t="s">
        <v>914</v>
      </c>
      <c r="C91" t="s">
        <v>903</v>
      </c>
    </row>
    <row r="92" spans="1:3" x14ac:dyDescent="0.35">
      <c r="C92" t="s">
        <v>906</v>
      </c>
    </row>
    <row r="93" spans="1:3" x14ac:dyDescent="0.35">
      <c r="A93" t="s">
        <v>876</v>
      </c>
    </row>
  </sheetData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D6609-B925-4761-9ADC-A65C3871532A}">
  <sheetPr codeName="Sheet10"/>
  <dimension ref="B1:C10814"/>
  <sheetViews>
    <sheetView topLeftCell="A1563" workbookViewId="0">
      <selection activeCell="B1576" sqref="B1576"/>
    </sheetView>
  </sheetViews>
  <sheetFormatPr defaultRowHeight="14.5" x14ac:dyDescent="0.35"/>
  <cols>
    <col min="2" max="2" width="13.7265625" bestFit="1" customWidth="1"/>
    <col min="3" max="3" width="23.54296875" customWidth="1"/>
  </cols>
  <sheetData>
    <row r="1" spans="2:3" x14ac:dyDescent="0.35">
      <c r="B1" t="s">
        <v>1259</v>
      </c>
      <c r="C1" t="s">
        <v>1260</v>
      </c>
    </row>
    <row r="2" spans="2:3" x14ac:dyDescent="0.35">
      <c r="B2" t="s">
        <v>1195</v>
      </c>
      <c r="C2" t="s">
        <v>1195</v>
      </c>
    </row>
    <row r="3" spans="2:3" x14ac:dyDescent="0.35">
      <c r="B3" t="s">
        <v>1195</v>
      </c>
      <c r="C3" t="s">
        <v>1195</v>
      </c>
    </row>
    <row r="4" spans="2:3" x14ac:dyDescent="0.35">
      <c r="B4" t="s">
        <v>1195</v>
      </c>
      <c r="C4" t="s">
        <v>1195</v>
      </c>
    </row>
    <row r="5" spans="2:3" x14ac:dyDescent="0.35">
      <c r="B5" t="s">
        <v>1195</v>
      </c>
      <c r="C5" t="s">
        <v>1195</v>
      </c>
    </row>
    <row r="6" spans="2:3" x14ac:dyDescent="0.35">
      <c r="B6" t="s">
        <v>1195</v>
      </c>
      <c r="C6" t="s">
        <v>1195</v>
      </c>
    </row>
    <row r="7" spans="2:3" x14ac:dyDescent="0.35">
      <c r="B7" t="s">
        <v>1195</v>
      </c>
      <c r="C7" t="s">
        <v>1195</v>
      </c>
    </row>
    <row r="8" spans="2:3" x14ac:dyDescent="0.35">
      <c r="B8" t="s">
        <v>1195</v>
      </c>
      <c r="C8" t="s">
        <v>1195</v>
      </c>
    </row>
    <row r="9" spans="2:3" x14ac:dyDescent="0.35">
      <c r="B9" t="s">
        <v>1195</v>
      </c>
      <c r="C9" t="s">
        <v>1195</v>
      </c>
    </row>
    <row r="10" spans="2:3" x14ac:dyDescent="0.35">
      <c r="B10" t="s">
        <v>1195</v>
      </c>
      <c r="C10" t="s">
        <v>1195</v>
      </c>
    </row>
    <row r="11" spans="2:3" x14ac:dyDescent="0.35">
      <c r="B11" t="s">
        <v>1168</v>
      </c>
      <c r="C11" t="s">
        <v>1169</v>
      </c>
    </row>
    <row r="12" spans="2:3" x14ac:dyDescent="0.35">
      <c r="B12" t="s">
        <v>1195</v>
      </c>
      <c r="C12" t="s">
        <v>1195</v>
      </c>
    </row>
    <row r="13" spans="2:3" x14ac:dyDescent="0.35">
      <c r="B13" t="s">
        <v>1195</v>
      </c>
      <c r="C13" t="s">
        <v>1195</v>
      </c>
    </row>
    <row r="14" spans="2:3" x14ac:dyDescent="0.35">
      <c r="B14" t="s">
        <v>1195</v>
      </c>
      <c r="C14" t="s">
        <v>1195</v>
      </c>
    </row>
    <row r="15" spans="2:3" x14ac:dyDescent="0.35">
      <c r="B15" t="s">
        <v>1168</v>
      </c>
      <c r="C15" t="s">
        <v>1169</v>
      </c>
    </row>
    <row r="16" spans="2:3" x14ac:dyDescent="0.35">
      <c r="B16" t="s">
        <v>1195</v>
      </c>
      <c r="C16" t="s">
        <v>1195</v>
      </c>
    </row>
    <row r="17" spans="2:3" x14ac:dyDescent="0.35">
      <c r="B17" t="s">
        <v>1195</v>
      </c>
      <c r="C17" t="s">
        <v>1195</v>
      </c>
    </row>
    <row r="18" spans="2:3" x14ac:dyDescent="0.35">
      <c r="B18" t="s">
        <v>6</v>
      </c>
      <c r="C18" t="s">
        <v>7</v>
      </c>
    </row>
    <row r="19" spans="2:3" x14ac:dyDescent="0.35">
      <c r="B19" t="s">
        <v>1195</v>
      </c>
      <c r="C19" t="s">
        <v>1195</v>
      </c>
    </row>
    <row r="20" spans="2:3" x14ac:dyDescent="0.35">
      <c r="B20" t="s">
        <v>1195</v>
      </c>
      <c r="C20" t="s">
        <v>1195</v>
      </c>
    </row>
    <row r="21" spans="2:3" x14ac:dyDescent="0.35">
      <c r="B21" t="s">
        <v>1195</v>
      </c>
      <c r="C21" t="s">
        <v>1195</v>
      </c>
    </row>
    <row r="22" spans="2:3" x14ac:dyDescent="0.35">
      <c r="B22" t="s">
        <v>1125</v>
      </c>
      <c r="C22" t="s">
        <v>1126</v>
      </c>
    </row>
    <row r="23" spans="2:3" x14ac:dyDescent="0.35">
      <c r="B23" t="s">
        <v>1195</v>
      </c>
      <c r="C23" t="s">
        <v>1195</v>
      </c>
    </row>
    <row r="24" spans="2:3" x14ac:dyDescent="0.35">
      <c r="B24" t="s">
        <v>787</v>
      </c>
      <c r="C24" t="s">
        <v>788</v>
      </c>
    </row>
    <row r="25" spans="2:3" x14ac:dyDescent="0.35">
      <c r="B25" t="s">
        <v>1195</v>
      </c>
      <c r="C25" t="s">
        <v>1195</v>
      </c>
    </row>
    <row r="26" spans="2:3" x14ac:dyDescent="0.35">
      <c r="B26" t="s">
        <v>1195</v>
      </c>
      <c r="C26" t="s">
        <v>1195</v>
      </c>
    </row>
    <row r="27" spans="2:3" x14ac:dyDescent="0.35">
      <c r="B27" t="s">
        <v>1143</v>
      </c>
      <c r="C27" t="s">
        <v>1144</v>
      </c>
    </row>
    <row r="28" spans="2:3" x14ac:dyDescent="0.35">
      <c r="B28" t="s">
        <v>1133</v>
      </c>
      <c r="C28" t="s">
        <v>1134</v>
      </c>
    </row>
    <row r="29" spans="2:3" x14ac:dyDescent="0.35">
      <c r="B29" t="s">
        <v>1195</v>
      </c>
      <c r="C29" t="s">
        <v>1195</v>
      </c>
    </row>
    <row r="30" spans="2:3" x14ac:dyDescent="0.35">
      <c r="B30" t="s">
        <v>1195</v>
      </c>
      <c r="C30" t="s">
        <v>1195</v>
      </c>
    </row>
    <row r="31" spans="2:3" x14ac:dyDescent="0.35">
      <c r="B31" t="s">
        <v>1195</v>
      </c>
      <c r="C31" t="s">
        <v>1195</v>
      </c>
    </row>
    <row r="32" spans="2:3" x14ac:dyDescent="0.35">
      <c r="B32" t="s">
        <v>1195</v>
      </c>
      <c r="C32" t="s">
        <v>1195</v>
      </c>
    </row>
    <row r="33" spans="2:3" x14ac:dyDescent="0.35">
      <c r="B33" t="s">
        <v>1094</v>
      </c>
      <c r="C33" t="s">
        <v>1095</v>
      </c>
    </row>
    <row r="34" spans="2:3" x14ac:dyDescent="0.35">
      <c r="B34" t="s">
        <v>1195</v>
      </c>
      <c r="C34" t="s">
        <v>1195</v>
      </c>
    </row>
    <row r="35" spans="2:3" x14ac:dyDescent="0.35">
      <c r="B35" t="s">
        <v>1195</v>
      </c>
      <c r="C35" t="s">
        <v>1195</v>
      </c>
    </row>
    <row r="36" spans="2:3" x14ac:dyDescent="0.35">
      <c r="B36" t="s">
        <v>1195</v>
      </c>
      <c r="C36" t="s">
        <v>1195</v>
      </c>
    </row>
    <row r="37" spans="2:3" x14ac:dyDescent="0.35">
      <c r="B37" t="s">
        <v>1195</v>
      </c>
      <c r="C37" t="s">
        <v>1195</v>
      </c>
    </row>
    <row r="38" spans="2:3" x14ac:dyDescent="0.35">
      <c r="B38" t="s">
        <v>1195</v>
      </c>
      <c r="C38" t="s">
        <v>1195</v>
      </c>
    </row>
    <row r="39" spans="2:3" x14ac:dyDescent="0.35">
      <c r="B39" t="s">
        <v>1195</v>
      </c>
      <c r="C39" t="s">
        <v>1195</v>
      </c>
    </row>
    <row r="40" spans="2:3" x14ac:dyDescent="0.35">
      <c r="B40" t="s">
        <v>1195</v>
      </c>
      <c r="C40" t="s">
        <v>1195</v>
      </c>
    </row>
    <row r="41" spans="2:3" x14ac:dyDescent="0.35">
      <c r="B41" t="s">
        <v>1149</v>
      </c>
      <c r="C41" t="s">
        <v>1150</v>
      </c>
    </row>
    <row r="42" spans="2:3" x14ac:dyDescent="0.35">
      <c r="B42" t="s">
        <v>1092</v>
      </c>
      <c r="C42" t="s">
        <v>1093</v>
      </c>
    </row>
    <row r="43" spans="2:3" x14ac:dyDescent="0.35">
      <c r="B43" t="s">
        <v>1195</v>
      </c>
      <c r="C43" t="s">
        <v>1195</v>
      </c>
    </row>
    <row r="44" spans="2:3" x14ac:dyDescent="0.35">
      <c r="B44" t="s">
        <v>1195</v>
      </c>
      <c r="C44" t="s">
        <v>1195</v>
      </c>
    </row>
    <row r="45" spans="2:3" x14ac:dyDescent="0.35">
      <c r="B45" t="s">
        <v>40</v>
      </c>
      <c r="C45" t="s">
        <v>41</v>
      </c>
    </row>
    <row r="46" spans="2:3" x14ac:dyDescent="0.35">
      <c r="B46" t="s">
        <v>34</v>
      </c>
      <c r="C46" t="s">
        <v>35</v>
      </c>
    </row>
    <row r="47" spans="2:3" x14ac:dyDescent="0.35">
      <c r="B47" t="s">
        <v>963</v>
      </c>
      <c r="C47" t="s">
        <v>964</v>
      </c>
    </row>
    <row r="48" spans="2:3" x14ac:dyDescent="0.35">
      <c r="B48" t="s">
        <v>16</v>
      </c>
      <c r="C48" t="s">
        <v>17</v>
      </c>
    </row>
    <row r="49" spans="2:3" x14ac:dyDescent="0.35">
      <c r="B49" t="s">
        <v>24</v>
      </c>
      <c r="C49" t="s">
        <v>25</v>
      </c>
    </row>
    <row r="50" spans="2:3" x14ac:dyDescent="0.35">
      <c r="B50" t="s">
        <v>30</v>
      </c>
      <c r="C50" t="s">
        <v>31</v>
      </c>
    </row>
    <row r="51" spans="2:3" x14ac:dyDescent="0.35">
      <c r="B51" t="s">
        <v>14</v>
      </c>
      <c r="C51" t="s">
        <v>15</v>
      </c>
    </row>
    <row r="52" spans="2:3" x14ac:dyDescent="0.35">
      <c r="B52" t="s">
        <v>18</v>
      </c>
      <c r="C52" t="s">
        <v>19</v>
      </c>
    </row>
    <row r="53" spans="2:3" x14ac:dyDescent="0.35">
      <c r="B53" t="s">
        <v>30</v>
      </c>
      <c r="C53" t="s">
        <v>31</v>
      </c>
    </row>
    <row r="54" spans="2:3" x14ac:dyDescent="0.35">
      <c r="B54" t="s">
        <v>42</v>
      </c>
      <c r="C54" t="s">
        <v>43</v>
      </c>
    </row>
    <row r="55" spans="2:3" x14ac:dyDescent="0.35">
      <c r="B55" t="s">
        <v>24</v>
      </c>
      <c r="C55" t="s">
        <v>25</v>
      </c>
    </row>
    <row r="56" spans="2:3" x14ac:dyDescent="0.35">
      <c r="B56" t="s">
        <v>18</v>
      </c>
      <c r="C56" t="s">
        <v>19</v>
      </c>
    </row>
    <row r="57" spans="2:3" x14ac:dyDescent="0.35">
      <c r="B57" t="s">
        <v>40</v>
      </c>
      <c r="C57" t="s">
        <v>41</v>
      </c>
    </row>
    <row r="58" spans="2:3" x14ac:dyDescent="0.35">
      <c r="B58" t="s">
        <v>20</v>
      </c>
      <c r="C58" t="s">
        <v>21</v>
      </c>
    </row>
    <row r="59" spans="2:3" x14ac:dyDescent="0.35">
      <c r="B59" t="s">
        <v>180</v>
      </c>
      <c r="C59" t="s">
        <v>181</v>
      </c>
    </row>
    <row r="60" spans="2:3" x14ac:dyDescent="0.35">
      <c r="B60" t="s">
        <v>700</v>
      </c>
      <c r="C60" t="s">
        <v>701</v>
      </c>
    </row>
    <row r="61" spans="2:3" x14ac:dyDescent="0.35">
      <c r="B61" t="s">
        <v>30</v>
      </c>
      <c r="C61" t="s">
        <v>31</v>
      </c>
    </row>
    <row r="62" spans="2:3" x14ac:dyDescent="0.35">
      <c r="B62" t="s">
        <v>16</v>
      </c>
      <c r="C62" t="s">
        <v>17</v>
      </c>
    </row>
    <row r="63" spans="2:3" x14ac:dyDescent="0.35">
      <c r="B63" t="s">
        <v>24</v>
      </c>
      <c r="C63" t="s">
        <v>25</v>
      </c>
    </row>
    <row r="64" spans="2:3" x14ac:dyDescent="0.35">
      <c r="B64" t="s">
        <v>260</v>
      </c>
      <c r="C64" t="s">
        <v>261</v>
      </c>
    </row>
    <row r="65" spans="2:3" x14ac:dyDescent="0.35">
      <c r="B65" t="s">
        <v>252</v>
      </c>
      <c r="C65" t="s">
        <v>253</v>
      </c>
    </row>
    <row r="66" spans="2:3" x14ac:dyDescent="0.35">
      <c r="B66" t="s">
        <v>316</v>
      </c>
      <c r="C66" t="s">
        <v>317</v>
      </c>
    </row>
    <row r="67" spans="2:3" x14ac:dyDescent="0.35">
      <c r="B67" t="s">
        <v>26</v>
      </c>
      <c r="C67" t="s">
        <v>27</v>
      </c>
    </row>
    <row r="68" spans="2:3" x14ac:dyDescent="0.35">
      <c r="B68" t="s">
        <v>30</v>
      </c>
      <c r="C68" t="s">
        <v>31</v>
      </c>
    </row>
    <row r="69" spans="2:3" x14ac:dyDescent="0.35">
      <c r="B69" t="s">
        <v>32</v>
      </c>
      <c r="C69" t="s">
        <v>33</v>
      </c>
    </row>
    <row r="70" spans="2:3" x14ac:dyDescent="0.35">
      <c r="B70" t="s">
        <v>16</v>
      </c>
      <c r="C70" t="s">
        <v>17</v>
      </c>
    </row>
    <row r="71" spans="2:3" x14ac:dyDescent="0.35">
      <c r="B71" t="s">
        <v>295</v>
      </c>
      <c r="C71" t="s">
        <v>296</v>
      </c>
    </row>
    <row r="72" spans="2:3" x14ac:dyDescent="0.35">
      <c r="B72" t="s">
        <v>30</v>
      </c>
      <c r="C72" t="s">
        <v>31</v>
      </c>
    </row>
    <row r="73" spans="2:3" x14ac:dyDescent="0.35">
      <c r="B73" t="s">
        <v>180</v>
      </c>
      <c r="C73" t="s">
        <v>1261</v>
      </c>
    </row>
    <row r="74" spans="2:3" x14ac:dyDescent="0.35">
      <c r="B74" t="s">
        <v>178</v>
      </c>
      <c r="C74" t="s">
        <v>179</v>
      </c>
    </row>
    <row r="75" spans="2:3" x14ac:dyDescent="0.35">
      <c r="B75" t="s">
        <v>30</v>
      </c>
      <c r="C75" t="s">
        <v>31</v>
      </c>
    </row>
    <row r="76" spans="2:3" x14ac:dyDescent="0.35">
      <c r="B76" t="s">
        <v>180</v>
      </c>
      <c r="C76" t="s">
        <v>181</v>
      </c>
    </row>
    <row r="77" spans="2:3" x14ac:dyDescent="0.35">
      <c r="B77" t="s">
        <v>36</v>
      </c>
      <c r="C77" t="s">
        <v>37</v>
      </c>
    </row>
    <row r="78" spans="2:3" x14ac:dyDescent="0.35">
      <c r="B78" t="s">
        <v>14</v>
      </c>
      <c r="C78" t="s">
        <v>15</v>
      </c>
    </row>
    <row r="79" spans="2:3" x14ac:dyDescent="0.35">
      <c r="B79" t="s">
        <v>14</v>
      </c>
      <c r="C79" t="s">
        <v>15</v>
      </c>
    </row>
    <row r="80" spans="2:3" x14ac:dyDescent="0.35">
      <c r="B80" t="s">
        <v>30</v>
      </c>
      <c r="C80" t="s">
        <v>31</v>
      </c>
    </row>
    <row r="81" spans="2:3" x14ac:dyDescent="0.35">
      <c r="B81" t="s">
        <v>316</v>
      </c>
      <c r="C81" t="s">
        <v>317</v>
      </c>
    </row>
    <row r="82" spans="2:3" x14ac:dyDescent="0.35">
      <c r="B82" t="s">
        <v>42</v>
      </c>
      <c r="C82" t="s">
        <v>43</v>
      </c>
    </row>
    <row r="83" spans="2:3" x14ac:dyDescent="0.35">
      <c r="B83" t="s">
        <v>1098</v>
      </c>
      <c r="C83" t="s">
        <v>1099</v>
      </c>
    </row>
    <row r="84" spans="2:3" x14ac:dyDescent="0.35">
      <c r="B84" t="s">
        <v>698</v>
      </c>
      <c r="C84" t="s">
        <v>699</v>
      </c>
    </row>
    <row r="85" spans="2:3" x14ac:dyDescent="0.35">
      <c r="B85" t="s">
        <v>393</v>
      </c>
      <c r="C85" t="s">
        <v>394</v>
      </c>
    </row>
    <row r="86" spans="2:3" x14ac:dyDescent="0.35">
      <c r="B86" t="s">
        <v>16</v>
      </c>
      <c r="C86" t="s">
        <v>17</v>
      </c>
    </row>
    <row r="87" spans="2:3" x14ac:dyDescent="0.35">
      <c r="B87" t="s">
        <v>180</v>
      </c>
      <c r="C87" t="s">
        <v>1261</v>
      </c>
    </row>
    <row r="88" spans="2:3" x14ac:dyDescent="0.35">
      <c r="B88" t="s">
        <v>676</v>
      </c>
      <c r="C88" t="s">
        <v>677</v>
      </c>
    </row>
    <row r="89" spans="2:3" x14ac:dyDescent="0.35">
      <c r="B89" t="s">
        <v>230</v>
      </c>
      <c r="C89" t="s">
        <v>231</v>
      </c>
    </row>
    <row r="90" spans="2:3" x14ac:dyDescent="0.35">
      <c r="B90" t="s">
        <v>34</v>
      </c>
      <c r="C90" t="s">
        <v>35</v>
      </c>
    </row>
    <row r="91" spans="2:3" x14ac:dyDescent="0.35">
      <c r="B91" t="s">
        <v>674</v>
      </c>
      <c r="C91" t="s">
        <v>675</v>
      </c>
    </row>
    <row r="92" spans="2:3" x14ac:dyDescent="0.35">
      <c r="B92" t="s">
        <v>30</v>
      </c>
      <c r="C92" t="s">
        <v>31</v>
      </c>
    </row>
    <row r="93" spans="2:3" x14ac:dyDescent="0.35">
      <c r="B93" t="s">
        <v>18</v>
      </c>
      <c r="C93" t="s">
        <v>19</v>
      </c>
    </row>
    <row r="94" spans="2:3" x14ac:dyDescent="0.35">
      <c r="B94" t="s">
        <v>32</v>
      </c>
      <c r="C94" t="s">
        <v>33</v>
      </c>
    </row>
    <row r="95" spans="2:3" x14ac:dyDescent="0.35">
      <c r="B95" t="s">
        <v>180</v>
      </c>
      <c r="C95" t="s">
        <v>1261</v>
      </c>
    </row>
    <row r="96" spans="2:3" x14ac:dyDescent="0.35">
      <c r="B96" t="s">
        <v>676</v>
      </c>
      <c r="C96" t="s">
        <v>677</v>
      </c>
    </row>
    <row r="97" spans="2:3" x14ac:dyDescent="0.35">
      <c r="B97" t="s">
        <v>258</v>
      </c>
      <c r="C97" t="s">
        <v>259</v>
      </c>
    </row>
    <row r="98" spans="2:3" x14ac:dyDescent="0.35">
      <c r="B98" t="s">
        <v>30</v>
      </c>
      <c r="C98" t="s">
        <v>31</v>
      </c>
    </row>
    <row r="99" spans="2:3" x14ac:dyDescent="0.35">
      <c r="B99" t="s">
        <v>14</v>
      </c>
      <c r="C99" t="s">
        <v>15</v>
      </c>
    </row>
    <row r="100" spans="2:3" x14ac:dyDescent="0.35">
      <c r="B100" t="s">
        <v>30</v>
      </c>
      <c r="C100" t="s">
        <v>31</v>
      </c>
    </row>
    <row r="101" spans="2:3" x14ac:dyDescent="0.35">
      <c r="B101" t="s">
        <v>16</v>
      </c>
      <c r="C101" t="s">
        <v>17</v>
      </c>
    </row>
    <row r="102" spans="2:3" x14ac:dyDescent="0.35">
      <c r="B102" t="s">
        <v>28</v>
      </c>
      <c r="C102" t="s">
        <v>29</v>
      </c>
    </row>
    <row r="103" spans="2:3" x14ac:dyDescent="0.35">
      <c r="B103" t="s">
        <v>36</v>
      </c>
      <c r="C103" t="s">
        <v>37</v>
      </c>
    </row>
    <row r="104" spans="2:3" x14ac:dyDescent="0.35">
      <c r="B104" t="s">
        <v>32</v>
      </c>
      <c r="C104" t="s">
        <v>33</v>
      </c>
    </row>
    <row r="105" spans="2:3" x14ac:dyDescent="0.35">
      <c r="B105" t="s">
        <v>260</v>
      </c>
      <c r="C105" t="s">
        <v>261</v>
      </c>
    </row>
    <row r="106" spans="2:3" x14ac:dyDescent="0.35">
      <c r="B106" t="s">
        <v>30</v>
      </c>
      <c r="C106" t="s">
        <v>31</v>
      </c>
    </row>
    <row r="107" spans="2:3" x14ac:dyDescent="0.35">
      <c r="B107" t="s">
        <v>212</v>
      </c>
      <c r="C107" t="s">
        <v>213</v>
      </c>
    </row>
    <row r="108" spans="2:3" x14ac:dyDescent="0.35">
      <c r="B108" t="s">
        <v>34</v>
      </c>
      <c r="C108" t="s">
        <v>35</v>
      </c>
    </row>
    <row r="109" spans="2:3" x14ac:dyDescent="0.35">
      <c r="B109" t="s">
        <v>34</v>
      </c>
      <c r="C109" t="s">
        <v>35</v>
      </c>
    </row>
    <row r="110" spans="2:3" x14ac:dyDescent="0.35">
      <c r="B110" t="s">
        <v>88</v>
      </c>
      <c r="C110" t="s">
        <v>89</v>
      </c>
    </row>
    <row r="111" spans="2:3" x14ac:dyDescent="0.35">
      <c r="B111" t="s">
        <v>42</v>
      </c>
      <c r="C111" t="s">
        <v>43</v>
      </c>
    </row>
    <row r="112" spans="2:3" x14ac:dyDescent="0.35">
      <c r="B112" t="s">
        <v>34</v>
      </c>
      <c r="C112" t="s">
        <v>35</v>
      </c>
    </row>
    <row r="113" spans="2:3" x14ac:dyDescent="0.35">
      <c r="B113" t="s">
        <v>36</v>
      </c>
      <c r="C113" t="s">
        <v>37</v>
      </c>
    </row>
    <row r="114" spans="2:3" x14ac:dyDescent="0.35">
      <c r="B114" t="s">
        <v>180</v>
      </c>
      <c r="C114" t="s">
        <v>1261</v>
      </c>
    </row>
    <row r="115" spans="2:3" x14ac:dyDescent="0.35">
      <c r="B115" t="s">
        <v>232</v>
      </c>
      <c r="C115" t="s">
        <v>233</v>
      </c>
    </row>
    <row r="116" spans="2:3" x14ac:dyDescent="0.35">
      <c r="B116" t="s">
        <v>36</v>
      </c>
      <c r="C116" t="s">
        <v>37</v>
      </c>
    </row>
    <row r="117" spans="2:3" x14ac:dyDescent="0.35">
      <c r="B117" t="s">
        <v>283</v>
      </c>
      <c r="C117" t="s">
        <v>284</v>
      </c>
    </row>
    <row r="118" spans="2:3" x14ac:dyDescent="0.35">
      <c r="B118" t="s">
        <v>260</v>
      </c>
      <c r="C118" t="s">
        <v>261</v>
      </c>
    </row>
    <row r="119" spans="2:3" x14ac:dyDescent="0.35">
      <c r="B119" t="s">
        <v>230</v>
      </c>
      <c r="C119" t="s">
        <v>231</v>
      </c>
    </row>
    <row r="120" spans="2:3" x14ac:dyDescent="0.35">
      <c r="B120" t="s">
        <v>260</v>
      </c>
      <c r="C120" t="s">
        <v>261</v>
      </c>
    </row>
    <row r="121" spans="2:3" x14ac:dyDescent="0.35">
      <c r="B121" t="s">
        <v>260</v>
      </c>
      <c r="C121" t="s">
        <v>261</v>
      </c>
    </row>
    <row r="122" spans="2:3" x14ac:dyDescent="0.35">
      <c r="B122" t="s">
        <v>20</v>
      </c>
      <c r="C122" t="s">
        <v>21</v>
      </c>
    </row>
    <row r="123" spans="2:3" x14ac:dyDescent="0.35">
      <c r="B123" t="s">
        <v>18</v>
      </c>
      <c r="C123" t="s">
        <v>19</v>
      </c>
    </row>
    <row r="124" spans="2:3" x14ac:dyDescent="0.35">
      <c r="B124" t="s">
        <v>20</v>
      </c>
      <c r="C124" t="s">
        <v>21</v>
      </c>
    </row>
    <row r="125" spans="2:3" x14ac:dyDescent="0.35">
      <c r="B125" t="s">
        <v>260</v>
      </c>
      <c r="C125" t="s">
        <v>261</v>
      </c>
    </row>
    <row r="126" spans="2:3" x14ac:dyDescent="0.35">
      <c r="B126" t="s">
        <v>36</v>
      </c>
      <c r="C126" t="s">
        <v>37</v>
      </c>
    </row>
    <row r="127" spans="2:3" x14ac:dyDescent="0.35">
      <c r="B127" t="s">
        <v>180</v>
      </c>
      <c r="C127" t="s">
        <v>181</v>
      </c>
    </row>
    <row r="128" spans="2:3" x14ac:dyDescent="0.35">
      <c r="B128" t="s">
        <v>260</v>
      </c>
      <c r="C128" t="s">
        <v>261</v>
      </c>
    </row>
    <row r="129" spans="2:3" x14ac:dyDescent="0.35">
      <c r="B129" t="s">
        <v>22</v>
      </c>
      <c r="C129" t="s">
        <v>23</v>
      </c>
    </row>
    <row r="130" spans="2:3" x14ac:dyDescent="0.35">
      <c r="B130" t="s">
        <v>20</v>
      </c>
      <c r="C130" t="s">
        <v>21</v>
      </c>
    </row>
    <row r="131" spans="2:3" x14ac:dyDescent="0.35">
      <c r="B131" t="s">
        <v>180</v>
      </c>
      <c r="C131" t="s">
        <v>1261</v>
      </c>
    </row>
    <row r="132" spans="2:3" x14ac:dyDescent="0.35">
      <c r="B132" t="s">
        <v>32</v>
      </c>
      <c r="C132" t="s">
        <v>33</v>
      </c>
    </row>
    <row r="133" spans="2:3" x14ac:dyDescent="0.35">
      <c r="B133" t="s">
        <v>42</v>
      </c>
      <c r="C133" t="s">
        <v>43</v>
      </c>
    </row>
    <row r="134" spans="2:3" x14ac:dyDescent="0.35">
      <c r="B134" t="s">
        <v>24</v>
      </c>
      <c r="C134" t="s">
        <v>25</v>
      </c>
    </row>
    <row r="135" spans="2:3" x14ac:dyDescent="0.35">
      <c r="B135" t="s">
        <v>32</v>
      </c>
      <c r="C135" t="s">
        <v>33</v>
      </c>
    </row>
    <row r="136" spans="2:3" x14ac:dyDescent="0.35">
      <c r="B136" t="s">
        <v>32</v>
      </c>
      <c r="C136" t="s">
        <v>33</v>
      </c>
    </row>
    <row r="137" spans="2:3" x14ac:dyDescent="0.35">
      <c r="B137" t="s">
        <v>260</v>
      </c>
      <c r="C137" t="s">
        <v>261</v>
      </c>
    </row>
    <row r="138" spans="2:3" x14ac:dyDescent="0.35">
      <c r="B138" t="s">
        <v>393</v>
      </c>
      <c r="C138" t="s">
        <v>394</v>
      </c>
    </row>
    <row r="139" spans="2:3" x14ac:dyDescent="0.35">
      <c r="B139" t="s">
        <v>30</v>
      </c>
      <c r="C139" t="s">
        <v>31</v>
      </c>
    </row>
    <row r="140" spans="2:3" x14ac:dyDescent="0.35">
      <c r="B140" t="s">
        <v>120</v>
      </c>
      <c r="C140" t="s">
        <v>121</v>
      </c>
    </row>
    <row r="141" spans="2:3" x14ac:dyDescent="0.35">
      <c r="B141" t="s">
        <v>30</v>
      </c>
      <c r="C141" t="s">
        <v>31</v>
      </c>
    </row>
    <row r="142" spans="2:3" x14ac:dyDescent="0.35">
      <c r="B142" t="s">
        <v>20</v>
      </c>
      <c r="C142" t="s">
        <v>21</v>
      </c>
    </row>
    <row r="143" spans="2:3" x14ac:dyDescent="0.35">
      <c r="B143" t="s">
        <v>40</v>
      </c>
      <c r="C143" t="s">
        <v>41</v>
      </c>
    </row>
    <row r="144" spans="2:3" x14ac:dyDescent="0.35">
      <c r="B144" t="s">
        <v>34</v>
      </c>
      <c r="C144" t="s">
        <v>35</v>
      </c>
    </row>
    <row r="145" spans="2:3" x14ac:dyDescent="0.35">
      <c r="B145" t="s">
        <v>180</v>
      </c>
      <c r="C145" t="s">
        <v>1261</v>
      </c>
    </row>
    <row r="146" spans="2:3" x14ac:dyDescent="0.35">
      <c r="B146" t="s">
        <v>20</v>
      </c>
      <c r="C146" t="s">
        <v>21</v>
      </c>
    </row>
    <row r="147" spans="2:3" x14ac:dyDescent="0.35">
      <c r="B147" t="s">
        <v>14</v>
      </c>
      <c r="C147" t="s">
        <v>15</v>
      </c>
    </row>
    <row r="148" spans="2:3" x14ac:dyDescent="0.35">
      <c r="B148" t="s">
        <v>18</v>
      </c>
      <c r="C148" t="s">
        <v>19</v>
      </c>
    </row>
    <row r="149" spans="2:3" x14ac:dyDescent="0.35">
      <c r="B149" t="s">
        <v>295</v>
      </c>
      <c r="C149" t="s">
        <v>296</v>
      </c>
    </row>
    <row r="150" spans="2:3" x14ac:dyDescent="0.35">
      <c r="B150" t="s">
        <v>230</v>
      </c>
      <c r="C150" t="s">
        <v>231</v>
      </c>
    </row>
    <row r="151" spans="2:3" x14ac:dyDescent="0.35">
      <c r="B151" t="s">
        <v>279</v>
      </c>
      <c r="C151" t="s">
        <v>280</v>
      </c>
    </row>
    <row r="152" spans="2:3" x14ac:dyDescent="0.35">
      <c r="B152" t="s">
        <v>30</v>
      </c>
      <c r="C152" t="s">
        <v>31</v>
      </c>
    </row>
    <row r="153" spans="2:3" x14ac:dyDescent="0.35">
      <c r="B153" t="s">
        <v>30</v>
      </c>
      <c r="C153" t="s">
        <v>31</v>
      </c>
    </row>
    <row r="154" spans="2:3" x14ac:dyDescent="0.35">
      <c r="B154" t="s">
        <v>40</v>
      </c>
      <c r="C154" t="s">
        <v>41</v>
      </c>
    </row>
    <row r="155" spans="2:3" x14ac:dyDescent="0.35">
      <c r="B155" t="s">
        <v>24</v>
      </c>
      <c r="C155" t="s">
        <v>25</v>
      </c>
    </row>
    <row r="156" spans="2:3" x14ac:dyDescent="0.35">
      <c r="B156" t="s">
        <v>34</v>
      </c>
      <c r="C156" t="s">
        <v>35</v>
      </c>
    </row>
    <row r="157" spans="2:3" x14ac:dyDescent="0.35">
      <c r="B157" t="s">
        <v>260</v>
      </c>
      <c r="C157" t="s">
        <v>261</v>
      </c>
    </row>
    <row r="158" spans="2:3" x14ac:dyDescent="0.35">
      <c r="B158" t="s">
        <v>260</v>
      </c>
      <c r="C158" t="s">
        <v>261</v>
      </c>
    </row>
    <row r="159" spans="2:3" x14ac:dyDescent="0.35">
      <c r="B159" t="s">
        <v>176</v>
      </c>
      <c r="C159" t="s">
        <v>177</v>
      </c>
    </row>
    <row r="160" spans="2:3" x14ac:dyDescent="0.35">
      <c r="B160" t="s">
        <v>30</v>
      </c>
      <c r="C160" t="s">
        <v>31</v>
      </c>
    </row>
    <row r="161" spans="2:3" x14ac:dyDescent="0.35">
      <c r="B161" t="s">
        <v>40</v>
      </c>
      <c r="C161" t="s">
        <v>41</v>
      </c>
    </row>
    <row r="162" spans="2:3" x14ac:dyDescent="0.35">
      <c r="B162" t="s">
        <v>32</v>
      </c>
      <c r="C162" t="s">
        <v>33</v>
      </c>
    </row>
    <row r="163" spans="2:3" x14ac:dyDescent="0.35">
      <c r="B163" t="s">
        <v>180</v>
      </c>
      <c r="C163" t="s">
        <v>181</v>
      </c>
    </row>
    <row r="164" spans="2:3" x14ac:dyDescent="0.35">
      <c r="B164" t="s">
        <v>32</v>
      </c>
      <c r="C164" t="s">
        <v>33</v>
      </c>
    </row>
    <row r="165" spans="2:3" x14ac:dyDescent="0.35">
      <c r="B165" t="s">
        <v>16</v>
      </c>
      <c r="C165" t="s">
        <v>17</v>
      </c>
    </row>
    <row r="166" spans="2:3" x14ac:dyDescent="0.35">
      <c r="B166" t="s">
        <v>30</v>
      </c>
      <c r="C166" t="s">
        <v>31</v>
      </c>
    </row>
    <row r="167" spans="2:3" x14ac:dyDescent="0.35">
      <c r="B167" t="s">
        <v>30</v>
      </c>
      <c r="C167" t="s">
        <v>31</v>
      </c>
    </row>
    <row r="168" spans="2:3" x14ac:dyDescent="0.35">
      <c r="B168" t="s">
        <v>16</v>
      </c>
      <c r="C168" t="s">
        <v>17</v>
      </c>
    </row>
    <row r="169" spans="2:3" x14ac:dyDescent="0.35">
      <c r="B169" t="s">
        <v>24</v>
      </c>
      <c r="C169" t="s">
        <v>25</v>
      </c>
    </row>
    <row r="170" spans="2:3" x14ac:dyDescent="0.35">
      <c r="B170" t="s">
        <v>34</v>
      </c>
      <c r="C170" t="s">
        <v>35</v>
      </c>
    </row>
    <row r="171" spans="2:3" x14ac:dyDescent="0.35">
      <c r="B171" t="s">
        <v>28</v>
      </c>
      <c r="C171" t="s">
        <v>29</v>
      </c>
    </row>
    <row r="172" spans="2:3" x14ac:dyDescent="0.35">
      <c r="B172" t="s">
        <v>16</v>
      </c>
      <c r="C172" t="s">
        <v>17</v>
      </c>
    </row>
    <row r="173" spans="2:3" x14ac:dyDescent="0.35">
      <c r="B173" t="s">
        <v>30</v>
      </c>
      <c r="C173" t="s">
        <v>31</v>
      </c>
    </row>
    <row r="174" spans="2:3" x14ac:dyDescent="0.35">
      <c r="B174" t="s">
        <v>30</v>
      </c>
      <c r="C174" t="s">
        <v>31</v>
      </c>
    </row>
    <row r="175" spans="2:3" x14ac:dyDescent="0.35">
      <c r="B175" t="s">
        <v>180</v>
      </c>
      <c r="C175" t="s">
        <v>1261</v>
      </c>
    </row>
    <row r="176" spans="2:3" x14ac:dyDescent="0.35">
      <c r="B176" t="s">
        <v>36</v>
      </c>
      <c r="C176" t="s">
        <v>37</v>
      </c>
    </row>
    <row r="177" spans="2:3" x14ac:dyDescent="0.35">
      <c r="B177" t="s">
        <v>32</v>
      </c>
      <c r="C177" t="s">
        <v>33</v>
      </c>
    </row>
    <row r="178" spans="2:3" x14ac:dyDescent="0.35">
      <c r="B178" t="s">
        <v>30</v>
      </c>
      <c r="C178" t="s">
        <v>31</v>
      </c>
    </row>
    <row r="179" spans="2:3" x14ac:dyDescent="0.35">
      <c r="B179" t="s">
        <v>32</v>
      </c>
      <c r="C179" t="s">
        <v>33</v>
      </c>
    </row>
    <row r="180" spans="2:3" x14ac:dyDescent="0.35">
      <c r="B180" t="s">
        <v>24</v>
      </c>
      <c r="C180" t="s">
        <v>25</v>
      </c>
    </row>
    <row r="181" spans="2:3" x14ac:dyDescent="0.35">
      <c r="B181" t="s">
        <v>360</v>
      </c>
      <c r="C181" t="s">
        <v>361</v>
      </c>
    </row>
    <row r="182" spans="2:3" x14ac:dyDescent="0.35">
      <c r="B182" t="s">
        <v>26</v>
      </c>
      <c r="C182" t="s">
        <v>27</v>
      </c>
    </row>
    <row r="183" spans="2:3" x14ac:dyDescent="0.35">
      <c r="B183" t="s">
        <v>36</v>
      </c>
      <c r="C183" t="s">
        <v>37</v>
      </c>
    </row>
    <row r="184" spans="2:3" x14ac:dyDescent="0.35">
      <c r="B184" t="s">
        <v>232</v>
      </c>
      <c r="C184" t="s">
        <v>233</v>
      </c>
    </row>
    <row r="185" spans="2:3" x14ac:dyDescent="0.35">
      <c r="B185" t="s">
        <v>18</v>
      </c>
      <c r="C185" t="s">
        <v>19</v>
      </c>
    </row>
    <row r="186" spans="2:3" x14ac:dyDescent="0.35">
      <c r="B186" t="s">
        <v>16</v>
      </c>
      <c r="C186" t="s">
        <v>17</v>
      </c>
    </row>
    <row r="187" spans="2:3" x14ac:dyDescent="0.35">
      <c r="B187" t="s">
        <v>30</v>
      </c>
      <c r="C187" t="s">
        <v>31</v>
      </c>
    </row>
    <row r="188" spans="2:3" x14ac:dyDescent="0.35">
      <c r="B188" t="s">
        <v>20</v>
      </c>
      <c r="C188" t="s">
        <v>21</v>
      </c>
    </row>
    <row r="189" spans="2:3" x14ac:dyDescent="0.35">
      <c r="B189" t="s">
        <v>34</v>
      </c>
      <c r="C189" t="s">
        <v>35</v>
      </c>
    </row>
    <row r="190" spans="2:3" x14ac:dyDescent="0.35">
      <c r="B190" t="s">
        <v>30</v>
      </c>
      <c r="C190" t="s">
        <v>31</v>
      </c>
    </row>
    <row r="191" spans="2:3" x14ac:dyDescent="0.35">
      <c r="B191" t="s">
        <v>1172</v>
      </c>
      <c r="C191" t="s">
        <v>1173</v>
      </c>
    </row>
    <row r="192" spans="2:3" x14ac:dyDescent="0.35">
      <c r="B192" t="s">
        <v>30</v>
      </c>
      <c r="C192" t="s">
        <v>31</v>
      </c>
    </row>
    <row r="193" spans="2:3" x14ac:dyDescent="0.35">
      <c r="B193" t="s">
        <v>230</v>
      </c>
      <c r="C193" t="s">
        <v>231</v>
      </c>
    </row>
    <row r="194" spans="2:3" x14ac:dyDescent="0.35">
      <c r="B194" t="s">
        <v>20</v>
      </c>
      <c r="C194" t="s">
        <v>21</v>
      </c>
    </row>
    <row r="195" spans="2:3" x14ac:dyDescent="0.35">
      <c r="B195" t="s">
        <v>40</v>
      </c>
      <c r="C195" t="s">
        <v>41</v>
      </c>
    </row>
    <row r="196" spans="2:3" x14ac:dyDescent="0.35">
      <c r="B196" t="s">
        <v>40</v>
      </c>
      <c r="C196" t="s">
        <v>41</v>
      </c>
    </row>
    <row r="197" spans="2:3" x14ac:dyDescent="0.35">
      <c r="B197" t="s">
        <v>16</v>
      </c>
      <c r="C197" t="s">
        <v>17</v>
      </c>
    </row>
    <row r="198" spans="2:3" x14ac:dyDescent="0.35">
      <c r="B198" t="s">
        <v>18</v>
      </c>
      <c r="C198" t="s">
        <v>19</v>
      </c>
    </row>
    <row r="199" spans="2:3" x14ac:dyDescent="0.35">
      <c r="B199" t="s">
        <v>24</v>
      </c>
      <c r="C199" t="s">
        <v>25</v>
      </c>
    </row>
    <row r="200" spans="2:3" x14ac:dyDescent="0.35">
      <c r="B200" t="s">
        <v>18</v>
      </c>
      <c r="C200" t="s">
        <v>19</v>
      </c>
    </row>
    <row r="201" spans="2:3" x14ac:dyDescent="0.35">
      <c r="B201" t="s">
        <v>180</v>
      </c>
      <c r="C201" t="s">
        <v>181</v>
      </c>
    </row>
    <row r="202" spans="2:3" x14ac:dyDescent="0.35">
      <c r="B202" t="s">
        <v>18</v>
      </c>
      <c r="C202" t="s">
        <v>19</v>
      </c>
    </row>
    <row r="203" spans="2:3" x14ac:dyDescent="0.35">
      <c r="B203" t="s">
        <v>295</v>
      </c>
      <c r="C203" t="s">
        <v>296</v>
      </c>
    </row>
    <row r="204" spans="2:3" x14ac:dyDescent="0.35">
      <c r="B204" t="s">
        <v>180</v>
      </c>
      <c r="C204" t="s">
        <v>181</v>
      </c>
    </row>
    <row r="205" spans="2:3" x14ac:dyDescent="0.35">
      <c r="B205" t="s">
        <v>22</v>
      </c>
      <c r="C205" t="s">
        <v>23</v>
      </c>
    </row>
    <row r="206" spans="2:3" x14ac:dyDescent="0.35">
      <c r="B206" t="s">
        <v>16</v>
      </c>
      <c r="C206" t="s">
        <v>17</v>
      </c>
    </row>
    <row r="207" spans="2:3" x14ac:dyDescent="0.35">
      <c r="B207" t="s">
        <v>20</v>
      </c>
      <c r="C207" t="s">
        <v>21</v>
      </c>
    </row>
    <row r="208" spans="2:3" x14ac:dyDescent="0.35">
      <c r="B208" t="s">
        <v>258</v>
      </c>
      <c r="C208" t="s">
        <v>259</v>
      </c>
    </row>
    <row r="209" spans="2:3" x14ac:dyDescent="0.35">
      <c r="B209" t="s">
        <v>232</v>
      </c>
      <c r="C209" t="s">
        <v>233</v>
      </c>
    </row>
    <row r="210" spans="2:3" x14ac:dyDescent="0.35">
      <c r="B210" t="s">
        <v>126</v>
      </c>
      <c r="C210" t="s">
        <v>127</v>
      </c>
    </row>
    <row r="211" spans="2:3" x14ac:dyDescent="0.35">
      <c r="B211" t="s">
        <v>18</v>
      </c>
      <c r="C211" t="s">
        <v>19</v>
      </c>
    </row>
    <row r="212" spans="2:3" x14ac:dyDescent="0.35">
      <c r="B212" t="s">
        <v>62</v>
      </c>
      <c r="C212" t="s">
        <v>63</v>
      </c>
    </row>
    <row r="213" spans="2:3" x14ac:dyDescent="0.35">
      <c r="B213" t="s">
        <v>232</v>
      </c>
      <c r="C213" t="s">
        <v>233</v>
      </c>
    </row>
    <row r="214" spans="2:3" x14ac:dyDescent="0.35">
      <c r="B214" t="s">
        <v>32</v>
      </c>
      <c r="C214" t="s">
        <v>33</v>
      </c>
    </row>
    <row r="215" spans="2:3" x14ac:dyDescent="0.35">
      <c r="B215" t="s">
        <v>180</v>
      </c>
      <c r="C215" t="s">
        <v>1261</v>
      </c>
    </row>
    <row r="216" spans="2:3" x14ac:dyDescent="0.35">
      <c r="B216" t="s">
        <v>30</v>
      </c>
      <c r="C216" t="s">
        <v>31</v>
      </c>
    </row>
    <row r="217" spans="2:3" x14ac:dyDescent="0.35">
      <c r="B217" t="s">
        <v>42</v>
      </c>
      <c r="C217" t="s">
        <v>43</v>
      </c>
    </row>
    <row r="218" spans="2:3" x14ac:dyDescent="0.35">
      <c r="B218" t="s">
        <v>20</v>
      </c>
      <c r="C218" t="s">
        <v>21</v>
      </c>
    </row>
    <row r="219" spans="2:3" x14ac:dyDescent="0.35">
      <c r="B219" t="s">
        <v>16</v>
      </c>
      <c r="C219" t="s">
        <v>17</v>
      </c>
    </row>
    <row r="220" spans="2:3" x14ac:dyDescent="0.35">
      <c r="B220" t="s">
        <v>30</v>
      </c>
      <c r="C220" t="s">
        <v>31</v>
      </c>
    </row>
    <row r="221" spans="2:3" x14ac:dyDescent="0.35">
      <c r="B221" t="s">
        <v>30</v>
      </c>
      <c r="C221" t="s">
        <v>31</v>
      </c>
    </row>
    <row r="222" spans="2:3" x14ac:dyDescent="0.35">
      <c r="B222" t="s">
        <v>260</v>
      </c>
      <c r="C222" t="s">
        <v>261</v>
      </c>
    </row>
    <row r="223" spans="2:3" x14ac:dyDescent="0.35">
      <c r="B223" t="s">
        <v>22</v>
      </c>
      <c r="C223" t="s">
        <v>23</v>
      </c>
    </row>
    <row r="224" spans="2:3" x14ac:dyDescent="0.35">
      <c r="B224" t="s">
        <v>40</v>
      </c>
      <c r="C224" t="s">
        <v>41</v>
      </c>
    </row>
    <row r="225" spans="2:3" x14ac:dyDescent="0.35">
      <c r="B225" t="s">
        <v>382</v>
      </c>
      <c r="C225" t="s">
        <v>383</v>
      </c>
    </row>
    <row r="226" spans="2:3" x14ac:dyDescent="0.35">
      <c r="B226" t="s">
        <v>232</v>
      </c>
      <c r="C226" t="s">
        <v>233</v>
      </c>
    </row>
    <row r="227" spans="2:3" x14ac:dyDescent="0.35">
      <c r="B227" t="s">
        <v>20</v>
      </c>
      <c r="C227" t="s">
        <v>21</v>
      </c>
    </row>
    <row r="228" spans="2:3" x14ac:dyDescent="0.35">
      <c r="B228" t="s">
        <v>569</v>
      </c>
      <c r="C228" t="s">
        <v>570</v>
      </c>
    </row>
    <row r="229" spans="2:3" x14ac:dyDescent="0.35">
      <c r="B229" t="s">
        <v>569</v>
      </c>
      <c r="C229" t="s">
        <v>570</v>
      </c>
    </row>
    <row r="230" spans="2:3" x14ac:dyDescent="0.35">
      <c r="B230" t="s">
        <v>591</v>
      </c>
      <c r="C230" t="s">
        <v>592</v>
      </c>
    </row>
    <row r="231" spans="2:3" x14ac:dyDescent="0.35">
      <c r="B231" t="s">
        <v>1079</v>
      </c>
      <c r="C231" t="s">
        <v>1080</v>
      </c>
    </row>
    <row r="232" spans="2:3" x14ac:dyDescent="0.35">
      <c r="B232" t="s">
        <v>1079</v>
      </c>
      <c r="C232" t="s">
        <v>1080</v>
      </c>
    </row>
    <row r="233" spans="2:3" x14ac:dyDescent="0.35">
      <c r="B233" t="s">
        <v>1079</v>
      </c>
      <c r="C233" t="s">
        <v>1080</v>
      </c>
    </row>
    <row r="234" spans="2:3" x14ac:dyDescent="0.35">
      <c r="B234" t="s">
        <v>1079</v>
      </c>
      <c r="C234" t="s">
        <v>1080</v>
      </c>
    </row>
    <row r="235" spans="2:3" x14ac:dyDescent="0.35">
      <c r="B235" t="s">
        <v>1079</v>
      </c>
      <c r="C235" t="s">
        <v>1080</v>
      </c>
    </row>
    <row r="236" spans="2:3" x14ac:dyDescent="0.35">
      <c r="B236" t="s">
        <v>1079</v>
      </c>
      <c r="C236" t="s">
        <v>1080</v>
      </c>
    </row>
    <row r="237" spans="2:3" x14ac:dyDescent="0.35">
      <c r="B237" t="s">
        <v>569</v>
      </c>
      <c r="C237" t="s">
        <v>570</v>
      </c>
    </row>
    <row r="238" spans="2:3" x14ac:dyDescent="0.35">
      <c r="B238" t="s">
        <v>569</v>
      </c>
      <c r="C238" t="s">
        <v>570</v>
      </c>
    </row>
    <row r="239" spans="2:3" x14ac:dyDescent="0.35">
      <c r="B239" t="s">
        <v>569</v>
      </c>
      <c r="C239" t="s">
        <v>570</v>
      </c>
    </row>
    <row r="240" spans="2:3" x14ac:dyDescent="0.35">
      <c r="B240" t="s">
        <v>569</v>
      </c>
      <c r="C240" t="s">
        <v>570</v>
      </c>
    </row>
    <row r="241" spans="2:3" x14ac:dyDescent="0.35">
      <c r="B241" t="s">
        <v>569</v>
      </c>
      <c r="C241" t="s">
        <v>570</v>
      </c>
    </row>
    <row r="242" spans="2:3" x14ac:dyDescent="0.35">
      <c r="B242" t="s">
        <v>569</v>
      </c>
      <c r="C242" t="s">
        <v>570</v>
      </c>
    </row>
    <row r="243" spans="2:3" x14ac:dyDescent="0.35">
      <c r="B243" t="s">
        <v>569</v>
      </c>
      <c r="C243" t="s">
        <v>570</v>
      </c>
    </row>
    <row r="244" spans="2:3" x14ac:dyDescent="0.35">
      <c r="B244" t="s">
        <v>569</v>
      </c>
      <c r="C244" t="s">
        <v>570</v>
      </c>
    </row>
    <row r="245" spans="2:3" x14ac:dyDescent="0.35">
      <c r="B245" t="s">
        <v>1079</v>
      </c>
      <c r="C245" t="s">
        <v>1080</v>
      </c>
    </row>
    <row r="246" spans="2:3" x14ac:dyDescent="0.35">
      <c r="B246" t="s">
        <v>569</v>
      </c>
      <c r="C246" t="s">
        <v>570</v>
      </c>
    </row>
    <row r="247" spans="2:3" x14ac:dyDescent="0.35">
      <c r="B247" t="s">
        <v>533</v>
      </c>
      <c r="C247" t="s">
        <v>534</v>
      </c>
    </row>
    <row r="248" spans="2:3" x14ac:dyDescent="0.35">
      <c r="B248" t="s">
        <v>1079</v>
      </c>
      <c r="C248" t="s">
        <v>1080</v>
      </c>
    </row>
    <row r="249" spans="2:3" x14ac:dyDescent="0.35">
      <c r="B249" t="s">
        <v>1079</v>
      </c>
      <c r="C249" t="s">
        <v>1080</v>
      </c>
    </row>
    <row r="250" spans="2:3" x14ac:dyDescent="0.35">
      <c r="B250" t="s">
        <v>1079</v>
      </c>
      <c r="C250" t="s">
        <v>1080</v>
      </c>
    </row>
    <row r="251" spans="2:3" x14ac:dyDescent="0.35">
      <c r="B251" t="s">
        <v>569</v>
      </c>
      <c r="C251" t="s">
        <v>570</v>
      </c>
    </row>
    <row r="252" spans="2:3" x14ac:dyDescent="0.35">
      <c r="B252" t="s">
        <v>1079</v>
      </c>
      <c r="C252" t="s">
        <v>1080</v>
      </c>
    </row>
    <row r="253" spans="2:3" x14ac:dyDescent="0.35">
      <c r="B253" t="s">
        <v>569</v>
      </c>
      <c r="C253" t="s">
        <v>570</v>
      </c>
    </row>
    <row r="254" spans="2:3" x14ac:dyDescent="0.35">
      <c r="B254" t="s">
        <v>569</v>
      </c>
      <c r="C254" t="s">
        <v>570</v>
      </c>
    </row>
    <row r="255" spans="2:3" x14ac:dyDescent="0.35">
      <c r="B255" t="s">
        <v>1079</v>
      </c>
      <c r="C255" t="s">
        <v>1080</v>
      </c>
    </row>
    <row r="256" spans="2:3" x14ac:dyDescent="0.35">
      <c r="B256" t="s">
        <v>569</v>
      </c>
      <c r="C256" t="s">
        <v>570</v>
      </c>
    </row>
    <row r="257" spans="2:3" x14ac:dyDescent="0.35">
      <c r="B257" t="s">
        <v>1079</v>
      </c>
      <c r="C257" t="s">
        <v>1080</v>
      </c>
    </row>
    <row r="258" spans="2:3" x14ac:dyDescent="0.35">
      <c r="B258" t="s">
        <v>1079</v>
      </c>
      <c r="C258" t="s">
        <v>1080</v>
      </c>
    </row>
    <row r="259" spans="2:3" x14ac:dyDescent="0.35">
      <c r="B259" t="s">
        <v>569</v>
      </c>
      <c r="C259" t="s">
        <v>570</v>
      </c>
    </row>
    <row r="260" spans="2:3" x14ac:dyDescent="0.35">
      <c r="B260" t="s">
        <v>1079</v>
      </c>
      <c r="C260" t="s">
        <v>1080</v>
      </c>
    </row>
    <row r="261" spans="2:3" x14ac:dyDescent="0.35">
      <c r="B261" t="s">
        <v>1079</v>
      </c>
      <c r="C261" t="s">
        <v>1080</v>
      </c>
    </row>
    <row r="262" spans="2:3" x14ac:dyDescent="0.35">
      <c r="B262" t="s">
        <v>569</v>
      </c>
      <c r="C262" t="s">
        <v>570</v>
      </c>
    </row>
    <row r="263" spans="2:3" x14ac:dyDescent="0.35">
      <c r="B263" t="s">
        <v>569</v>
      </c>
      <c r="C263" t="s">
        <v>570</v>
      </c>
    </row>
    <row r="264" spans="2:3" x14ac:dyDescent="0.35">
      <c r="B264" t="s">
        <v>569</v>
      </c>
      <c r="C264" t="s">
        <v>570</v>
      </c>
    </row>
    <row r="265" spans="2:3" x14ac:dyDescent="0.35">
      <c r="B265" t="s">
        <v>569</v>
      </c>
      <c r="C265" t="s">
        <v>570</v>
      </c>
    </row>
    <row r="266" spans="2:3" x14ac:dyDescent="0.35">
      <c r="B266" t="s">
        <v>569</v>
      </c>
      <c r="C266" t="s">
        <v>570</v>
      </c>
    </row>
    <row r="267" spans="2:3" x14ac:dyDescent="0.35">
      <c r="B267" t="s">
        <v>569</v>
      </c>
      <c r="C267" t="s">
        <v>570</v>
      </c>
    </row>
    <row r="268" spans="2:3" x14ac:dyDescent="0.35">
      <c r="B268" t="s">
        <v>569</v>
      </c>
      <c r="C268" t="s">
        <v>570</v>
      </c>
    </row>
    <row r="269" spans="2:3" x14ac:dyDescent="0.35">
      <c r="B269" t="s">
        <v>569</v>
      </c>
      <c r="C269" t="s">
        <v>570</v>
      </c>
    </row>
    <row r="270" spans="2:3" x14ac:dyDescent="0.35">
      <c r="B270" t="s">
        <v>1079</v>
      </c>
      <c r="C270" t="s">
        <v>1080</v>
      </c>
    </row>
    <row r="271" spans="2:3" x14ac:dyDescent="0.35">
      <c r="B271" t="s">
        <v>1079</v>
      </c>
      <c r="C271" t="s">
        <v>1080</v>
      </c>
    </row>
    <row r="272" spans="2:3" x14ac:dyDescent="0.35">
      <c r="B272" t="s">
        <v>569</v>
      </c>
      <c r="C272" t="s">
        <v>570</v>
      </c>
    </row>
    <row r="273" spans="2:3" x14ac:dyDescent="0.35">
      <c r="B273" t="s">
        <v>569</v>
      </c>
      <c r="C273" t="s">
        <v>570</v>
      </c>
    </row>
    <row r="274" spans="2:3" x14ac:dyDescent="0.35">
      <c r="B274" t="s">
        <v>569</v>
      </c>
      <c r="C274" t="s">
        <v>570</v>
      </c>
    </row>
    <row r="275" spans="2:3" x14ac:dyDescent="0.35">
      <c r="B275" t="s">
        <v>569</v>
      </c>
      <c r="C275" t="s">
        <v>570</v>
      </c>
    </row>
    <row r="276" spans="2:3" x14ac:dyDescent="0.35">
      <c r="B276" t="s">
        <v>1079</v>
      </c>
      <c r="C276" t="s">
        <v>1080</v>
      </c>
    </row>
    <row r="277" spans="2:3" x14ac:dyDescent="0.35">
      <c r="B277" t="s">
        <v>1168</v>
      </c>
      <c r="C277" t="s">
        <v>1169</v>
      </c>
    </row>
    <row r="278" spans="2:3" x14ac:dyDescent="0.35">
      <c r="B278" t="s">
        <v>1168</v>
      </c>
      <c r="C278" t="s">
        <v>1169</v>
      </c>
    </row>
    <row r="279" spans="2:3" x14ac:dyDescent="0.35">
      <c r="B279" t="s">
        <v>787</v>
      </c>
      <c r="C279" t="s">
        <v>788</v>
      </c>
    </row>
    <row r="280" spans="2:3" x14ac:dyDescent="0.35">
      <c r="B280" t="s">
        <v>787</v>
      </c>
      <c r="C280" t="s">
        <v>788</v>
      </c>
    </row>
    <row r="281" spans="2:3" x14ac:dyDescent="0.35">
      <c r="B281" t="s">
        <v>787</v>
      </c>
      <c r="C281" t="s">
        <v>788</v>
      </c>
    </row>
    <row r="282" spans="2:3" x14ac:dyDescent="0.35">
      <c r="B282" t="s">
        <v>787</v>
      </c>
      <c r="C282" t="s">
        <v>788</v>
      </c>
    </row>
    <row r="283" spans="2:3" x14ac:dyDescent="0.35">
      <c r="B283" t="s">
        <v>1162</v>
      </c>
      <c r="C283" t="s">
        <v>1163</v>
      </c>
    </row>
    <row r="284" spans="2:3" x14ac:dyDescent="0.35">
      <c r="B284" t="s">
        <v>1195</v>
      </c>
      <c r="C284" t="s">
        <v>1195</v>
      </c>
    </row>
    <row r="285" spans="2:3" x14ac:dyDescent="0.35">
      <c r="B285" t="s">
        <v>1195</v>
      </c>
      <c r="C285" t="s">
        <v>1195</v>
      </c>
    </row>
    <row r="286" spans="2:3" x14ac:dyDescent="0.35">
      <c r="B286" t="s">
        <v>787</v>
      </c>
      <c r="C286" t="s">
        <v>788</v>
      </c>
    </row>
    <row r="287" spans="2:3" x14ac:dyDescent="0.35">
      <c r="B287" t="s">
        <v>1168</v>
      </c>
      <c r="C287" t="s">
        <v>1169</v>
      </c>
    </row>
    <row r="288" spans="2:3" x14ac:dyDescent="0.35">
      <c r="B288" t="s">
        <v>1168</v>
      </c>
      <c r="C288" t="s">
        <v>1169</v>
      </c>
    </row>
    <row r="289" spans="2:3" x14ac:dyDescent="0.35">
      <c r="B289" t="s">
        <v>1168</v>
      </c>
      <c r="C289" t="s">
        <v>1169</v>
      </c>
    </row>
    <row r="290" spans="2:3" x14ac:dyDescent="0.35">
      <c r="B290" t="s">
        <v>1168</v>
      </c>
      <c r="C290" t="s">
        <v>1169</v>
      </c>
    </row>
    <row r="291" spans="2:3" x14ac:dyDescent="0.35">
      <c r="B291" t="s">
        <v>1168</v>
      </c>
      <c r="C291" t="s">
        <v>1169</v>
      </c>
    </row>
    <row r="292" spans="2:3" x14ac:dyDescent="0.35">
      <c r="B292" t="s">
        <v>787</v>
      </c>
      <c r="C292" t="s">
        <v>788</v>
      </c>
    </row>
    <row r="293" spans="2:3" x14ac:dyDescent="0.35">
      <c r="B293" t="s">
        <v>1162</v>
      </c>
      <c r="C293" t="s">
        <v>1163</v>
      </c>
    </row>
    <row r="294" spans="2:3" x14ac:dyDescent="0.35">
      <c r="B294" t="s">
        <v>437</v>
      </c>
      <c r="C294" t="s">
        <v>438</v>
      </c>
    </row>
    <row r="295" spans="2:3" x14ac:dyDescent="0.35">
      <c r="B295" t="s">
        <v>437</v>
      </c>
      <c r="C295" t="s">
        <v>438</v>
      </c>
    </row>
    <row r="296" spans="2:3" x14ac:dyDescent="0.35">
      <c r="B296" t="s">
        <v>1162</v>
      </c>
      <c r="C296" t="s">
        <v>1163</v>
      </c>
    </row>
    <row r="297" spans="2:3" x14ac:dyDescent="0.35">
      <c r="B297" t="s">
        <v>986</v>
      </c>
      <c r="C297" t="s">
        <v>987</v>
      </c>
    </row>
    <row r="298" spans="2:3" x14ac:dyDescent="0.35">
      <c r="B298" t="s">
        <v>437</v>
      </c>
      <c r="C298" t="s">
        <v>438</v>
      </c>
    </row>
    <row r="299" spans="2:3" x14ac:dyDescent="0.35">
      <c r="B299" t="s">
        <v>1162</v>
      </c>
      <c r="C299" t="s">
        <v>1163</v>
      </c>
    </row>
    <row r="300" spans="2:3" x14ac:dyDescent="0.35">
      <c r="B300" t="s">
        <v>1162</v>
      </c>
      <c r="C300" t="s">
        <v>1163</v>
      </c>
    </row>
    <row r="301" spans="2:3" x14ac:dyDescent="0.35">
      <c r="B301" t="s">
        <v>437</v>
      </c>
      <c r="C301" t="s">
        <v>438</v>
      </c>
    </row>
    <row r="302" spans="2:3" x14ac:dyDescent="0.35">
      <c r="B302" t="s">
        <v>1162</v>
      </c>
      <c r="C302" t="s">
        <v>1163</v>
      </c>
    </row>
    <row r="303" spans="2:3" x14ac:dyDescent="0.35">
      <c r="B303" t="s">
        <v>437</v>
      </c>
      <c r="C303" t="s">
        <v>438</v>
      </c>
    </row>
    <row r="304" spans="2:3" x14ac:dyDescent="0.35">
      <c r="B304" t="s">
        <v>437</v>
      </c>
      <c r="C304" t="s">
        <v>438</v>
      </c>
    </row>
    <row r="305" spans="2:3" x14ac:dyDescent="0.35">
      <c r="B305" t="s">
        <v>437</v>
      </c>
      <c r="C305" t="s">
        <v>438</v>
      </c>
    </row>
    <row r="306" spans="2:3" x14ac:dyDescent="0.35">
      <c r="B306" t="s">
        <v>437</v>
      </c>
      <c r="C306" t="s">
        <v>438</v>
      </c>
    </row>
    <row r="307" spans="2:3" x14ac:dyDescent="0.35">
      <c r="B307" t="s">
        <v>437</v>
      </c>
      <c r="C307" t="s">
        <v>438</v>
      </c>
    </row>
    <row r="308" spans="2:3" x14ac:dyDescent="0.35">
      <c r="B308" t="s">
        <v>437</v>
      </c>
      <c r="C308" t="s">
        <v>438</v>
      </c>
    </row>
    <row r="309" spans="2:3" x14ac:dyDescent="0.35">
      <c r="B309" t="s">
        <v>437</v>
      </c>
      <c r="C309" t="s">
        <v>438</v>
      </c>
    </row>
    <row r="310" spans="2:3" x14ac:dyDescent="0.35">
      <c r="B310" t="s">
        <v>437</v>
      </c>
      <c r="C310" t="s">
        <v>438</v>
      </c>
    </row>
    <row r="311" spans="2:3" x14ac:dyDescent="0.35">
      <c r="B311" t="s">
        <v>1162</v>
      </c>
      <c r="C311" t="s">
        <v>1163</v>
      </c>
    </row>
    <row r="312" spans="2:3" x14ac:dyDescent="0.35">
      <c r="B312" t="s">
        <v>437</v>
      </c>
      <c r="C312" t="s">
        <v>438</v>
      </c>
    </row>
    <row r="313" spans="2:3" x14ac:dyDescent="0.35">
      <c r="B313" t="s">
        <v>437</v>
      </c>
      <c r="C313" t="s">
        <v>438</v>
      </c>
    </row>
    <row r="314" spans="2:3" x14ac:dyDescent="0.35">
      <c r="B314" t="s">
        <v>437</v>
      </c>
      <c r="C314" t="s">
        <v>438</v>
      </c>
    </row>
    <row r="315" spans="2:3" x14ac:dyDescent="0.35">
      <c r="B315" t="s">
        <v>437</v>
      </c>
      <c r="C315" t="s">
        <v>438</v>
      </c>
    </row>
    <row r="316" spans="2:3" x14ac:dyDescent="0.35">
      <c r="B316" t="s">
        <v>437</v>
      </c>
      <c r="C316" t="s">
        <v>438</v>
      </c>
    </row>
    <row r="317" spans="2:3" x14ac:dyDescent="0.35">
      <c r="B317" t="s">
        <v>437</v>
      </c>
      <c r="C317" t="s">
        <v>438</v>
      </c>
    </row>
    <row r="318" spans="2:3" x14ac:dyDescent="0.35">
      <c r="B318" t="s">
        <v>1162</v>
      </c>
      <c r="C318" t="s">
        <v>1163</v>
      </c>
    </row>
    <row r="319" spans="2:3" x14ac:dyDescent="0.35">
      <c r="B319" t="s">
        <v>437</v>
      </c>
      <c r="C319" t="s">
        <v>438</v>
      </c>
    </row>
    <row r="320" spans="2:3" x14ac:dyDescent="0.35">
      <c r="B320" t="s">
        <v>986</v>
      </c>
      <c r="C320" t="s">
        <v>987</v>
      </c>
    </row>
    <row r="321" spans="2:3" x14ac:dyDescent="0.35">
      <c r="B321" t="s">
        <v>1162</v>
      </c>
      <c r="C321" t="s">
        <v>1163</v>
      </c>
    </row>
    <row r="322" spans="2:3" x14ac:dyDescent="0.35">
      <c r="B322" t="s">
        <v>437</v>
      </c>
      <c r="C322" t="s">
        <v>438</v>
      </c>
    </row>
    <row r="323" spans="2:3" x14ac:dyDescent="0.35">
      <c r="B323" t="s">
        <v>1162</v>
      </c>
      <c r="C323" t="s">
        <v>1163</v>
      </c>
    </row>
    <row r="324" spans="2:3" x14ac:dyDescent="0.35">
      <c r="B324" t="s">
        <v>437</v>
      </c>
      <c r="C324" t="s">
        <v>438</v>
      </c>
    </row>
    <row r="325" spans="2:3" x14ac:dyDescent="0.35">
      <c r="B325" t="s">
        <v>437</v>
      </c>
      <c r="C325" t="s">
        <v>438</v>
      </c>
    </row>
    <row r="326" spans="2:3" x14ac:dyDescent="0.35">
      <c r="B326" t="s">
        <v>437</v>
      </c>
      <c r="C326" t="s">
        <v>438</v>
      </c>
    </row>
    <row r="327" spans="2:3" x14ac:dyDescent="0.35">
      <c r="B327" t="s">
        <v>437</v>
      </c>
      <c r="C327" t="s">
        <v>438</v>
      </c>
    </row>
    <row r="328" spans="2:3" x14ac:dyDescent="0.35">
      <c r="B328" t="s">
        <v>437</v>
      </c>
      <c r="C328" t="s">
        <v>438</v>
      </c>
    </row>
    <row r="329" spans="2:3" x14ac:dyDescent="0.35">
      <c r="B329" t="s">
        <v>437</v>
      </c>
      <c r="C329" t="s">
        <v>438</v>
      </c>
    </row>
    <row r="330" spans="2:3" x14ac:dyDescent="0.35">
      <c r="B330" t="s">
        <v>986</v>
      </c>
      <c r="C330" t="s">
        <v>987</v>
      </c>
    </row>
    <row r="331" spans="2:3" x14ac:dyDescent="0.35">
      <c r="B331" t="s">
        <v>437</v>
      </c>
      <c r="C331" t="s">
        <v>438</v>
      </c>
    </row>
    <row r="332" spans="2:3" x14ac:dyDescent="0.35">
      <c r="B332" t="s">
        <v>437</v>
      </c>
      <c r="C332" t="s">
        <v>438</v>
      </c>
    </row>
    <row r="333" spans="2:3" x14ac:dyDescent="0.35">
      <c r="B333" t="s">
        <v>437</v>
      </c>
      <c r="C333" t="s">
        <v>438</v>
      </c>
    </row>
    <row r="334" spans="2:3" x14ac:dyDescent="0.35">
      <c r="B334" t="s">
        <v>437</v>
      </c>
      <c r="C334" t="s">
        <v>438</v>
      </c>
    </row>
    <row r="335" spans="2:3" x14ac:dyDescent="0.35">
      <c r="B335" t="s">
        <v>437</v>
      </c>
      <c r="C335" t="s">
        <v>438</v>
      </c>
    </row>
    <row r="336" spans="2:3" x14ac:dyDescent="0.35">
      <c r="B336" t="s">
        <v>437</v>
      </c>
      <c r="C336" t="s">
        <v>438</v>
      </c>
    </row>
    <row r="337" spans="2:3" x14ac:dyDescent="0.35">
      <c r="B337" t="s">
        <v>437</v>
      </c>
      <c r="C337" t="s">
        <v>438</v>
      </c>
    </row>
    <row r="338" spans="2:3" x14ac:dyDescent="0.35">
      <c r="B338" t="s">
        <v>437</v>
      </c>
      <c r="C338" t="s">
        <v>438</v>
      </c>
    </row>
    <row r="339" spans="2:3" x14ac:dyDescent="0.35">
      <c r="B339" t="s">
        <v>437</v>
      </c>
      <c r="C339" t="s">
        <v>438</v>
      </c>
    </row>
    <row r="340" spans="2:3" x14ac:dyDescent="0.35">
      <c r="B340" t="s">
        <v>437</v>
      </c>
      <c r="C340" t="s">
        <v>438</v>
      </c>
    </row>
    <row r="341" spans="2:3" x14ac:dyDescent="0.35">
      <c r="B341" t="s">
        <v>437</v>
      </c>
      <c r="C341" t="s">
        <v>438</v>
      </c>
    </row>
    <row r="342" spans="2:3" x14ac:dyDescent="0.35">
      <c r="B342" t="s">
        <v>437</v>
      </c>
      <c r="C342" t="s">
        <v>438</v>
      </c>
    </row>
    <row r="343" spans="2:3" x14ac:dyDescent="0.35">
      <c r="B343" t="s">
        <v>437</v>
      </c>
      <c r="C343" t="s">
        <v>438</v>
      </c>
    </row>
    <row r="344" spans="2:3" x14ac:dyDescent="0.35">
      <c r="B344" t="s">
        <v>437</v>
      </c>
      <c r="C344" t="s">
        <v>438</v>
      </c>
    </row>
    <row r="345" spans="2:3" x14ac:dyDescent="0.35">
      <c r="B345" t="s">
        <v>437</v>
      </c>
      <c r="C345" t="s">
        <v>438</v>
      </c>
    </row>
    <row r="346" spans="2:3" x14ac:dyDescent="0.35">
      <c r="B346" t="s">
        <v>437</v>
      </c>
      <c r="C346" t="s">
        <v>438</v>
      </c>
    </row>
    <row r="347" spans="2:3" x14ac:dyDescent="0.35">
      <c r="B347" t="s">
        <v>437</v>
      </c>
      <c r="C347" t="s">
        <v>438</v>
      </c>
    </row>
    <row r="348" spans="2:3" x14ac:dyDescent="0.35">
      <c r="B348" t="s">
        <v>437</v>
      </c>
      <c r="C348" t="s">
        <v>438</v>
      </c>
    </row>
    <row r="349" spans="2:3" x14ac:dyDescent="0.35">
      <c r="B349" t="s">
        <v>437</v>
      </c>
      <c r="C349" t="s">
        <v>438</v>
      </c>
    </row>
    <row r="350" spans="2:3" x14ac:dyDescent="0.35">
      <c r="B350" t="s">
        <v>437</v>
      </c>
      <c r="C350" t="s">
        <v>438</v>
      </c>
    </row>
    <row r="351" spans="2:3" x14ac:dyDescent="0.35">
      <c r="B351" t="s">
        <v>437</v>
      </c>
      <c r="C351" t="s">
        <v>438</v>
      </c>
    </row>
    <row r="352" spans="2:3" x14ac:dyDescent="0.35">
      <c r="B352" t="s">
        <v>437</v>
      </c>
      <c r="C352" t="s">
        <v>438</v>
      </c>
    </row>
    <row r="353" spans="2:3" x14ac:dyDescent="0.35">
      <c r="B353" t="s">
        <v>986</v>
      </c>
      <c r="C353" t="s">
        <v>987</v>
      </c>
    </row>
    <row r="354" spans="2:3" x14ac:dyDescent="0.35">
      <c r="B354" t="s">
        <v>437</v>
      </c>
      <c r="C354" t="s">
        <v>438</v>
      </c>
    </row>
    <row r="355" spans="2:3" x14ac:dyDescent="0.35">
      <c r="B355" t="s">
        <v>437</v>
      </c>
      <c r="C355" t="s">
        <v>438</v>
      </c>
    </row>
    <row r="356" spans="2:3" x14ac:dyDescent="0.35">
      <c r="B356" t="s">
        <v>437</v>
      </c>
      <c r="C356" t="s">
        <v>438</v>
      </c>
    </row>
    <row r="357" spans="2:3" x14ac:dyDescent="0.35">
      <c r="B357" t="s">
        <v>437</v>
      </c>
      <c r="C357" t="s">
        <v>438</v>
      </c>
    </row>
    <row r="358" spans="2:3" x14ac:dyDescent="0.35">
      <c r="B358" t="s">
        <v>437</v>
      </c>
      <c r="C358" t="s">
        <v>438</v>
      </c>
    </row>
    <row r="359" spans="2:3" x14ac:dyDescent="0.35">
      <c r="B359" t="s">
        <v>437</v>
      </c>
      <c r="C359" t="s">
        <v>438</v>
      </c>
    </row>
    <row r="360" spans="2:3" x14ac:dyDescent="0.35">
      <c r="B360" t="s">
        <v>437</v>
      </c>
      <c r="C360" t="s">
        <v>438</v>
      </c>
    </row>
    <row r="361" spans="2:3" x14ac:dyDescent="0.35">
      <c r="B361" t="s">
        <v>437</v>
      </c>
      <c r="C361" t="s">
        <v>438</v>
      </c>
    </row>
    <row r="362" spans="2:3" x14ac:dyDescent="0.35">
      <c r="B362" t="s">
        <v>437</v>
      </c>
      <c r="C362" t="s">
        <v>438</v>
      </c>
    </row>
    <row r="363" spans="2:3" x14ac:dyDescent="0.35">
      <c r="B363" t="s">
        <v>986</v>
      </c>
      <c r="C363" t="s">
        <v>987</v>
      </c>
    </row>
    <row r="364" spans="2:3" x14ac:dyDescent="0.35">
      <c r="B364" t="s">
        <v>437</v>
      </c>
      <c r="C364" t="s">
        <v>438</v>
      </c>
    </row>
    <row r="365" spans="2:3" x14ac:dyDescent="0.35">
      <c r="B365" t="s">
        <v>437</v>
      </c>
      <c r="C365" t="s">
        <v>438</v>
      </c>
    </row>
    <row r="366" spans="2:3" x14ac:dyDescent="0.35">
      <c r="B366" t="s">
        <v>437</v>
      </c>
      <c r="C366" t="s">
        <v>438</v>
      </c>
    </row>
    <row r="367" spans="2:3" x14ac:dyDescent="0.35">
      <c r="B367" t="s">
        <v>437</v>
      </c>
      <c r="C367" t="s">
        <v>438</v>
      </c>
    </row>
    <row r="368" spans="2:3" x14ac:dyDescent="0.35">
      <c r="B368" t="s">
        <v>437</v>
      </c>
      <c r="C368" t="s">
        <v>438</v>
      </c>
    </row>
    <row r="369" spans="2:3" x14ac:dyDescent="0.35">
      <c r="B369" t="s">
        <v>437</v>
      </c>
      <c r="C369" t="s">
        <v>438</v>
      </c>
    </row>
    <row r="370" spans="2:3" x14ac:dyDescent="0.35">
      <c r="B370" t="s">
        <v>437</v>
      </c>
      <c r="C370" t="s">
        <v>438</v>
      </c>
    </row>
    <row r="371" spans="2:3" x14ac:dyDescent="0.35">
      <c r="B371" t="s">
        <v>437</v>
      </c>
      <c r="C371" t="s">
        <v>438</v>
      </c>
    </row>
    <row r="372" spans="2:3" x14ac:dyDescent="0.35">
      <c r="B372" t="s">
        <v>437</v>
      </c>
      <c r="C372" t="s">
        <v>438</v>
      </c>
    </row>
    <row r="373" spans="2:3" x14ac:dyDescent="0.35">
      <c r="B373" t="s">
        <v>1162</v>
      </c>
      <c r="C373" t="s">
        <v>1163</v>
      </c>
    </row>
    <row r="374" spans="2:3" x14ac:dyDescent="0.35">
      <c r="B374" t="s">
        <v>437</v>
      </c>
      <c r="C374" t="s">
        <v>438</v>
      </c>
    </row>
    <row r="375" spans="2:3" x14ac:dyDescent="0.35">
      <c r="B375" t="s">
        <v>437</v>
      </c>
      <c r="C375" t="s">
        <v>438</v>
      </c>
    </row>
    <row r="376" spans="2:3" x14ac:dyDescent="0.35">
      <c r="B376" t="s">
        <v>437</v>
      </c>
      <c r="C376" t="s">
        <v>438</v>
      </c>
    </row>
    <row r="377" spans="2:3" x14ac:dyDescent="0.35">
      <c r="B377" t="s">
        <v>437</v>
      </c>
      <c r="C377" t="s">
        <v>438</v>
      </c>
    </row>
    <row r="378" spans="2:3" x14ac:dyDescent="0.35">
      <c r="B378" t="s">
        <v>437</v>
      </c>
      <c r="C378" t="s">
        <v>438</v>
      </c>
    </row>
    <row r="379" spans="2:3" x14ac:dyDescent="0.35">
      <c r="B379" t="s">
        <v>437</v>
      </c>
      <c r="C379" t="s">
        <v>438</v>
      </c>
    </row>
    <row r="380" spans="2:3" x14ac:dyDescent="0.35">
      <c r="B380" t="s">
        <v>437</v>
      </c>
      <c r="C380" t="s">
        <v>438</v>
      </c>
    </row>
    <row r="381" spans="2:3" x14ac:dyDescent="0.35">
      <c r="B381" t="s">
        <v>437</v>
      </c>
      <c r="C381" t="s">
        <v>438</v>
      </c>
    </row>
    <row r="382" spans="2:3" x14ac:dyDescent="0.35">
      <c r="B382" t="s">
        <v>437</v>
      </c>
      <c r="C382" t="s">
        <v>438</v>
      </c>
    </row>
    <row r="383" spans="2:3" x14ac:dyDescent="0.35">
      <c r="B383" t="s">
        <v>437</v>
      </c>
      <c r="C383" t="s">
        <v>438</v>
      </c>
    </row>
    <row r="384" spans="2:3" x14ac:dyDescent="0.35">
      <c r="B384" t="s">
        <v>437</v>
      </c>
      <c r="C384" t="s">
        <v>438</v>
      </c>
    </row>
    <row r="385" spans="2:3" x14ac:dyDescent="0.35">
      <c r="B385" t="s">
        <v>437</v>
      </c>
      <c r="C385" t="s">
        <v>438</v>
      </c>
    </row>
    <row r="386" spans="2:3" x14ac:dyDescent="0.35">
      <c r="B386" t="s">
        <v>437</v>
      </c>
      <c r="C386" t="s">
        <v>438</v>
      </c>
    </row>
    <row r="387" spans="2:3" x14ac:dyDescent="0.35">
      <c r="B387" t="s">
        <v>437</v>
      </c>
      <c r="C387" t="s">
        <v>438</v>
      </c>
    </row>
    <row r="388" spans="2:3" x14ac:dyDescent="0.35">
      <c r="B388" t="s">
        <v>437</v>
      </c>
      <c r="C388" t="s">
        <v>438</v>
      </c>
    </row>
    <row r="389" spans="2:3" x14ac:dyDescent="0.35">
      <c r="B389" t="s">
        <v>437</v>
      </c>
      <c r="C389" t="s">
        <v>438</v>
      </c>
    </row>
    <row r="390" spans="2:3" x14ac:dyDescent="0.35">
      <c r="B390" t="s">
        <v>437</v>
      </c>
      <c r="C390" t="s">
        <v>438</v>
      </c>
    </row>
    <row r="391" spans="2:3" x14ac:dyDescent="0.35">
      <c r="B391" t="s">
        <v>437</v>
      </c>
      <c r="C391" t="s">
        <v>438</v>
      </c>
    </row>
    <row r="392" spans="2:3" x14ac:dyDescent="0.35">
      <c r="B392" t="s">
        <v>437</v>
      </c>
      <c r="C392" t="s">
        <v>438</v>
      </c>
    </row>
    <row r="393" spans="2:3" x14ac:dyDescent="0.35">
      <c r="B393" t="s">
        <v>437</v>
      </c>
      <c r="C393" t="s">
        <v>438</v>
      </c>
    </row>
    <row r="394" spans="2:3" x14ac:dyDescent="0.35">
      <c r="B394" t="s">
        <v>437</v>
      </c>
      <c r="C394" t="s">
        <v>438</v>
      </c>
    </row>
    <row r="395" spans="2:3" x14ac:dyDescent="0.35">
      <c r="B395" t="s">
        <v>437</v>
      </c>
      <c r="C395" t="s">
        <v>438</v>
      </c>
    </row>
    <row r="396" spans="2:3" x14ac:dyDescent="0.35">
      <c r="B396" t="s">
        <v>437</v>
      </c>
      <c r="C396" t="s">
        <v>438</v>
      </c>
    </row>
    <row r="397" spans="2:3" x14ac:dyDescent="0.35">
      <c r="B397" t="s">
        <v>437</v>
      </c>
      <c r="C397" t="s">
        <v>438</v>
      </c>
    </row>
    <row r="398" spans="2:3" x14ac:dyDescent="0.35">
      <c r="B398" t="s">
        <v>986</v>
      </c>
      <c r="C398" t="s">
        <v>987</v>
      </c>
    </row>
    <row r="399" spans="2:3" x14ac:dyDescent="0.35">
      <c r="B399" t="s">
        <v>1162</v>
      </c>
      <c r="C399" t="s">
        <v>1163</v>
      </c>
    </row>
    <row r="400" spans="2:3" x14ac:dyDescent="0.35">
      <c r="B400" t="s">
        <v>437</v>
      </c>
      <c r="C400" t="s">
        <v>438</v>
      </c>
    </row>
    <row r="401" spans="2:3" x14ac:dyDescent="0.35">
      <c r="B401" t="s">
        <v>437</v>
      </c>
      <c r="C401" t="s">
        <v>438</v>
      </c>
    </row>
    <row r="402" spans="2:3" x14ac:dyDescent="0.35">
      <c r="B402" t="s">
        <v>437</v>
      </c>
      <c r="C402" t="s">
        <v>438</v>
      </c>
    </row>
    <row r="403" spans="2:3" x14ac:dyDescent="0.35">
      <c r="B403" t="s">
        <v>437</v>
      </c>
      <c r="C403" t="s">
        <v>438</v>
      </c>
    </row>
    <row r="404" spans="2:3" x14ac:dyDescent="0.35">
      <c r="B404" t="s">
        <v>1162</v>
      </c>
      <c r="C404" t="s">
        <v>1163</v>
      </c>
    </row>
    <row r="405" spans="2:3" x14ac:dyDescent="0.35">
      <c r="B405" t="s">
        <v>437</v>
      </c>
      <c r="C405" t="s">
        <v>438</v>
      </c>
    </row>
    <row r="406" spans="2:3" x14ac:dyDescent="0.35">
      <c r="B406" t="s">
        <v>437</v>
      </c>
      <c r="C406" t="s">
        <v>438</v>
      </c>
    </row>
    <row r="407" spans="2:3" x14ac:dyDescent="0.35">
      <c r="B407" t="s">
        <v>437</v>
      </c>
      <c r="C407" t="s">
        <v>438</v>
      </c>
    </row>
    <row r="408" spans="2:3" x14ac:dyDescent="0.35">
      <c r="B408" t="s">
        <v>437</v>
      </c>
      <c r="C408" t="s">
        <v>438</v>
      </c>
    </row>
    <row r="409" spans="2:3" x14ac:dyDescent="0.35">
      <c r="B409" t="s">
        <v>437</v>
      </c>
      <c r="C409" t="s">
        <v>438</v>
      </c>
    </row>
    <row r="410" spans="2:3" x14ac:dyDescent="0.35">
      <c r="B410" t="s">
        <v>437</v>
      </c>
      <c r="C410" t="s">
        <v>438</v>
      </c>
    </row>
    <row r="411" spans="2:3" x14ac:dyDescent="0.35">
      <c r="B411" t="s">
        <v>437</v>
      </c>
      <c r="C411" t="s">
        <v>438</v>
      </c>
    </row>
    <row r="412" spans="2:3" x14ac:dyDescent="0.35">
      <c r="B412" t="s">
        <v>437</v>
      </c>
      <c r="C412" t="s">
        <v>438</v>
      </c>
    </row>
    <row r="413" spans="2:3" x14ac:dyDescent="0.35">
      <c r="B413" t="s">
        <v>1162</v>
      </c>
      <c r="C413" t="s">
        <v>1163</v>
      </c>
    </row>
    <row r="414" spans="2:3" x14ac:dyDescent="0.35">
      <c r="B414" t="s">
        <v>437</v>
      </c>
      <c r="C414" t="s">
        <v>438</v>
      </c>
    </row>
    <row r="415" spans="2:3" x14ac:dyDescent="0.35">
      <c r="B415" t="s">
        <v>437</v>
      </c>
      <c r="C415" t="s">
        <v>438</v>
      </c>
    </row>
    <row r="416" spans="2:3" x14ac:dyDescent="0.35">
      <c r="B416" t="s">
        <v>437</v>
      </c>
      <c r="C416" t="s">
        <v>438</v>
      </c>
    </row>
    <row r="417" spans="2:3" x14ac:dyDescent="0.35">
      <c r="B417" t="s">
        <v>437</v>
      </c>
      <c r="C417" t="s">
        <v>438</v>
      </c>
    </row>
    <row r="418" spans="2:3" x14ac:dyDescent="0.35">
      <c r="B418" t="s">
        <v>437</v>
      </c>
      <c r="C418" t="s">
        <v>438</v>
      </c>
    </row>
    <row r="419" spans="2:3" x14ac:dyDescent="0.35">
      <c r="B419" t="s">
        <v>437</v>
      </c>
      <c r="C419" t="s">
        <v>438</v>
      </c>
    </row>
    <row r="420" spans="2:3" x14ac:dyDescent="0.35">
      <c r="B420" t="s">
        <v>437</v>
      </c>
      <c r="C420" t="s">
        <v>438</v>
      </c>
    </row>
    <row r="421" spans="2:3" x14ac:dyDescent="0.35">
      <c r="B421" t="s">
        <v>1162</v>
      </c>
      <c r="C421" t="s">
        <v>1163</v>
      </c>
    </row>
    <row r="422" spans="2:3" x14ac:dyDescent="0.35">
      <c r="B422" t="s">
        <v>437</v>
      </c>
      <c r="C422" t="s">
        <v>438</v>
      </c>
    </row>
    <row r="423" spans="2:3" x14ac:dyDescent="0.35">
      <c r="B423" t="s">
        <v>437</v>
      </c>
      <c r="C423" t="s">
        <v>438</v>
      </c>
    </row>
    <row r="424" spans="2:3" x14ac:dyDescent="0.35">
      <c r="B424" t="s">
        <v>437</v>
      </c>
      <c r="C424" t="s">
        <v>438</v>
      </c>
    </row>
    <row r="425" spans="2:3" x14ac:dyDescent="0.35">
      <c r="B425" t="s">
        <v>437</v>
      </c>
      <c r="C425" t="s">
        <v>438</v>
      </c>
    </row>
    <row r="426" spans="2:3" x14ac:dyDescent="0.35">
      <c r="B426" t="s">
        <v>437</v>
      </c>
      <c r="C426" t="s">
        <v>438</v>
      </c>
    </row>
    <row r="427" spans="2:3" x14ac:dyDescent="0.35">
      <c r="B427" t="s">
        <v>437</v>
      </c>
      <c r="C427" t="s">
        <v>438</v>
      </c>
    </row>
    <row r="428" spans="2:3" x14ac:dyDescent="0.35">
      <c r="B428" t="s">
        <v>437</v>
      </c>
      <c r="C428" t="s">
        <v>438</v>
      </c>
    </row>
    <row r="429" spans="2:3" x14ac:dyDescent="0.35">
      <c r="B429" t="s">
        <v>437</v>
      </c>
      <c r="C429" t="s">
        <v>438</v>
      </c>
    </row>
    <row r="430" spans="2:3" x14ac:dyDescent="0.35">
      <c r="B430" t="s">
        <v>1162</v>
      </c>
      <c r="C430" t="s">
        <v>1163</v>
      </c>
    </row>
    <row r="431" spans="2:3" x14ac:dyDescent="0.35">
      <c r="B431" t="s">
        <v>437</v>
      </c>
      <c r="C431" t="s">
        <v>438</v>
      </c>
    </row>
    <row r="432" spans="2:3" x14ac:dyDescent="0.35">
      <c r="B432" t="s">
        <v>437</v>
      </c>
      <c r="C432" t="s">
        <v>438</v>
      </c>
    </row>
    <row r="433" spans="2:3" x14ac:dyDescent="0.35">
      <c r="B433" t="s">
        <v>437</v>
      </c>
      <c r="C433" t="s">
        <v>438</v>
      </c>
    </row>
    <row r="434" spans="2:3" x14ac:dyDescent="0.35">
      <c r="B434" t="s">
        <v>437</v>
      </c>
      <c r="C434" t="s">
        <v>438</v>
      </c>
    </row>
    <row r="435" spans="2:3" x14ac:dyDescent="0.35">
      <c r="B435" t="s">
        <v>437</v>
      </c>
      <c r="C435" t="s">
        <v>438</v>
      </c>
    </row>
    <row r="436" spans="2:3" x14ac:dyDescent="0.35">
      <c r="B436" t="s">
        <v>437</v>
      </c>
      <c r="C436" t="s">
        <v>438</v>
      </c>
    </row>
    <row r="437" spans="2:3" x14ac:dyDescent="0.35">
      <c r="B437" t="s">
        <v>437</v>
      </c>
      <c r="C437" t="s">
        <v>438</v>
      </c>
    </row>
    <row r="438" spans="2:3" x14ac:dyDescent="0.35">
      <c r="B438" t="s">
        <v>437</v>
      </c>
      <c r="C438" t="s">
        <v>438</v>
      </c>
    </row>
    <row r="439" spans="2:3" x14ac:dyDescent="0.35">
      <c r="B439" t="s">
        <v>1162</v>
      </c>
      <c r="C439" t="s">
        <v>1163</v>
      </c>
    </row>
    <row r="440" spans="2:3" x14ac:dyDescent="0.35">
      <c r="B440" t="s">
        <v>437</v>
      </c>
      <c r="C440" t="s">
        <v>438</v>
      </c>
    </row>
    <row r="441" spans="2:3" x14ac:dyDescent="0.35">
      <c r="B441" t="s">
        <v>437</v>
      </c>
      <c r="C441" t="s">
        <v>438</v>
      </c>
    </row>
    <row r="442" spans="2:3" x14ac:dyDescent="0.35">
      <c r="B442" t="s">
        <v>437</v>
      </c>
      <c r="C442" t="s">
        <v>438</v>
      </c>
    </row>
    <row r="443" spans="2:3" x14ac:dyDescent="0.35">
      <c r="B443" t="s">
        <v>437</v>
      </c>
      <c r="C443" t="s">
        <v>438</v>
      </c>
    </row>
    <row r="444" spans="2:3" x14ac:dyDescent="0.35">
      <c r="B444" t="s">
        <v>437</v>
      </c>
      <c r="C444" t="s">
        <v>438</v>
      </c>
    </row>
    <row r="445" spans="2:3" x14ac:dyDescent="0.35">
      <c r="B445" t="s">
        <v>437</v>
      </c>
      <c r="C445" t="s">
        <v>438</v>
      </c>
    </row>
    <row r="446" spans="2:3" x14ac:dyDescent="0.35">
      <c r="B446" t="s">
        <v>437</v>
      </c>
      <c r="C446" t="s">
        <v>438</v>
      </c>
    </row>
    <row r="447" spans="2:3" x14ac:dyDescent="0.35">
      <c r="B447" t="s">
        <v>1162</v>
      </c>
      <c r="C447" t="s">
        <v>1163</v>
      </c>
    </row>
    <row r="448" spans="2:3" x14ac:dyDescent="0.35">
      <c r="B448" t="s">
        <v>437</v>
      </c>
      <c r="C448" t="s">
        <v>438</v>
      </c>
    </row>
    <row r="449" spans="2:3" x14ac:dyDescent="0.35">
      <c r="B449" t="s">
        <v>437</v>
      </c>
      <c r="C449" t="s">
        <v>438</v>
      </c>
    </row>
    <row r="450" spans="2:3" x14ac:dyDescent="0.35">
      <c r="B450" t="s">
        <v>437</v>
      </c>
      <c r="C450" t="s">
        <v>438</v>
      </c>
    </row>
    <row r="451" spans="2:3" x14ac:dyDescent="0.35">
      <c r="B451" t="s">
        <v>437</v>
      </c>
      <c r="C451" t="s">
        <v>438</v>
      </c>
    </row>
    <row r="452" spans="2:3" x14ac:dyDescent="0.35">
      <c r="B452" t="s">
        <v>437</v>
      </c>
      <c r="C452" t="s">
        <v>438</v>
      </c>
    </row>
    <row r="453" spans="2:3" x14ac:dyDescent="0.35">
      <c r="B453" t="s">
        <v>437</v>
      </c>
      <c r="C453" t="s">
        <v>438</v>
      </c>
    </row>
    <row r="454" spans="2:3" x14ac:dyDescent="0.35">
      <c r="B454" t="s">
        <v>437</v>
      </c>
      <c r="C454" t="s">
        <v>438</v>
      </c>
    </row>
    <row r="455" spans="2:3" x14ac:dyDescent="0.35">
      <c r="B455" t="s">
        <v>437</v>
      </c>
      <c r="C455" t="s">
        <v>438</v>
      </c>
    </row>
    <row r="456" spans="2:3" x14ac:dyDescent="0.35">
      <c r="B456" t="s">
        <v>437</v>
      </c>
      <c r="C456" t="s">
        <v>438</v>
      </c>
    </row>
    <row r="457" spans="2:3" x14ac:dyDescent="0.35">
      <c r="B457" t="s">
        <v>437</v>
      </c>
      <c r="C457" t="s">
        <v>438</v>
      </c>
    </row>
    <row r="458" spans="2:3" x14ac:dyDescent="0.35">
      <c r="B458" t="s">
        <v>437</v>
      </c>
      <c r="C458" t="s">
        <v>438</v>
      </c>
    </row>
    <row r="459" spans="2:3" x14ac:dyDescent="0.35">
      <c r="B459" t="s">
        <v>437</v>
      </c>
      <c r="C459" t="s">
        <v>438</v>
      </c>
    </row>
    <row r="460" spans="2:3" x14ac:dyDescent="0.35">
      <c r="B460" t="s">
        <v>437</v>
      </c>
      <c r="C460" t="s">
        <v>438</v>
      </c>
    </row>
    <row r="461" spans="2:3" x14ac:dyDescent="0.35">
      <c r="B461" t="s">
        <v>437</v>
      </c>
      <c r="C461" t="s">
        <v>438</v>
      </c>
    </row>
    <row r="462" spans="2:3" x14ac:dyDescent="0.35">
      <c r="B462" t="s">
        <v>437</v>
      </c>
      <c r="C462" t="s">
        <v>438</v>
      </c>
    </row>
    <row r="463" spans="2:3" x14ac:dyDescent="0.35">
      <c r="B463" t="s">
        <v>437</v>
      </c>
      <c r="C463" t="s">
        <v>438</v>
      </c>
    </row>
    <row r="464" spans="2:3" x14ac:dyDescent="0.35">
      <c r="B464" t="s">
        <v>437</v>
      </c>
      <c r="C464" t="s">
        <v>438</v>
      </c>
    </row>
    <row r="465" spans="2:3" x14ac:dyDescent="0.35">
      <c r="B465" t="s">
        <v>437</v>
      </c>
      <c r="C465" t="s">
        <v>438</v>
      </c>
    </row>
    <row r="466" spans="2:3" x14ac:dyDescent="0.35">
      <c r="B466" t="s">
        <v>1162</v>
      </c>
      <c r="C466" t="s">
        <v>1163</v>
      </c>
    </row>
    <row r="467" spans="2:3" x14ac:dyDescent="0.35">
      <c r="B467" t="s">
        <v>1162</v>
      </c>
      <c r="C467" t="s">
        <v>1163</v>
      </c>
    </row>
    <row r="468" spans="2:3" x14ac:dyDescent="0.35">
      <c r="B468" t="s">
        <v>437</v>
      </c>
      <c r="C468" t="s">
        <v>438</v>
      </c>
    </row>
    <row r="469" spans="2:3" x14ac:dyDescent="0.35">
      <c r="B469" t="s">
        <v>437</v>
      </c>
      <c r="C469" t="s">
        <v>438</v>
      </c>
    </row>
    <row r="470" spans="2:3" x14ac:dyDescent="0.35">
      <c r="B470" t="s">
        <v>437</v>
      </c>
      <c r="C470" t="s">
        <v>438</v>
      </c>
    </row>
    <row r="471" spans="2:3" x14ac:dyDescent="0.35">
      <c r="B471" t="s">
        <v>437</v>
      </c>
      <c r="C471" t="s">
        <v>438</v>
      </c>
    </row>
    <row r="472" spans="2:3" x14ac:dyDescent="0.35">
      <c r="B472" t="s">
        <v>986</v>
      </c>
      <c r="C472" t="s">
        <v>987</v>
      </c>
    </row>
    <row r="473" spans="2:3" x14ac:dyDescent="0.35">
      <c r="B473" t="s">
        <v>437</v>
      </c>
      <c r="C473" t="s">
        <v>438</v>
      </c>
    </row>
    <row r="474" spans="2:3" x14ac:dyDescent="0.35">
      <c r="B474" t="s">
        <v>986</v>
      </c>
      <c r="C474" t="s">
        <v>987</v>
      </c>
    </row>
    <row r="475" spans="2:3" x14ac:dyDescent="0.35">
      <c r="B475" t="s">
        <v>437</v>
      </c>
      <c r="C475" t="s">
        <v>438</v>
      </c>
    </row>
    <row r="476" spans="2:3" x14ac:dyDescent="0.35">
      <c r="B476" t="s">
        <v>437</v>
      </c>
      <c r="C476" t="s">
        <v>438</v>
      </c>
    </row>
    <row r="477" spans="2:3" x14ac:dyDescent="0.35">
      <c r="B477" t="s">
        <v>1162</v>
      </c>
      <c r="C477" t="s">
        <v>1163</v>
      </c>
    </row>
    <row r="478" spans="2:3" x14ac:dyDescent="0.35">
      <c r="B478" t="s">
        <v>437</v>
      </c>
      <c r="C478" t="s">
        <v>438</v>
      </c>
    </row>
    <row r="479" spans="2:3" x14ac:dyDescent="0.35">
      <c r="B479" t="s">
        <v>437</v>
      </c>
      <c r="C479" t="s">
        <v>438</v>
      </c>
    </row>
    <row r="480" spans="2:3" x14ac:dyDescent="0.35">
      <c r="B480" t="s">
        <v>437</v>
      </c>
      <c r="C480" t="s">
        <v>438</v>
      </c>
    </row>
    <row r="481" spans="2:3" x14ac:dyDescent="0.35">
      <c r="B481" t="s">
        <v>437</v>
      </c>
      <c r="C481" t="s">
        <v>438</v>
      </c>
    </row>
    <row r="482" spans="2:3" x14ac:dyDescent="0.35">
      <c r="B482" t="s">
        <v>1162</v>
      </c>
      <c r="C482" t="s">
        <v>1163</v>
      </c>
    </row>
    <row r="483" spans="2:3" x14ac:dyDescent="0.35">
      <c r="B483" t="s">
        <v>1162</v>
      </c>
      <c r="C483" t="s">
        <v>1163</v>
      </c>
    </row>
    <row r="484" spans="2:3" x14ac:dyDescent="0.35">
      <c r="B484" t="s">
        <v>437</v>
      </c>
      <c r="C484" t="s">
        <v>438</v>
      </c>
    </row>
    <row r="485" spans="2:3" x14ac:dyDescent="0.35">
      <c r="B485" t="s">
        <v>437</v>
      </c>
      <c r="C485" t="s">
        <v>438</v>
      </c>
    </row>
    <row r="486" spans="2:3" x14ac:dyDescent="0.35">
      <c r="B486" t="s">
        <v>437</v>
      </c>
      <c r="C486" t="s">
        <v>438</v>
      </c>
    </row>
    <row r="487" spans="2:3" x14ac:dyDescent="0.35">
      <c r="B487" t="s">
        <v>986</v>
      </c>
      <c r="C487" t="s">
        <v>987</v>
      </c>
    </row>
    <row r="488" spans="2:3" x14ac:dyDescent="0.35">
      <c r="B488" t="s">
        <v>437</v>
      </c>
      <c r="C488" t="s">
        <v>438</v>
      </c>
    </row>
    <row r="489" spans="2:3" x14ac:dyDescent="0.35">
      <c r="B489" t="s">
        <v>1162</v>
      </c>
      <c r="C489" t="s">
        <v>1163</v>
      </c>
    </row>
    <row r="490" spans="2:3" x14ac:dyDescent="0.35">
      <c r="B490" t="s">
        <v>986</v>
      </c>
      <c r="C490" t="s">
        <v>987</v>
      </c>
    </row>
    <row r="491" spans="2:3" x14ac:dyDescent="0.35">
      <c r="B491" t="s">
        <v>437</v>
      </c>
      <c r="C491" t="s">
        <v>438</v>
      </c>
    </row>
    <row r="492" spans="2:3" x14ac:dyDescent="0.35">
      <c r="B492" t="s">
        <v>437</v>
      </c>
      <c r="C492" t="s">
        <v>438</v>
      </c>
    </row>
    <row r="493" spans="2:3" x14ac:dyDescent="0.35">
      <c r="B493" t="s">
        <v>437</v>
      </c>
      <c r="C493" t="s">
        <v>438</v>
      </c>
    </row>
    <row r="494" spans="2:3" x14ac:dyDescent="0.35">
      <c r="B494" t="s">
        <v>437</v>
      </c>
      <c r="C494" t="s">
        <v>438</v>
      </c>
    </row>
    <row r="495" spans="2:3" x14ac:dyDescent="0.35">
      <c r="B495" t="s">
        <v>1162</v>
      </c>
      <c r="C495" t="s">
        <v>1163</v>
      </c>
    </row>
    <row r="496" spans="2:3" x14ac:dyDescent="0.35">
      <c r="B496" t="s">
        <v>437</v>
      </c>
      <c r="C496" t="s">
        <v>438</v>
      </c>
    </row>
    <row r="497" spans="2:3" x14ac:dyDescent="0.35">
      <c r="B497" t="s">
        <v>437</v>
      </c>
      <c r="C497" t="s">
        <v>438</v>
      </c>
    </row>
    <row r="498" spans="2:3" x14ac:dyDescent="0.35">
      <c r="B498" t="s">
        <v>437</v>
      </c>
      <c r="C498" t="s">
        <v>438</v>
      </c>
    </row>
    <row r="499" spans="2:3" x14ac:dyDescent="0.35">
      <c r="B499" t="s">
        <v>437</v>
      </c>
      <c r="C499" t="s">
        <v>438</v>
      </c>
    </row>
    <row r="500" spans="2:3" x14ac:dyDescent="0.35">
      <c r="B500" t="s">
        <v>437</v>
      </c>
      <c r="C500" t="s">
        <v>438</v>
      </c>
    </row>
    <row r="501" spans="2:3" x14ac:dyDescent="0.35">
      <c r="B501" t="s">
        <v>437</v>
      </c>
      <c r="C501" t="s">
        <v>438</v>
      </c>
    </row>
    <row r="502" spans="2:3" x14ac:dyDescent="0.35">
      <c r="B502" t="s">
        <v>437</v>
      </c>
      <c r="C502" t="s">
        <v>438</v>
      </c>
    </row>
    <row r="503" spans="2:3" x14ac:dyDescent="0.35">
      <c r="B503" t="s">
        <v>437</v>
      </c>
      <c r="C503" t="s">
        <v>438</v>
      </c>
    </row>
    <row r="504" spans="2:3" x14ac:dyDescent="0.35">
      <c r="B504" t="s">
        <v>437</v>
      </c>
      <c r="C504" t="s">
        <v>438</v>
      </c>
    </row>
    <row r="505" spans="2:3" x14ac:dyDescent="0.35">
      <c r="B505" t="s">
        <v>437</v>
      </c>
      <c r="C505" t="s">
        <v>438</v>
      </c>
    </row>
    <row r="506" spans="2:3" x14ac:dyDescent="0.35">
      <c r="B506" t="s">
        <v>437</v>
      </c>
      <c r="C506" t="s">
        <v>438</v>
      </c>
    </row>
    <row r="507" spans="2:3" x14ac:dyDescent="0.35">
      <c r="B507" t="s">
        <v>437</v>
      </c>
      <c r="C507" t="s">
        <v>438</v>
      </c>
    </row>
    <row r="508" spans="2:3" x14ac:dyDescent="0.35">
      <c r="B508" t="s">
        <v>437</v>
      </c>
      <c r="C508" t="s">
        <v>438</v>
      </c>
    </row>
    <row r="509" spans="2:3" x14ac:dyDescent="0.35">
      <c r="B509" t="s">
        <v>437</v>
      </c>
      <c r="C509" t="s">
        <v>438</v>
      </c>
    </row>
    <row r="510" spans="2:3" x14ac:dyDescent="0.35">
      <c r="B510" t="s">
        <v>437</v>
      </c>
      <c r="C510" t="s">
        <v>438</v>
      </c>
    </row>
    <row r="511" spans="2:3" x14ac:dyDescent="0.35">
      <c r="B511" t="s">
        <v>437</v>
      </c>
      <c r="C511" t="s">
        <v>438</v>
      </c>
    </row>
    <row r="512" spans="2:3" x14ac:dyDescent="0.35">
      <c r="B512" t="s">
        <v>437</v>
      </c>
      <c r="C512" t="s">
        <v>438</v>
      </c>
    </row>
    <row r="513" spans="2:3" x14ac:dyDescent="0.35">
      <c r="B513" t="s">
        <v>437</v>
      </c>
      <c r="C513" t="s">
        <v>438</v>
      </c>
    </row>
    <row r="514" spans="2:3" x14ac:dyDescent="0.35">
      <c r="B514" t="s">
        <v>437</v>
      </c>
      <c r="C514" t="s">
        <v>438</v>
      </c>
    </row>
    <row r="515" spans="2:3" x14ac:dyDescent="0.35">
      <c r="B515" t="s">
        <v>437</v>
      </c>
      <c r="C515" t="s">
        <v>438</v>
      </c>
    </row>
    <row r="516" spans="2:3" x14ac:dyDescent="0.35">
      <c r="B516" t="s">
        <v>437</v>
      </c>
      <c r="C516" t="s">
        <v>438</v>
      </c>
    </row>
    <row r="517" spans="2:3" x14ac:dyDescent="0.35">
      <c r="B517" t="s">
        <v>437</v>
      </c>
      <c r="C517" t="s">
        <v>438</v>
      </c>
    </row>
    <row r="518" spans="2:3" x14ac:dyDescent="0.35">
      <c r="B518" t="s">
        <v>986</v>
      </c>
      <c r="C518" t="s">
        <v>987</v>
      </c>
    </row>
    <row r="519" spans="2:3" x14ac:dyDescent="0.35">
      <c r="B519" t="s">
        <v>986</v>
      </c>
      <c r="C519" t="s">
        <v>987</v>
      </c>
    </row>
    <row r="520" spans="2:3" x14ac:dyDescent="0.35">
      <c r="B520" t="s">
        <v>986</v>
      </c>
      <c r="C520" t="s">
        <v>987</v>
      </c>
    </row>
    <row r="521" spans="2:3" x14ac:dyDescent="0.35">
      <c r="B521" t="s">
        <v>437</v>
      </c>
      <c r="C521" t="s">
        <v>438</v>
      </c>
    </row>
    <row r="522" spans="2:3" x14ac:dyDescent="0.35">
      <c r="B522" t="s">
        <v>437</v>
      </c>
      <c r="C522" t="s">
        <v>438</v>
      </c>
    </row>
    <row r="523" spans="2:3" x14ac:dyDescent="0.35">
      <c r="B523" t="s">
        <v>1162</v>
      </c>
      <c r="C523" t="s">
        <v>1163</v>
      </c>
    </row>
    <row r="524" spans="2:3" x14ac:dyDescent="0.35">
      <c r="B524" t="s">
        <v>437</v>
      </c>
      <c r="C524" t="s">
        <v>438</v>
      </c>
    </row>
    <row r="525" spans="2:3" x14ac:dyDescent="0.35">
      <c r="B525" t="s">
        <v>437</v>
      </c>
      <c r="C525" t="s">
        <v>438</v>
      </c>
    </row>
    <row r="526" spans="2:3" x14ac:dyDescent="0.35">
      <c r="B526" t="s">
        <v>437</v>
      </c>
      <c r="C526" t="s">
        <v>438</v>
      </c>
    </row>
    <row r="527" spans="2:3" x14ac:dyDescent="0.35">
      <c r="B527" t="s">
        <v>437</v>
      </c>
      <c r="C527" t="s">
        <v>438</v>
      </c>
    </row>
    <row r="528" spans="2:3" x14ac:dyDescent="0.35">
      <c r="B528" t="s">
        <v>437</v>
      </c>
      <c r="C528" t="s">
        <v>438</v>
      </c>
    </row>
    <row r="529" spans="2:3" x14ac:dyDescent="0.35">
      <c r="B529" t="s">
        <v>437</v>
      </c>
      <c r="C529" t="s">
        <v>438</v>
      </c>
    </row>
    <row r="530" spans="2:3" x14ac:dyDescent="0.35">
      <c r="B530" t="s">
        <v>437</v>
      </c>
      <c r="C530" t="s">
        <v>438</v>
      </c>
    </row>
    <row r="531" spans="2:3" x14ac:dyDescent="0.35">
      <c r="B531" t="s">
        <v>437</v>
      </c>
      <c r="C531" t="s">
        <v>438</v>
      </c>
    </row>
    <row r="532" spans="2:3" x14ac:dyDescent="0.35">
      <c r="B532" t="s">
        <v>1162</v>
      </c>
      <c r="C532" t="s">
        <v>1163</v>
      </c>
    </row>
    <row r="533" spans="2:3" x14ac:dyDescent="0.35">
      <c r="B533" t="s">
        <v>986</v>
      </c>
      <c r="C533" t="s">
        <v>987</v>
      </c>
    </row>
    <row r="534" spans="2:3" x14ac:dyDescent="0.35">
      <c r="B534" t="s">
        <v>1162</v>
      </c>
      <c r="C534" t="s">
        <v>1163</v>
      </c>
    </row>
    <row r="535" spans="2:3" x14ac:dyDescent="0.35">
      <c r="B535" t="s">
        <v>437</v>
      </c>
      <c r="C535" t="s">
        <v>438</v>
      </c>
    </row>
    <row r="536" spans="2:3" x14ac:dyDescent="0.35">
      <c r="B536" t="s">
        <v>986</v>
      </c>
      <c r="C536" t="s">
        <v>987</v>
      </c>
    </row>
    <row r="537" spans="2:3" x14ac:dyDescent="0.35">
      <c r="B537" t="s">
        <v>437</v>
      </c>
      <c r="C537" t="s">
        <v>438</v>
      </c>
    </row>
    <row r="538" spans="2:3" x14ac:dyDescent="0.35">
      <c r="B538" t="s">
        <v>437</v>
      </c>
      <c r="C538" t="s">
        <v>438</v>
      </c>
    </row>
    <row r="539" spans="2:3" x14ac:dyDescent="0.35">
      <c r="B539" t="s">
        <v>1162</v>
      </c>
      <c r="C539" t="s">
        <v>1163</v>
      </c>
    </row>
    <row r="540" spans="2:3" x14ac:dyDescent="0.35">
      <c r="B540" t="s">
        <v>437</v>
      </c>
      <c r="C540" t="s">
        <v>438</v>
      </c>
    </row>
    <row r="541" spans="2:3" x14ac:dyDescent="0.35">
      <c r="B541" t="s">
        <v>986</v>
      </c>
      <c r="C541" t="s">
        <v>987</v>
      </c>
    </row>
    <row r="542" spans="2:3" x14ac:dyDescent="0.35">
      <c r="B542" t="s">
        <v>437</v>
      </c>
      <c r="C542" t="s">
        <v>438</v>
      </c>
    </row>
    <row r="543" spans="2:3" x14ac:dyDescent="0.35">
      <c r="B543" t="s">
        <v>437</v>
      </c>
      <c r="C543" t="s">
        <v>438</v>
      </c>
    </row>
    <row r="544" spans="2:3" x14ac:dyDescent="0.35">
      <c r="B544" t="s">
        <v>437</v>
      </c>
      <c r="C544" t="s">
        <v>438</v>
      </c>
    </row>
    <row r="545" spans="2:3" x14ac:dyDescent="0.35">
      <c r="B545" t="s">
        <v>437</v>
      </c>
      <c r="C545" t="s">
        <v>438</v>
      </c>
    </row>
    <row r="546" spans="2:3" x14ac:dyDescent="0.35">
      <c r="B546" t="s">
        <v>1162</v>
      </c>
      <c r="C546" t="s">
        <v>1163</v>
      </c>
    </row>
    <row r="547" spans="2:3" x14ac:dyDescent="0.35">
      <c r="B547" t="s">
        <v>437</v>
      </c>
      <c r="C547" t="s">
        <v>438</v>
      </c>
    </row>
    <row r="548" spans="2:3" x14ac:dyDescent="0.35">
      <c r="B548" t="s">
        <v>437</v>
      </c>
      <c r="C548" t="s">
        <v>438</v>
      </c>
    </row>
    <row r="549" spans="2:3" x14ac:dyDescent="0.35">
      <c r="B549" t="s">
        <v>437</v>
      </c>
      <c r="C549" t="s">
        <v>438</v>
      </c>
    </row>
    <row r="550" spans="2:3" x14ac:dyDescent="0.35">
      <c r="B550" t="s">
        <v>437</v>
      </c>
      <c r="C550" t="s">
        <v>438</v>
      </c>
    </row>
    <row r="551" spans="2:3" x14ac:dyDescent="0.35">
      <c r="B551" t="s">
        <v>1162</v>
      </c>
      <c r="C551" t="s">
        <v>1163</v>
      </c>
    </row>
    <row r="552" spans="2:3" x14ac:dyDescent="0.35">
      <c r="B552" t="s">
        <v>437</v>
      </c>
      <c r="C552" t="s">
        <v>438</v>
      </c>
    </row>
    <row r="553" spans="2:3" x14ac:dyDescent="0.35">
      <c r="B553" t="s">
        <v>986</v>
      </c>
      <c r="C553" t="s">
        <v>987</v>
      </c>
    </row>
    <row r="554" spans="2:3" x14ac:dyDescent="0.35">
      <c r="B554" t="s">
        <v>437</v>
      </c>
      <c r="C554" t="s">
        <v>438</v>
      </c>
    </row>
    <row r="555" spans="2:3" x14ac:dyDescent="0.35">
      <c r="B555" t="s">
        <v>437</v>
      </c>
      <c r="C555" t="s">
        <v>438</v>
      </c>
    </row>
    <row r="556" spans="2:3" x14ac:dyDescent="0.35">
      <c r="B556" t="s">
        <v>437</v>
      </c>
      <c r="C556" t="s">
        <v>438</v>
      </c>
    </row>
    <row r="557" spans="2:3" x14ac:dyDescent="0.35">
      <c r="B557" t="s">
        <v>437</v>
      </c>
      <c r="C557" t="s">
        <v>438</v>
      </c>
    </row>
    <row r="558" spans="2:3" x14ac:dyDescent="0.35">
      <c r="B558" t="s">
        <v>437</v>
      </c>
      <c r="C558" t="s">
        <v>438</v>
      </c>
    </row>
    <row r="559" spans="2:3" x14ac:dyDescent="0.35">
      <c r="B559" t="s">
        <v>437</v>
      </c>
      <c r="C559" t="s">
        <v>438</v>
      </c>
    </row>
    <row r="560" spans="2:3" x14ac:dyDescent="0.35">
      <c r="B560" t="s">
        <v>437</v>
      </c>
      <c r="C560" t="s">
        <v>438</v>
      </c>
    </row>
    <row r="561" spans="2:3" x14ac:dyDescent="0.35">
      <c r="B561" t="s">
        <v>986</v>
      </c>
      <c r="C561" t="s">
        <v>987</v>
      </c>
    </row>
    <row r="562" spans="2:3" x14ac:dyDescent="0.35">
      <c r="B562" t="s">
        <v>1092</v>
      </c>
      <c r="C562" t="s">
        <v>1093</v>
      </c>
    </row>
    <row r="563" spans="2:3" x14ac:dyDescent="0.35">
      <c r="B563" t="s">
        <v>1195</v>
      </c>
      <c r="C563" t="s">
        <v>1195</v>
      </c>
    </row>
    <row r="564" spans="2:3" x14ac:dyDescent="0.35">
      <c r="B564" t="s">
        <v>955</v>
      </c>
      <c r="C564" t="s">
        <v>956</v>
      </c>
    </row>
    <row r="565" spans="2:3" x14ac:dyDescent="0.35">
      <c r="B565" t="s">
        <v>1133</v>
      </c>
      <c r="C565" t="s">
        <v>1134</v>
      </c>
    </row>
    <row r="566" spans="2:3" x14ac:dyDescent="0.35">
      <c r="B566" t="s">
        <v>1141</v>
      </c>
      <c r="C566" t="s">
        <v>1142</v>
      </c>
    </row>
    <row r="567" spans="2:3" x14ac:dyDescent="0.35">
      <c r="B567" t="s">
        <v>1092</v>
      </c>
      <c r="C567" t="s">
        <v>1093</v>
      </c>
    </row>
    <row r="568" spans="2:3" x14ac:dyDescent="0.35">
      <c r="B568" t="s">
        <v>1123</v>
      </c>
      <c r="C568" t="s">
        <v>1124</v>
      </c>
    </row>
    <row r="569" spans="2:3" x14ac:dyDescent="0.35">
      <c r="B569" t="s">
        <v>1195</v>
      </c>
      <c r="C569" t="s">
        <v>1195</v>
      </c>
    </row>
    <row r="570" spans="2:3" x14ac:dyDescent="0.35">
      <c r="B570" t="s">
        <v>1195</v>
      </c>
      <c r="C570" t="s">
        <v>1195</v>
      </c>
    </row>
    <row r="571" spans="2:3" x14ac:dyDescent="0.35">
      <c r="B571" t="s">
        <v>1104</v>
      </c>
      <c r="C571" t="s">
        <v>1105</v>
      </c>
    </row>
    <row r="572" spans="2:3" x14ac:dyDescent="0.35">
      <c r="B572" t="s">
        <v>1195</v>
      </c>
      <c r="C572" t="s">
        <v>1195</v>
      </c>
    </row>
    <row r="573" spans="2:3" x14ac:dyDescent="0.35">
      <c r="B573" t="s">
        <v>1195</v>
      </c>
      <c r="C573" t="s">
        <v>1195</v>
      </c>
    </row>
    <row r="574" spans="2:3" x14ac:dyDescent="0.35">
      <c r="B574" t="s">
        <v>1195</v>
      </c>
      <c r="C574" t="s">
        <v>1195</v>
      </c>
    </row>
    <row r="575" spans="2:3" x14ac:dyDescent="0.35">
      <c r="B575" t="s">
        <v>1131</v>
      </c>
      <c r="C575" t="s">
        <v>1132</v>
      </c>
    </row>
    <row r="576" spans="2:3" x14ac:dyDescent="0.35">
      <c r="B576" t="s">
        <v>1131</v>
      </c>
      <c r="C576" t="s">
        <v>1132</v>
      </c>
    </row>
    <row r="577" spans="2:3" x14ac:dyDescent="0.35">
      <c r="B577" t="s">
        <v>1195</v>
      </c>
      <c r="C577" t="s">
        <v>1195</v>
      </c>
    </row>
    <row r="578" spans="2:3" x14ac:dyDescent="0.35">
      <c r="B578" t="s">
        <v>1092</v>
      </c>
      <c r="C578" t="s">
        <v>1093</v>
      </c>
    </row>
    <row r="579" spans="2:3" x14ac:dyDescent="0.35">
      <c r="B579" t="s">
        <v>955</v>
      </c>
      <c r="C579" t="s">
        <v>956</v>
      </c>
    </row>
    <row r="580" spans="2:3" x14ac:dyDescent="0.35">
      <c r="B580" t="s">
        <v>1195</v>
      </c>
      <c r="C580" t="s">
        <v>1195</v>
      </c>
    </row>
    <row r="581" spans="2:3" x14ac:dyDescent="0.35">
      <c r="B581" t="s">
        <v>955</v>
      </c>
      <c r="C581" t="s">
        <v>956</v>
      </c>
    </row>
    <row r="582" spans="2:3" x14ac:dyDescent="0.35">
      <c r="B582" t="s">
        <v>1195</v>
      </c>
      <c r="C582" t="s">
        <v>1195</v>
      </c>
    </row>
    <row r="583" spans="2:3" x14ac:dyDescent="0.35">
      <c r="B583" t="s">
        <v>1104</v>
      </c>
      <c r="C583" t="s">
        <v>1105</v>
      </c>
    </row>
    <row r="584" spans="2:3" x14ac:dyDescent="0.35">
      <c r="B584" t="s">
        <v>1168</v>
      </c>
      <c r="C584" t="s">
        <v>1169</v>
      </c>
    </row>
    <row r="585" spans="2:3" x14ac:dyDescent="0.35">
      <c r="B585" t="s">
        <v>1195</v>
      </c>
      <c r="C585" t="s">
        <v>1195</v>
      </c>
    </row>
    <row r="586" spans="2:3" x14ac:dyDescent="0.35">
      <c r="B586" t="s">
        <v>1131</v>
      </c>
      <c r="C586" t="s">
        <v>1132</v>
      </c>
    </row>
    <row r="587" spans="2:3" x14ac:dyDescent="0.35">
      <c r="B587" t="s">
        <v>1123</v>
      </c>
      <c r="C587" t="s">
        <v>1124</v>
      </c>
    </row>
    <row r="588" spans="2:3" x14ac:dyDescent="0.35">
      <c r="B588" t="s">
        <v>1123</v>
      </c>
      <c r="C588" t="s">
        <v>1124</v>
      </c>
    </row>
    <row r="589" spans="2:3" x14ac:dyDescent="0.35">
      <c r="B589" t="s">
        <v>1123</v>
      </c>
      <c r="C589" t="s">
        <v>1124</v>
      </c>
    </row>
    <row r="590" spans="2:3" x14ac:dyDescent="0.35">
      <c r="B590" t="s">
        <v>1092</v>
      </c>
      <c r="C590" t="s">
        <v>1093</v>
      </c>
    </row>
    <row r="591" spans="2:3" x14ac:dyDescent="0.35">
      <c r="B591" t="s">
        <v>1141</v>
      </c>
      <c r="C591" t="s">
        <v>1142</v>
      </c>
    </row>
    <row r="592" spans="2:3" x14ac:dyDescent="0.35">
      <c r="B592" t="s">
        <v>1104</v>
      </c>
      <c r="C592" t="s">
        <v>1105</v>
      </c>
    </row>
    <row r="593" spans="2:3" x14ac:dyDescent="0.35">
      <c r="B593" t="s">
        <v>1195</v>
      </c>
      <c r="C593" t="s">
        <v>1195</v>
      </c>
    </row>
    <row r="594" spans="2:3" x14ac:dyDescent="0.35">
      <c r="B594" t="s">
        <v>1195</v>
      </c>
      <c r="C594" t="s">
        <v>1195</v>
      </c>
    </row>
    <row r="595" spans="2:3" x14ac:dyDescent="0.35">
      <c r="B595" t="s">
        <v>1131</v>
      </c>
      <c r="C595" t="s">
        <v>1132</v>
      </c>
    </row>
    <row r="596" spans="2:3" x14ac:dyDescent="0.35">
      <c r="B596" t="s">
        <v>1195</v>
      </c>
      <c r="C596" t="s">
        <v>1195</v>
      </c>
    </row>
    <row r="597" spans="2:3" x14ac:dyDescent="0.35">
      <c r="B597" t="s">
        <v>1206</v>
      </c>
      <c r="C597" t="s">
        <v>1207</v>
      </c>
    </row>
    <row r="598" spans="2:3" x14ac:dyDescent="0.35">
      <c r="B598" t="s">
        <v>1195</v>
      </c>
      <c r="C598" t="s">
        <v>1195</v>
      </c>
    </row>
    <row r="599" spans="2:3" x14ac:dyDescent="0.35">
      <c r="B599" t="s">
        <v>1166</v>
      </c>
      <c r="C599" t="s">
        <v>1167</v>
      </c>
    </row>
    <row r="600" spans="2:3" x14ac:dyDescent="0.35">
      <c r="B600" t="s">
        <v>1195</v>
      </c>
      <c r="C600" t="s">
        <v>1195</v>
      </c>
    </row>
    <row r="601" spans="2:3" x14ac:dyDescent="0.35">
      <c r="B601" t="s">
        <v>1195</v>
      </c>
      <c r="C601" t="s">
        <v>1195</v>
      </c>
    </row>
    <row r="602" spans="2:3" x14ac:dyDescent="0.35">
      <c r="B602" t="s">
        <v>1104</v>
      </c>
      <c r="C602" t="s">
        <v>1105</v>
      </c>
    </row>
    <row r="603" spans="2:3" x14ac:dyDescent="0.35">
      <c r="B603" t="s">
        <v>1195</v>
      </c>
      <c r="C603" t="s">
        <v>1195</v>
      </c>
    </row>
    <row r="604" spans="2:3" x14ac:dyDescent="0.35">
      <c r="B604" t="s">
        <v>1104</v>
      </c>
      <c r="C604" t="s">
        <v>1105</v>
      </c>
    </row>
    <row r="605" spans="2:3" x14ac:dyDescent="0.35">
      <c r="B605" t="s">
        <v>1195</v>
      </c>
      <c r="C605" t="s">
        <v>1195</v>
      </c>
    </row>
    <row r="606" spans="2:3" x14ac:dyDescent="0.35">
      <c r="B606" t="s">
        <v>1166</v>
      </c>
      <c r="C606" t="s">
        <v>1167</v>
      </c>
    </row>
    <row r="607" spans="2:3" x14ac:dyDescent="0.35">
      <c r="B607" t="s">
        <v>1104</v>
      </c>
      <c r="C607" t="s">
        <v>1105</v>
      </c>
    </row>
    <row r="608" spans="2:3" x14ac:dyDescent="0.35">
      <c r="B608" t="s">
        <v>1195</v>
      </c>
      <c r="C608" t="s">
        <v>1195</v>
      </c>
    </row>
    <row r="609" spans="2:3" x14ac:dyDescent="0.35">
      <c r="B609" t="s">
        <v>1141</v>
      </c>
      <c r="C609" t="s">
        <v>1142</v>
      </c>
    </row>
    <row r="610" spans="2:3" x14ac:dyDescent="0.35">
      <c r="B610" t="s">
        <v>1131</v>
      </c>
      <c r="C610" t="s">
        <v>1132</v>
      </c>
    </row>
    <row r="611" spans="2:3" x14ac:dyDescent="0.35">
      <c r="B611" t="s">
        <v>1195</v>
      </c>
      <c r="C611" t="s">
        <v>1195</v>
      </c>
    </row>
    <row r="612" spans="2:3" x14ac:dyDescent="0.35">
      <c r="B612" t="s">
        <v>1104</v>
      </c>
      <c r="C612" t="s">
        <v>1105</v>
      </c>
    </row>
    <row r="613" spans="2:3" x14ac:dyDescent="0.35">
      <c r="B613" t="s">
        <v>1195</v>
      </c>
      <c r="C613" t="s">
        <v>1195</v>
      </c>
    </row>
    <row r="614" spans="2:3" x14ac:dyDescent="0.35">
      <c r="B614" t="s">
        <v>1195</v>
      </c>
      <c r="C614" t="s">
        <v>1195</v>
      </c>
    </row>
    <row r="615" spans="2:3" x14ac:dyDescent="0.35">
      <c r="B615" t="s">
        <v>1195</v>
      </c>
      <c r="C615" t="s">
        <v>1195</v>
      </c>
    </row>
    <row r="616" spans="2:3" x14ac:dyDescent="0.35">
      <c r="B616" t="s">
        <v>955</v>
      </c>
      <c r="C616" t="s">
        <v>956</v>
      </c>
    </row>
    <row r="617" spans="2:3" x14ac:dyDescent="0.35">
      <c r="B617" t="s">
        <v>1195</v>
      </c>
      <c r="C617" t="s">
        <v>1195</v>
      </c>
    </row>
    <row r="618" spans="2:3" x14ac:dyDescent="0.35">
      <c r="B618" t="s">
        <v>1104</v>
      </c>
      <c r="C618" t="s">
        <v>1105</v>
      </c>
    </row>
    <row r="619" spans="2:3" x14ac:dyDescent="0.35">
      <c r="B619" t="s">
        <v>1092</v>
      </c>
      <c r="C619" t="s">
        <v>1093</v>
      </c>
    </row>
    <row r="620" spans="2:3" x14ac:dyDescent="0.35">
      <c r="B620" t="s">
        <v>955</v>
      </c>
      <c r="C620" t="s">
        <v>956</v>
      </c>
    </row>
    <row r="621" spans="2:3" x14ac:dyDescent="0.35">
      <c r="B621" t="s">
        <v>955</v>
      </c>
      <c r="C621" t="s">
        <v>956</v>
      </c>
    </row>
    <row r="622" spans="2:3" x14ac:dyDescent="0.35">
      <c r="B622" t="s">
        <v>1131</v>
      </c>
      <c r="C622" t="s">
        <v>1132</v>
      </c>
    </row>
    <row r="623" spans="2:3" x14ac:dyDescent="0.35">
      <c r="B623" t="s">
        <v>1195</v>
      </c>
      <c r="C623" t="s">
        <v>1195</v>
      </c>
    </row>
    <row r="624" spans="2:3" x14ac:dyDescent="0.35">
      <c r="B624" t="s">
        <v>955</v>
      </c>
      <c r="C624" t="s">
        <v>956</v>
      </c>
    </row>
    <row r="625" spans="2:3" x14ac:dyDescent="0.35">
      <c r="B625" t="s">
        <v>1131</v>
      </c>
      <c r="C625" t="s">
        <v>1132</v>
      </c>
    </row>
    <row r="626" spans="2:3" x14ac:dyDescent="0.35">
      <c r="B626" t="s">
        <v>1092</v>
      </c>
      <c r="C626" t="s">
        <v>1093</v>
      </c>
    </row>
    <row r="627" spans="2:3" x14ac:dyDescent="0.35">
      <c r="B627" t="s">
        <v>955</v>
      </c>
      <c r="C627" t="s">
        <v>956</v>
      </c>
    </row>
    <row r="628" spans="2:3" x14ac:dyDescent="0.35">
      <c r="B628" t="s">
        <v>1123</v>
      </c>
      <c r="C628" t="s">
        <v>1124</v>
      </c>
    </row>
    <row r="629" spans="2:3" x14ac:dyDescent="0.35">
      <c r="B629" t="s">
        <v>1123</v>
      </c>
      <c r="C629" t="s">
        <v>1124</v>
      </c>
    </row>
    <row r="630" spans="2:3" x14ac:dyDescent="0.35">
      <c r="B630" t="s">
        <v>1131</v>
      </c>
      <c r="C630" t="s">
        <v>1132</v>
      </c>
    </row>
    <row r="631" spans="2:3" x14ac:dyDescent="0.35">
      <c r="B631" t="s">
        <v>1104</v>
      </c>
      <c r="C631" t="s">
        <v>1105</v>
      </c>
    </row>
    <row r="632" spans="2:3" x14ac:dyDescent="0.35">
      <c r="B632" t="s">
        <v>1104</v>
      </c>
      <c r="C632" t="s">
        <v>1105</v>
      </c>
    </row>
    <row r="633" spans="2:3" x14ac:dyDescent="0.35">
      <c r="B633" t="s">
        <v>1195</v>
      </c>
      <c r="C633" t="s">
        <v>1195</v>
      </c>
    </row>
    <row r="634" spans="2:3" x14ac:dyDescent="0.35">
      <c r="B634" t="s">
        <v>1195</v>
      </c>
      <c r="C634" t="s">
        <v>1195</v>
      </c>
    </row>
    <row r="635" spans="2:3" x14ac:dyDescent="0.35">
      <c r="B635" t="s">
        <v>1092</v>
      </c>
      <c r="C635" t="s">
        <v>1093</v>
      </c>
    </row>
    <row r="636" spans="2:3" x14ac:dyDescent="0.35">
      <c r="B636" t="s">
        <v>1195</v>
      </c>
      <c r="C636" t="s">
        <v>1195</v>
      </c>
    </row>
    <row r="637" spans="2:3" x14ac:dyDescent="0.35">
      <c r="B637" t="s">
        <v>1131</v>
      </c>
      <c r="C637" t="s">
        <v>1132</v>
      </c>
    </row>
    <row r="638" spans="2:3" x14ac:dyDescent="0.35">
      <c r="B638" t="s">
        <v>1131</v>
      </c>
      <c r="C638" t="s">
        <v>1132</v>
      </c>
    </row>
    <row r="639" spans="2:3" x14ac:dyDescent="0.35">
      <c r="B639" t="s">
        <v>1104</v>
      </c>
      <c r="C639" t="s">
        <v>1105</v>
      </c>
    </row>
    <row r="640" spans="2:3" x14ac:dyDescent="0.35">
      <c r="B640" t="s">
        <v>1141</v>
      </c>
      <c r="C640" t="s">
        <v>1142</v>
      </c>
    </row>
    <row r="641" spans="2:3" x14ac:dyDescent="0.35">
      <c r="B641" t="s">
        <v>1195</v>
      </c>
      <c r="C641" t="s">
        <v>1195</v>
      </c>
    </row>
    <row r="642" spans="2:3" x14ac:dyDescent="0.35">
      <c r="B642" t="s">
        <v>1104</v>
      </c>
      <c r="C642" t="s">
        <v>1105</v>
      </c>
    </row>
    <row r="643" spans="2:3" x14ac:dyDescent="0.35">
      <c r="B643" t="s">
        <v>1195</v>
      </c>
      <c r="C643" t="s">
        <v>1195</v>
      </c>
    </row>
    <row r="644" spans="2:3" x14ac:dyDescent="0.35">
      <c r="B644" t="s">
        <v>1092</v>
      </c>
      <c r="C644" t="s">
        <v>1093</v>
      </c>
    </row>
    <row r="645" spans="2:3" x14ac:dyDescent="0.35">
      <c r="B645" t="s">
        <v>1092</v>
      </c>
      <c r="C645" t="s">
        <v>1093</v>
      </c>
    </row>
    <row r="646" spans="2:3" x14ac:dyDescent="0.35">
      <c r="B646" t="s">
        <v>382</v>
      </c>
      <c r="C646" t="s">
        <v>383</v>
      </c>
    </row>
    <row r="647" spans="2:3" x14ac:dyDescent="0.35">
      <c r="B647" t="s">
        <v>469</v>
      </c>
      <c r="C647" t="s">
        <v>470</v>
      </c>
    </row>
    <row r="648" spans="2:3" x14ac:dyDescent="0.35">
      <c r="B648" t="s">
        <v>595</v>
      </c>
      <c r="C648" t="s">
        <v>596</v>
      </c>
    </row>
    <row r="649" spans="2:3" x14ac:dyDescent="0.35">
      <c r="B649" t="s">
        <v>543</v>
      </c>
      <c r="C649" t="s">
        <v>544</v>
      </c>
    </row>
    <row r="650" spans="2:3" x14ac:dyDescent="0.35">
      <c r="B650" t="s">
        <v>648</v>
      </c>
      <c r="C650" t="s">
        <v>649</v>
      </c>
    </row>
    <row r="651" spans="2:3" x14ac:dyDescent="0.35">
      <c r="B651" t="s">
        <v>445</v>
      </c>
      <c r="C651" t="s">
        <v>446</v>
      </c>
    </row>
    <row r="652" spans="2:3" x14ac:dyDescent="0.35">
      <c r="B652" t="s">
        <v>567</v>
      </c>
      <c r="C652" t="s">
        <v>568</v>
      </c>
    </row>
    <row r="653" spans="2:3" x14ac:dyDescent="0.35">
      <c r="B653" t="s">
        <v>559</v>
      </c>
      <c r="C653" t="s">
        <v>560</v>
      </c>
    </row>
    <row r="654" spans="2:3" x14ac:dyDescent="0.35">
      <c r="B654" t="s">
        <v>451</v>
      </c>
      <c r="C654" t="s">
        <v>452</v>
      </c>
    </row>
    <row r="655" spans="2:3" x14ac:dyDescent="0.35">
      <c r="B655" t="s">
        <v>620</v>
      </c>
      <c r="C655" t="s">
        <v>621</v>
      </c>
    </row>
    <row r="656" spans="2:3" x14ac:dyDescent="0.35">
      <c r="B656" t="s">
        <v>620</v>
      </c>
      <c r="C656" t="s">
        <v>621</v>
      </c>
    </row>
    <row r="657" spans="2:3" x14ac:dyDescent="0.35">
      <c r="B657" t="s">
        <v>698</v>
      </c>
      <c r="C657" t="s">
        <v>699</v>
      </c>
    </row>
    <row r="658" spans="2:3" x14ac:dyDescent="0.35">
      <c r="B658" t="s">
        <v>62</v>
      </c>
      <c r="C658" t="s">
        <v>63</v>
      </c>
    </row>
    <row r="659" spans="2:3" x14ac:dyDescent="0.35">
      <c r="B659" t="s">
        <v>543</v>
      </c>
      <c r="C659" t="s">
        <v>544</v>
      </c>
    </row>
    <row r="660" spans="2:3" x14ac:dyDescent="0.35">
      <c r="B660" t="s">
        <v>595</v>
      </c>
      <c r="C660" t="s">
        <v>596</v>
      </c>
    </row>
    <row r="661" spans="2:3" x14ac:dyDescent="0.35">
      <c r="B661" t="s">
        <v>477</v>
      </c>
      <c r="C661" t="s">
        <v>478</v>
      </c>
    </row>
    <row r="662" spans="2:3" x14ac:dyDescent="0.35">
      <c r="B662" t="s">
        <v>595</v>
      </c>
      <c r="C662" t="s">
        <v>596</v>
      </c>
    </row>
    <row r="663" spans="2:3" x14ac:dyDescent="0.35">
      <c r="B663" t="s">
        <v>477</v>
      </c>
      <c r="C663" t="s">
        <v>478</v>
      </c>
    </row>
    <row r="664" spans="2:3" x14ac:dyDescent="0.35">
      <c r="B664" t="s">
        <v>620</v>
      </c>
      <c r="C664" t="s">
        <v>621</v>
      </c>
    </row>
    <row r="665" spans="2:3" x14ac:dyDescent="0.35">
      <c r="B665" t="s">
        <v>698</v>
      </c>
      <c r="C665" t="s">
        <v>699</v>
      </c>
    </row>
    <row r="666" spans="2:3" x14ac:dyDescent="0.35">
      <c r="B666" t="s">
        <v>660</v>
      </c>
      <c r="C666" t="s">
        <v>661</v>
      </c>
    </row>
    <row r="667" spans="2:3" x14ac:dyDescent="0.35">
      <c r="B667" t="s">
        <v>477</v>
      </c>
      <c r="C667" t="s">
        <v>478</v>
      </c>
    </row>
    <row r="668" spans="2:3" x14ac:dyDescent="0.35">
      <c r="B668" t="s">
        <v>654</v>
      </c>
      <c r="C668" t="s">
        <v>655</v>
      </c>
    </row>
    <row r="669" spans="2:3" x14ac:dyDescent="0.35">
      <c r="B669" t="s">
        <v>477</v>
      </c>
      <c r="C669" t="s">
        <v>478</v>
      </c>
    </row>
    <row r="670" spans="2:3" x14ac:dyDescent="0.35">
      <c r="B670" t="s">
        <v>382</v>
      </c>
      <c r="C670" t="s">
        <v>383</v>
      </c>
    </row>
    <row r="671" spans="2:3" x14ac:dyDescent="0.35">
      <c r="B671" t="s">
        <v>382</v>
      </c>
      <c r="C671" t="s">
        <v>383</v>
      </c>
    </row>
    <row r="672" spans="2:3" x14ac:dyDescent="0.35">
      <c r="B672" t="s">
        <v>660</v>
      </c>
      <c r="C672" t="s">
        <v>661</v>
      </c>
    </row>
    <row r="673" spans="2:3" x14ac:dyDescent="0.35">
      <c r="B673" t="s">
        <v>660</v>
      </c>
      <c r="C673" t="s">
        <v>661</v>
      </c>
    </row>
    <row r="674" spans="2:3" x14ac:dyDescent="0.35">
      <c r="B674" t="s">
        <v>463</v>
      </c>
      <c r="C674" t="s">
        <v>464</v>
      </c>
    </row>
    <row r="675" spans="2:3" x14ac:dyDescent="0.35">
      <c r="B675" t="s">
        <v>469</v>
      </c>
      <c r="C675" t="s">
        <v>470</v>
      </c>
    </row>
    <row r="676" spans="2:3" x14ac:dyDescent="0.35">
      <c r="B676" t="s">
        <v>543</v>
      </c>
      <c r="C676" t="s">
        <v>544</v>
      </c>
    </row>
    <row r="677" spans="2:3" x14ac:dyDescent="0.35">
      <c r="B677" t="s">
        <v>595</v>
      </c>
      <c r="C677" t="s">
        <v>596</v>
      </c>
    </row>
    <row r="678" spans="2:3" x14ac:dyDescent="0.35">
      <c r="B678" t="s">
        <v>62</v>
      </c>
      <c r="C678" t="s">
        <v>63</v>
      </c>
    </row>
    <row r="679" spans="2:3" x14ac:dyDescent="0.35">
      <c r="B679" t="s">
        <v>620</v>
      </c>
      <c r="C679" t="s">
        <v>621</v>
      </c>
    </row>
    <row r="680" spans="2:3" x14ac:dyDescent="0.35">
      <c r="B680" t="s">
        <v>585</v>
      </c>
      <c r="C680" t="s">
        <v>586</v>
      </c>
    </row>
    <row r="681" spans="2:3" x14ac:dyDescent="0.35">
      <c r="B681" t="s">
        <v>595</v>
      </c>
      <c r="C681" t="s">
        <v>596</v>
      </c>
    </row>
    <row r="682" spans="2:3" x14ac:dyDescent="0.35">
      <c r="B682" t="s">
        <v>126</v>
      </c>
      <c r="C682" t="s">
        <v>127</v>
      </c>
    </row>
    <row r="683" spans="2:3" x14ac:dyDescent="0.35">
      <c r="B683" t="s">
        <v>382</v>
      </c>
      <c r="C683" t="s">
        <v>383</v>
      </c>
    </row>
    <row r="684" spans="2:3" x14ac:dyDescent="0.35">
      <c r="B684" t="s">
        <v>62</v>
      </c>
      <c r="C684" t="s">
        <v>63</v>
      </c>
    </row>
    <row r="685" spans="2:3" x14ac:dyDescent="0.35">
      <c r="B685" t="s">
        <v>660</v>
      </c>
      <c r="C685" t="s">
        <v>661</v>
      </c>
    </row>
    <row r="686" spans="2:3" x14ac:dyDescent="0.35">
      <c r="B686" t="s">
        <v>382</v>
      </c>
      <c r="C686" t="s">
        <v>383</v>
      </c>
    </row>
    <row r="687" spans="2:3" x14ac:dyDescent="0.35">
      <c r="B687" t="s">
        <v>567</v>
      </c>
      <c r="C687" t="s">
        <v>568</v>
      </c>
    </row>
    <row r="688" spans="2:3" x14ac:dyDescent="0.35">
      <c r="B688" t="s">
        <v>567</v>
      </c>
      <c r="C688" t="s">
        <v>568</v>
      </c>
    </row>
    <row r="689" spans="2:3" x14ac:dyDescent="0.35">
      <c r="B689" t="s">
        <v>660</v>
      </c>
      <c r="C689" t="s">
        <v>661</v>
      </c>
    </row>
    <row r="690" spans="2:3" x14ac:dyDescent="0.35">
      <c r="B690" t="s">
        <v>567</v>
      </c>
      <c r="C690" t="s">
        <v>568</v>
      </c>
    </row>
    <row r="691" spans="2:3" x14ac:dyDescent="0.35">
      <c r="B691" t="s">
        <v>654</v>
      </c>
      <c r="C691" t="s">
        <v>655</v>
      </c>
    </row>
    <row r="692" spans="2:3" x14ac:dyDescent="0.35">
      <c r="B692" t="s">
        <v>88</v>
      </c>
      <c r="C692" t="s">
        <v>89</v>
      </c>
    </row>
    <row r="693" spans="2:3" x14ac:dyDescent="0.35">
      <c r="B693" t="s">
        <v>607</v>
      </c>
      <c r="C693" t="s">
        <v>608</v>
      </c>
    </row>
    <row r="694" spans="2:3" x14ac:dyDescent="0.35">
      <c r="B694" t="s">
        <v>660</v>
      </c>
      <c r="C694" t="s">
        <v>661</v>
      </c>
    </row>
    <row r="695" spans="2:3" x14ac:dyDescent="0.35">
      <c r="B695" t="s">
        <v>567</v>
      </c>
      <c r="C695" t="s">
        <v>568</v>
      </c>
    </row>
    <row r="696" spans="2:3" x14ac:dyDescent="0.35">
      <c r="B696" t="s">
        <v>105</v>
      </c>
      <c r="C696" t="s">
        <v>106</v>
      </c>
    </row>
    <row r="697" spans="2:3" x14ac:dyDescent="0.35">
      <c r="B697" t="s">
        <v>519</v>
      </c>
      <c r="C697" t="s">
        <v>520</v>
      </c>
    </row>
    <row r="698" spans="2:3" x14ac:dyDescent="0.35">
      <c r="B698" t="s">
        <v>603</v>
      </c>
      <c r="C698" t="s">
        <v>604</v>
      </c>
    </row>
    <row r="699" spans="2:3" x14ac:dyDescent="0.35">
      <c r="B699" t="s">
        <v>567</v>
      </c>
      <c r="C699" t="s">
        <v>568</v>
      </c>
    </row>
    <row r="700" spans="2:3" x14ac:dyDescent="0.35">
      <c r="B700" t="s">
        <v>477</v>
      </c>
      <c r="C700" t="s">
        <v>478</v>
      </c>
    </row>
    <row r="701" spans="2:3" x14ac:dyDescent="0.35">
      <c r="B701" t="s">
        <v>481</v>
      </c>
      <c r="C701" t="s">
        <v>482</v>
      </c>
    </row>
    <row r="702" spans="2:3" x14ac:dyDescent="0.35">
      <c r="B702" t="s">
        <v>88</v>
      </c>
      <c r="C702" t="s">
        <v>89</v>
      </c>
    </row>
    <row r="703" spans="2:3" x14ac:dyDescent="0.35">
      <c r="B703" t="s">
        <v>567</v>
      </c>
      <c r="C703" t="s">
        <v>568</v>
      </c>
    </row>
    <row r="704" spans="2:3" x14ac:dyDescent="0.35">
      <c r="B704" t="s">
        <v>567</v>
      </c>
      <c r="C704" t="s">
        <v>568</v>
      </c>
    </row>
    <row r="705" spans="2:3" x14ac:dyDescent="0.35">
      <c r="B705" t="s">
        <v>595</v>
      </c>
      <c r="C705" t="s">
        <v>596</v>
      </c>
    </row>
    <row r="706" spans="2:3" x14ac:dyDescent="0.35">
      <c r="B706" t="s">
        <v>399</v>
      </c>
      <c r="C706" t="s">
        <v>400</v>
      </c>
    </row>
    <row r="707" spans="2:3" x14ac:dyDescent="0.35">
      <c r="B707" t="s">
        <v>698</v>
      </c>
      <c r="C707" t="s">
        <v>699</v>
      </c>
    </row>
    <row r="708" spans="2:3" x14ac:dyDescent="0.35">
      <c r="B708" t="s">
        <v>105</v>
      </c>
      <c r="C708" t="s">
        <v>106</v>
      </c>
    </row>
    <row r="709" spans="2:3" x14ac:dyDescent="0.35">
      <c r="B709" t="s">
        <v>519</v>
      </c>
      <c r="C709" t="s">
        <v>520</v>
      </c>
    </row>
    <row r="710" spans="2:3" x14ac:dyDescent="0.35">
      <c r="B710" t="s">
        <v>88</v>
      </c>
      <c r="C710" t="s">
        <v>89</v>
      </c>
    </row>
    <row r="711" spans="2:3" x14ac:dyDescent="0.35">
      <c r="B711" t="s">
        <v>481</v>
      </c>
      <c r="C711" t="s">
        <v>482</v>
      </c>
    </row>
    <row r="712" spans="2:3" x14ac:dyDescent="0.35">
      <c r="B712" t="s">
        <v>477</v>
      </c>
      <c r="C712" t="s">
        <v>478</v>
      </c>
    </row>
    <row r="713" spans="2:3" x14ac:dyDescent="0.35">
      <c r="B713" t="s">
        <v>445</v>
      </c>
      <c r="C713" t="s">
        <v>446</v>
      </c>
    </row>
    <row r="714" spans="2:3" x14ac:dyDescent="0.35">
      <c r="B714" t="s">
        <v>62</v>
      </c>
      <c r="C714" t="s">
        <v>63</v>
      </c>
    </row>
    <row r="715" spans="2:3" x14ac:dyDescent="0.35">
      <c r="B715" t="s">
        <v>126</v>
      </c>
      <c r="C715" t="s">
        <v>127</v>
      </c>
    </row>
    <row r="716" spans="2:3" x14ac:dyDescent="0.35">
      <c r="B716" t="s">
        <v>543</v>
      </c>
      <c r="C716" t="s">
        <v>544</v>
      </c>
    </row>
    <row r="717" spans="2:3" x14ac:dyDescent="0.35">
      <c r="B717" t="s">
        <v>603</v>
      </c>
      <c r="C717" t="s">
        <v>604</v>
      </c>
    </row>
    <row r="718" spans="2:3" x14ac:dyDescent="0.35">
      <c r="B718" t="s">
        <v>477</v>
      </c>
      <c r="C718" t="s">
        <v>478</v>
      </c>
    </row>
    <row r="719" spans="2:3" x14ac:dyDescent="0.35">
      <c r="B719" t="s">
        <v>648</v>
      </c>
      <c r="C719" t="s">
        <v>649</v>
      </c>
    </row>
    <row r="720" spans="2:3" x14ac:dyDescent="0.35">
      <c r="B720" t="s">
        <v>620</v>
      </c>
      <c r="C720" t="s">
        <v>621</v>
      </c>
    </row>
    <row r="721" spans="2:3" x14ac:dyDescent="0.35">
      <c r="B721" t="s">
        <v>543</v>
      </c>
      <c r="C721" t="s">
        <v>544</v>
      </c>
    </row>
    <row r="722" spans="2:3" x14ac:dyDescent="0.35">
      <c r="B722" t="s">
        <v>660</v>
      </c>
      <c r="C722" t="s">
        <v>661</v>
      </c>
    </row>
    <row r="723" spans="2:3" x14ac:dyDescent="0.35">
      <c r="B723" t="s">
        <v>105</v>
      </c>
      <c r="C723" t="s">
        <v>106</v>
      </c>
    </row>
    <row r="724" spans="2:3" x14ac:dyDescent="0.35">
      <c r="B724" t="s">
        <v>654</v>
      </c>
      <c r="C724" t="s">
        <v>655</v>
      </c>
    </row>
    <row r="725" spans="2:3" x14ac:dyDescent="0.35">
      <c r="B725" t="s">
        <v>654</v>
      </c>
      <c r="C725" t="s">
        <v>655</v>
      </c>
    </row>
    <row r="726" spans="2:3" x14ac:dyDescent="0.35">
      <c r="B726" t="s">
        <v>62</v>
      </c>
      <c r="C726" t="s">
        <v>63</v>
      </c>
    </row>
    <row r="727" spans="2:3" x14ac:dyDescent="0.35">
      <c r="B727" t="s">
        <v>660</v>
      </c>
      <c r="C727" t="s">
        <v>661</v>
      </c>
    </row>
    <row r="728" spans="2:3" x14ac:dyDescent="0.35">
      <c r="B728" t="s">
        <v>559</v>
      </c>
      <c r="C728" t="s">
        <v>560</v>
      </c>
    </row>
    <row r="729" spans="2:3" x14ac:dyDescent="0.35">
      <c r="B729" t="s">
        <v>9</v>
      </c>
      <c r="C729" t="s">
        <v>10</v>
      </c>
    </row>
    <row r="730" spans="2:3" x14ac:dyDescent="0.35">
      <c r="B730" t="s">
        <v>713</v>
      </c>
      <c r="C730" t="s">
        <v>714</v>
      </c>
    </row>
    <row r="731" spans="2:3" x14ac:dyDescent="0.35">
      <c r="B731" t="s">
        <v>698</v>
      </c>
      <c r="C731" t="s">
        <v>699</v>
      </c>
    </row>
    <row r="732" spans="2:3" x14ac:dyDescent="0.35">
      <c r="B732" t="s">
        <v>698</v>
      </c>
      <c r="C732" t="s">
        <v>699</v>
      </c>
    </row>
    <row r="733" spans="2:3" x14ac:dyDescent="0.35">
      <c r="B733" t="s">
        <v>543</v>
      </c>
      <c r="C733" t="s">
        <v>544</v>
      </c>
    </row>
    <row r="734" spans="2:3" x14ac:dyDescent="0.35">
      <c r="B734" t="s">
        <v>660</v>
      </c>
      <c r="C734" t="s">
        <v>661</v>
      </c>
    </row>
    <row r="735" spans="2:3" x14ac:dyDescent="0.35">
      <c r="B735" t="s">
        <v>648</v>
      </c>
      <c r="C735" t="s">
        <v>649</v>
      </c>
    </row>
    <row r="736" spans="2:3" x14ac:dyDescent="0.35">
      <c r="B736" t="s">
        <v>469</v>
      </c>
      <c r="C736" t="s">
        <v>470</v>
      </c>
    </row>
    <row r="737" spans="2:3" x14ac:dyDescent="0.35">
      <c r="B737" t="s">
        <v>567</v>
      </c>
      <c r="C737" t="s">
        <v>568</v>
      </c>
    </row>
    <row r="738" spans="2:3" x14ac:dyDescent="0.35">
      <c r="B738" t="s">
        <v>559</v>
      </c>
      <c r="C738" t="s">
        <v>560</v>
      </c>
    </row>
    <row r="739" spans="2:3" x14ac:dyDescent="0.35">
      <c r="B739" t="s">
        <v>620</v>
      </c>
      <c r="C739" t="s">
        <v>621</v>
      </c>
    </row>
    <row r="740" spans="2:3" x14ac:dyDescent="0.35">
      <c r="B740" t="s">
        <v>445</v>
      </c>
      <c r="C740" t="s">
        <v>446</v>
      </c>
    </row>
    <row r="741" spans="2:3" x14ac:dyDescent="0.35">
      <c r="B741" t="s">
        <v>477</v>
      </c>
      <c r="C741" t="s">
        <v>478</v>
      </c>
    </row>
    <row r="742" spans="2:3" x14ac:dyDescent="0.35">
      <c r="B742" t="s">
        <v>567</v>
      </c>
      <c r="C742" t="s">
        <v>568</v>
      </c>
    </row>
    <row r="743" spans="2:3" x14ac:dyDescent="0.35">
      <c r="B743" t="s">
        <v>126</v>
      </c>
      <c r="C743" t="s">
        <v>127</v>
      </c>
    </row>
    <row r="744" spans="2:3" x14ac:dyDescent="0.35">
      <c r="B744" t="s">
        <v>603</v>
      </c>
      <c r="C744" t="s">
        <v>604</v>
      </c>
    </row>
    <row r="745" spans="2:3" x14ac:dyDescent="0.35">
      <c r="B745" t="s">
        <v>595</v>
      </c>
      <c r="C745" t="s">
        <v>596</v>
      </c>
    </row>
    <row r="746" spans="2:3" x14ac:dyDescent="0.35">
      <c r="B746" t="s">
        <v>62</v>
      </c>
      <c r="C746" t="s">
        <v>63</v>
      </c>
    </row>
    <row r="747" spans="2:3" x14ac:dyDescent="0.35">
      <c r="B747" t="s">
        <v>105</v>
      </c>
      <c r="C747" t="s">
        <v>106</v>
      </c>
    </row>
    <row r="748" spans="2:3" x14ac:dyDescent="0.35">
      <c r="B748" t="s">
        <v>105</v>
      </c>
      <c r="C748" t="s">
        <v>106</v>
      </c>
    </row>
    <row r="749" spans="2:3" x14ac:dyDescent="0.35">
      <c r="B749" t="s">
        <v>382</v>
      </c>
      <c r="C749" t="s">
        <v>383</v>
      </c>
    </row>
    <row r="750" spans="2:3" x14ac:dyDescent="0.35">
      <c r="B750" t="s">
        <v>126</v>
      </c>
      <c r="C750" t="s">
        <v>127</v>
      </c>
    </row>
    <row r="751" spans="2:3" x14ac:dyDescent="0.35">
      <c r="B751" t="s">
        <v>481</v>
      </c>
      <c r="C751" t="s">
        <v>482</v>
      </c>
    </row>
    <row r="752" spans="2:3" x14ac:dyDescent="0.35">
      <c r="B752" t="s">
        <v>648</v>
      </c>
      <c r="C752" t="s">
        <v>649</v>
      </c>
    </row>
    <row r="753" spans="2:3" x14ac:dyDescent="0.35">
      <c r="B753" t="s">
        <v>595</v>
      </c>
      <c r="C753" t="s">
        <v>596</v>
      </c>
    </row>
    <row r="754" spans="2:3" x14ac:dyDescent="0.35">
      <c r="B754" t="s">
        <v>698</v>
      </c>
      <c r="C754" t="s">
        <v>699</v>
      </c>
    </row>
    <row r="755" spans="2:3" x14ac:dyDescent="0.35">
      <c r="B755" t="s">
        <v>126</v>
      </c>
      <c r="C755" t="s">
        <v>127</v>
      </c>
    </row>
    <row r="756" spans="2:3" x14ac:dyDescent="0.35">
      <c r="B756" t="s">
        <v>698</v>
      </c>
      <c r="C756" t="s">
        <v>699</v>
      </c>
    </row>
    <row r="757" spans="2:3" x14ac:dyDescent="0.35">
      <c r="B757" t="s">
        <v>445</v>
      </c>
      <c r="C757" t="s">
        <v>446</v>
      </c>
    </row>
    <row r="758" spans="2:3" x14ac:dyDescent="0.35">
      <c r="B758" t="s">
        <v>543</v>
      </c>
      <c r="C758" t="s">
        <v>544</v>
      </c>
    </row>
    <row r="759" spans="2:3" x14ac:dyDescent="0.35">
      <c r="B759" t="s">
        <v>469</v>
      </c>
      <c r="C759" t="s">
        <v>470</v>
      </c>
    </row>
    <row r="760" spans="2:3" x14ac:dyDescent="0.35">
      <c r="B760" t="s">
        <v>382</v>
      </c>
      <c r="C760" t="s">
        <v>383</v>
      </c>
    </row>
    <row r="761" spans="2:3" x14ac:dyDescent="0.35">
      <c r="B761" t="s">
        <v>382</v>
      </c>
      <c r="C761" t="s">
        <v>383</v>
      </c>
    </row>
    <row r="762" spans="2:3" x14ac:dyDescent="0.35">
      <c r="B762" t="s">
        <v>713</v>
      </c>
      <c r="C762" t="s">
        <v>714</v>
      </c>
    </row>
    <row r="763" spans="2:3" x14ac:dyDescent="0.35">
      <c r="B763" t="s">
        <v>698</v>
      </c>
      <c r="C763" t="s">
        <v>699</v>
      </c>
    </row>
    <row r="764" spans="2:3" x14ac:dyDescent="0.35">
      <c r="B764" t="s">
        <v>469</v>
      </c>
      <c r="C764" t="s">
        <v>470</v>
      </c>
    </row>
    <row r="765" spans="2:3" x14ac:dyDescent="0.35">
      <c r="B765" t="s">
        <v>469</v>
      </c>
      <c r="C765" t="s">
        <v>470</v>
      </c>
    </row>
    <row r="766" spans="2:3" x14ac:dyDescent="0.35">
      <c r="B766" t="s">
        <v>698</v>
      </c>
      <c r="C766" t="s">
        <v>699</v>
      </c>
    </row>
    <row r="767" spans="2:3" x14ac:dyDescent="0.35">
      <c r="B767" t="s">
        <v>62</v>
      </c>
      <c r="C767" t="s">
        <v>63</v>
      </c>
    </row>
    <row r="768" spans="2:3" x14ac:dyDescent="0.35">
      <c r="B768" t="s">
        <v>517</v>
      </c>
      <c r="C768" t="s">
        <v>518</v>
      </c>
    </row>
    <row r="769" spans="2:3" x14ac:dyDescent="0.35">
      <c r="B769" t="s">
        <v>559</v>
      </c>
      <c r="C769" t="s">
        <v>560</v>
      </c>
    </row>
    <row r="770" spans="2:3" x14ac:dyDescent="0.35">
      <c r="B770" t="s">
        <v>698</v>
      </c>
      <c r="C770" t="s">
        <v>699</v>
      </c>
    </row>
    <row r="771" spans="2:3" x14ac:dyDescent="0.35">
      <c r="B771" t="s">
        <v>382</v>
      </c>
      <c r="C771" t="s">
        <v>383</v>
      </c>
    </row>
    <row r="772" spans="2:3" x14ac:dyDescent="0.35">
      <c r="B772" t="s">
        <v>559</v>
      </c>
      <c r="C772" t="s">
        <v>560</v>
      </c>
    </row>
    <row r="773" spans="2:3" x14ac:dyDescent="0.35">
      <c r="B773" t="s">
        <v>126</v>
      </c>
      <c r="C773" t="s">
        <v>127</v>
      </c>
    </row>
    <row r="774" spans="2:3" x14ac:dyDescent="0.35">
      <c r="B774" t="s">
        <v>660</v>
      </c>
      <c r="C774" t="s">
        <v>661</v>
      </c>
    </row>
    <row r="775" spans="2:3" x14ac:dyDescent="0.35">
      <c r="B775" t="s">
        <v>469</v>
      </c>
      <c r="C775" t="s">
        <v>470</v>
      </c>
    </row>
    <row r="776" spans="2:3" x14ac:dyDescent="0.35">
      <c r="B776" t="s">
        <v>88</v>
      </c>
      <c r="C776" t="s">
        <v>89</v>
      </c>
    </row>
    <row r="777" spans="2:3" x14ac:dyDescent="0.35">
      <c r="B777" t="s">
        <v>382</v>
      </c>
      <c r="C777" t="s">
        <v>383</v>
      </c>
    </row>
    <row r="778" spans="2:3" x14ac:dyDescent="0.35">
      <c r="B778" t="s">
        <v>519</v>
      </c>
      <c r="C778" t="s">
        <v>520</v>
      </c>
    </row>
    <row r="779" spans="2:3" x14ac:dyDescent="0.35">
      <c r="B779" t="s">
        <v>445</v>
      </c>
      <c r="C779" t="s">
        <v>446</v>
      </c>
    </row>
    <row r="780" spans="2:3" x14ac:dyDescent="0.35">
      <c r="B780" t="s">
        <v>698</v>
      </c>
      <c r="C780" t="s">
        <v>699</v>
      </c>
    </row>
    <row r="781" spans="2:3" x14ac:dyDescent="0.35">
      <c r="B781" t="s">
        <v>654</v>
      </c>
      <c r="C781" t="s">
        <v>655</v>
      </c>
    </row>
    <row r="782" spans="2:3" x14ac:dyDescent="0.35">
      <c r="B782" t="s">
        <v>519</v>
      </c>
      <c r="C782" t="s">
        <v>520</v>
      </c>
    </row>
    <row r="783" spans="2:3" x14ac:dyDescent="0.35">
      <c r="B783" t="s">
        <v>567</v>
      </c>
      <c r="C783" t="s">
        <v>568</v>
      </c>
    </row>
    <row r="784" spans="2:3" x14ac:dyDescent="0.35">
      <c r="B784" t="s">
        <v>481</v>
      </c>
      <c r="C784" t="s">
        <v>482</v>
      </c>
    </row>
    <row r="785" spans="2:3" x14ac:dyDescent="0.35">
      <c r="B785" t="s">
        <v>559</v>
      </c>
      <c r="C785" t="s">
        <v>560</v>
      </c>
    </row>
    <row r="786" spans="2:3" x14ac:dyDescent="0.35">
      <c r="B786" t="s">
        <v>595</v>
      </c>
      <c r="C786" t="s">
        <v>596</v>
      </c>
    </row>
    <row r="787" spans="2:3" x14ac:dyDescent="0.35">
      <c r="B787" t="s">
        <v>519</v>
      </c>
      <c r="C787" t="s">
        <v>520</v>
      </c>
    </row>
    <row r="788" spans="2:3" x14ac:dyDescent="0.35">
      <c r="B788" t="s">
        <v>105</v>
      </c>
      <c r="C788" t="s">
        <v>106</v>
      </c>
    </row>
    <row r="789" spans="2:3" x14ac:dyDescent="0.35">
      <c r="B789" t="s">
        <v>88</v>
      </c>
      <c r="C789" t="s">
        <v>89</v>
      </c>
    </row>
    <row r="790" spans="2:3" x14ac:dyDescent="0.35">
      <c r="B790" t="s">
        <v>654</v>
      </c>
      <c r="C790" t="s">
        <v>655</v>
      </c>
    </row>
    <row r="791" spans="2:3" x14ac:dyDescent="0.35">
      <c r="B791" t="s">
        <v>713</v>
      </c>
      <c r="C791" t="s">
        <v>714</v>
      </c>
    </row>
    <row r="792" spans="2:3" x14ac:dyDescent="0.35">
      <c r="B792" t="s">
        <v>126</v>
      </c>
      <c r="C792" t="s">
        <v>127</v>
      </c>
    </row>
    <row r="793" spans="2:3" x14ac:dyDescent="0.35">
      <c r="B793" t="s">
        <v>126</v>
      </c>
      <c r="C793" t="s">
        <v>127</v>
      </c>
    </row>
    <row r="794" spans="2:3" x14ac:dyDescent="0.35">
      <c r="B794" t="s">
        <v>62</v>
      </c>
      <c r="C794" t="s">
        <v>63</v>
      </c>
    </row>
    <row r="795" spans="2:3" x14ac:dyDescent="0.35">
      <c r="B795" t="s">
        <v>519</v>
      </c>
      <c r="C795" t="s">
        <v>520</v>
      </c>
    </row>
    <row r="796" spans="2:3" x14ac:dyDescent="0.35">
      <c r="B796" t="s">
        <v>567</v>
      </c>
      <c r="C796" t="s">
        <v>568</v>
      </c>
    </row>
    <row r="797" spans="2:3" x14ac:dyDescent="0.35">
      <c r="B797" t="s">
        <v>567</v>
      </c>
      <c r="C797" t="s">
        <v>568</v>
      </c>
    </row>
    <row r="798" spans="2:3" x14ac:dyDescent="0.35">
      <c r="B798" t="s">
        <v>567</v>
      </c>
      <c r="C798" t="s">
        <v>568</v>
      </c>
    </row>
    <row r="799" spans="2:3" x14ac:dyDescent="0.35">
      <c r="B799" t="s">
        <v>585</v>
      </c>
      <c r="C799" t="s">
        <v>586</v>
      </c>
    </row>
    <row r="800" spans="2:3" x14ac:dyDescent="0.35">
      <c r="B800" t="s">
        <v>445</v>
      </c>
      <c r="C800" t="s">
        <v>446</v>
      </c>
    </row>
    <row r="801" spans="2:3" x14ac:dyDescent="0.35">
      <c r="B801" t="s">
        <v>469</v>
      </c>
      <c r="C801" t="s">
        <v>470</v>
      </c>
    </row>
    <row r="802" spans="2:3" x14ac:dyDescent="0.35">
      <c r="B802" t="s">
        <v>477</v>
      </c>
      <c r="C802" t="s">
        <v>478</v>
      </c>
    </row>
    <row r="803" spans="2:3" x14ac:dyDescent="0.35">
      <c r="B803" t="s">
        <v>105</v>
      </c>
      <c r="C803" t="s">
        <v>106</v>
      </c>
    </row>
    <row r="804" spans="2:3" x14ac:dyDescent="0.35">
      <c r="B804" t="s">
        <v>469</v>
      </c>
      <c r="C804" t="s">
        <v>470</v>
      </c>
    </row>
    <row r="805" spans="2:3" x14ac:dyDescent="0.35">
      <c r="B805" t="s">
        <v>469</v>
      </c>
      <c r="C805" t="s">
        <v>470</v>
      </c>
    </row>
    <row r="806" spans="2:3" x14ac:dyDescent="0.35">
      <c r="B806" t="s">
        <v>477</v>
      </c>
      <c r="C806" t="s">
        <v>478</v>
      </c>
    </row>
    <row r="807" spans="2:3" x14ac:dyDescent="0.35">
      <c r="B807" t="s">
        <v>543</v>
      </c>
      <c r="C807" t="s">
        <v>544</v>
      </c>
    </row>
    <row r="808" spans="2:3" x14ac:dyDescent="0.35">
      <c r="B808" t="s">
        <v>105</v>
      </c>
      <c r="C808" t="s">
        <v>106</v>
      </c>
    </row>
    <row r="809" spans="2:3" x14ac:dyDescent="0.35">
      <c r="B809" t="s">
        <v>105</v>
      </c>
      <c r="C809" t="s">
        <v>106</v>
      </c>
    </row>
    <row r="810" spans="2:3" x14ac:dyDescent="0.35">
      <c r="B810" t="s">
        <v>533</v>
      </c>
      <c r="C810" t="s">
        <v>534</v>
      </c>
    </row>
    <row r="811" spans="2:3" x14ac:dyDescent="0.35">
      <c r="B811" t="s">
        <v>567</v>
      </c>
      <c r="C811" t="s">
        <v>568</v>
      </c>
    </row>
    <row r="812" spans="2:3" x14ac:dyDescent="0.35">
      <c r="B812" t="s">
        <v>126</v>
      </c>
      <c r="C812" t="s">
        <v>127</v>
      </c>
    </row>
    <row r="813" spans="2:3" x14ac:dyDescent="0.35">
      <c r="B813" t="s">
        <v>603</v>
      </c>
      <c r="C813" t="s">
        <v>604</v>
      </c>
    </row>
    <row r="814" spans="2:3" x14ac:dyDescent="0.35">
      <c r="B814" t="s">
        <v>567</v>
      </c>
      <c r="C814" t="s">
        <v>568</v>
      </c>
    </row>
    <row r="815" spans="2:3" x14ac:dyDescent="0.35">
      <c r="B815" t="s">
        <v>445</v>
      </c>
      <c r="C815" t="s">
        <v>446</v>
      </c>
    </row>
    <row r="816" spans="2:3" x14ac:dyDescent="0.35">
      <c r="B816" t="s">
        <v>559</v>
      </c>
      <c r="C816" t="s">
        <v>560</v>
      </c>
    </row>
    <row r="817" spans="2:3" x14ac:dyDescent="0.35">
      <c r="B817" t="s">
        <v>567</v>
      </c>
      <c r="C817" t="s">
        <v>568</v>
      </c>
    </row>
    <row r="818" spans="2:3" x14ac:dyDescent="0.35">
      <c r="B818" t="s">
        <v>567</v>
      </c>
      <c r="C818" t="s">
        <v>568</v>
      </c>
    </row>
    <row r="819" spans="2:3" x14ac:dyDescent="0.35">
      <c r="B819" t="s">
        <v>445</v>
      </c>
      <c r="C819" t="s">
        <v>446</v>
      </c>
    </row>
    <row r="820" spans="2:3" x14ac:dyDescent="0.35">
      <c r="B820" t="s">
        <v>126</v>
      </c>
      <c r="C820" t="s">
        <v>127</v>
      </c>
    </row>
    <row r="821" spans="2:3" x14ac:dyDescent="0.35">
      <c r="B821" t="s">
        <v>603</v>
      </c>
      <c r="C821" t="s">
        <v>604</v>
      </c>
    </row>
    <row r="822" spans="2:3" x14ac:dyDescent="0.35">
      <c r="B822" t="s">
        <v>533</v>
      </c>
      <c r="C822" t="s">
        <v>534</v>
      </c>
    </row>
    <row r="823" spans="2:3" x14ac:dyDescent="0.35">
      <c r="B823" t="s">
        <v>698</v>
      </c>
      <c r="C823" t="s">
        <v>699</v>
      </c>
    </row>
    <row r="824" spans="2:3" x14ac:dyDescent="0.35">
      <c r="B824" t="s">
        <v>533</v>
      </c>
      <c r="C824" t="s">
        <v>534</v>
      </c>
    </row>
    <row r="825" spans="2:3" x14ac:dyDescent="0.35">
      <c r="B825" t="s">
        <v>445</v>
      </c>
      <c r="C825" t="s">
        <v>446</v>
      </c>
    </row>
    <row r="826" spans="2:3" x14ac:dyDescent="0.35">
      <c r="B826" t="s">
        <v>477</v>
      </c>
      <c r="C826" t="s">
        <v>478</v>
      </c>
    </row>
    <row r="827" spans="2:3" x14ac:dyDescent="0.35">
      <c r="B827" t="s">
        <v>595</v>
      </c>
      <c r="C827" t="s">
        <v>596</v>
      </c>
    </row>
    <row r="828" spans="2:3" x14ac:dyDescent="0.35">
      <c r="B828" t="s">
        <v>469</v>
      </c>
      <c r="C828" t="s">
        <v>470</v>
      </c>
    </row>
    <row r="829" spans="2:3" x14ac:dyDescent="0.35">
      <c r="B829" t="s">
        <v>603</v>
      </c>
      <c r="C829" t="s">
        <v>604</v>
      </c>
    </row>
    <row r="830" spans="2:3" x14ac:dyDescent="0.35">
      <c r="B830" t="s">
        <v>595</v>
      </c>
      <c r="C830" t="s">
        <v>596</v>
      </c>
    </row>
    <row r="831" spans="2:3" x14ac:dyDescent="0.35">
      <c r="B831" t="s">
        <v>585</v>
      </c>
      <c r="C831" t="s">
        <v>586</v>
      </c>
    </row>
    <row r="832" spans="2:3" x14ac:dyDescent="0.35">
      <c r="B832" t="s">
        <v>126</v>
      </c>
      <c r="C832" t="s">
        <v>127</v>
      </c>
    </row>
    <row r="833" spans="2:3" x14ac:dyDescent="0.35">
      <c r="B833" t="s">
        <v>559</v>
      </c>
      <c r="C833" t="s">
        <v>560</v>
      </c>
    </row>
    <row r="834" spans="2:3" x14ac:dyDescent="0.35">
      <c r="B834" t="s">
        <v>543</v>
      </c>
      <c r="C834" t="s">
        <v>544</v>
      </c>
    </row>
    <row r="835" spans="2:3" x14ac:dyDescent="0.35">
      <c r="B835" t="s">
        <v>567</v>
      </c>
      <c r="C835" t="s">
        <v>568</v>
      </c>
    </row>
    <row r="836" spans="2:3" x14ac:dyDescent="0.35">
      <c r="B836" t="s">
        <v>567</v>
      </c>
      <c r="C836" t="s">
        <v>568</v>
      </c>
    </row>
    <row r="837" spans="2:3" x14ac:dyDescent="0.35">
      <c r="B837" t="s">
        <v>620</v>
      </c>
      <c r="C837" t="s">
        <v>621</v>
      </c>
    </row>
    <row r="838" spans="2:3" x14ac:dyDescent="0.35">
      <c r="B838" t="s">
        <v>567</v>
      </c>
      <c r="C838" t="s">
        <v>568</v>
      </c>
    </row>
    <row r="839" spans="2:3" x14ac:dyDescent="0.35">
      <c r="B839" t="s">
        <v>660</v>
      </c>
      <c r="C839" t="s">
        <v>661</v>
      </c>
    </row>
    <row r="840" spans="2:3" x14ac:dyDescent="0.35">
      <c r="B840" t="s">
        <v>469</v>
      </c>
      <c r="C840" t="s">
        <v>470</v>
      </c>
    </row>
    <row r="841" spans="2:3" x14ac:dyDescent="0.35">
      <c r="B841" t="s">
        <v>469</v>
      </c>
      <c r="C841" t="s">
        <v>470</v>
      </c>
    </row>
    <row r="842" spans="2:3" x14ac:dyDescent="0.35">
      <c r="B842" t="s">
        <v>603</v>
      </c>
      <c r="C842" t="s">
        <v>604</v>
      </c>
    </row>
    <row r="843" spans="2:3" x14ac:dyDescent="0.35">
      <c r="B843" t="s">
        <v>1048</v>
      </c>
      <c r="C843" t="s">
        <v>1049</v>
      </c>
    </row>
    <row r="844" spans="2:3" x14ac:dyDescent="0.35">
      <c r="B844" t="s">
        <v>559</v>
      </c>
      <c r="C844" t="s">
        <v>560</v>
      </c>
    </row>
    <row r="845" spans="2:3" x14ac:dyDescent="0.35">
      <c r="B845" t="s">
        <v>382</v>
      </c>
      <c r="C845" t="s">
        <v>383</v>
      </c>
    </row>
    <row r="846" spans="2:3" x14ac:dyDescent="0.35">
      <c r="B846" t="s">
        <v>660</v>
      </c>
      <c r="C846" t="s">
        <v>661</v>
      </c>
    </row>
    <row r="847" spans="2:3" x14ac:dyDescent="0.35">
      <c r="B847" t="s">
        <v>519</v>
      </c>
      <c r="C847" t="s">
        <v>520</v>
      </c>
    </row>
    <row r="848" spans="2:3" x14ac:dyDescent="0.35">
      <c r="B848" t="s">
        <v>88</v>
      </c>
      <c r="C848" t="s">
        <v>89</v>
      </c>
    </row>
    <row r="849" spans="2:3" x14ac:dyDescent="0.35">
      <c r="B849" t="s">
        <v>595</v>
      </c>
      <c r="C849" t="s">
        <v>596</v>
      </c>
    </row>
    <row r="850" spans="2:3" x14ac:dyDescent="0.35">
      <c r="B850" t="s">
        <v>654</v>
      </c>
      <c r="C850" t="s">
        <v>655</v>
      </c>
    </row>
    <row r="851" spans="2:3" x14ac:dyDescent="0.35">
      <c r="B851" t="s">
        <v>477</v>
      </c>
      <c r="C851" t="s">
        <v>478</v>
      </c>
    </row>
    <row r="852" spans="2:3" x14ac:dyDescent="0.35">
      <c r="B852" t="s">
        <v>469</v>
      </c>
      <c r="C852" t="s">
        <v>470</v>
      </c>
    </row>
    <row r="853" spans="2:3" x14ac:dyDescent="0.35">
      <c r="B853" t="s">
        <v>469</v>
      </c>
      <c r="C853" t="s">
        <v>470</v>
      </c>
    </row>
    <row r="854" spans="2:3" x14ac:dyDescent="0.35">
      <c r="B854" t="s">
        <v>654</v>
      </c>
      <c r="C854" t="s">
        <v>655</v>
      </c>
    </row>
    <row r="855" spans="2:3" x14ac:dyDescent="0.35">
      <c r="B855" t="s">
        <v>469</v>
      </c>
      <c r="C855" t="s">
        <v>470</v>
      </c>
    </row>
    <row r="856" spans="2:3" x14ac:dyDescent="0.35">
      <c r="B856" t="s">
        <v>126</v>
      </c>
      <c r="C856" t="s">
        <v>127</v>
      </c>
    </row>
    <row r="857" spans="2:3" x14ac:dyDescent="0.35">
      <c r="B857" t="s">
        <v>603</v>
      </c>
      <c r="C857" t="s">
        <v>604</v>
      </c>
    </row>
    <row r="858" spans="2:3" x14ac:dyDescent="0.35">
      <c r="B858" t="s">
        <v>88</v>
      </c>
      <c r="C858" t="s">
        <v>89</v>
      </c>
    </row>
    <row r="859" spans="2:3" x14ac:dyDescent="0.35">
      <c r="B859" t="s">
        <v>382</v>
      </c>
      <c r="C859" t="s">
        <v>383</v>
      </c>
    </row>
    <row r="860" spans="2:3" x14ac:dyDescent="0.35">
      <c r="B860" t="s">
        <v>603</v>
      </c>
      <c r="C860" t="s">
        <v>604</v>
      </c>
    </row>
    <row r="861" spans="2:3" x14ac:dyDescent="0.35">
      <c r="B861" t="s">
        <v>469</v>
      </c>
      <c r="C861" t="s">
        <v>470</v>
      </c>
    </row>
    <row r="862" spans="2:3" x14ac:dyDescent="0.35">
      <c r="B862" t="s">
        <v>399</v>
      </c>
      <c r="C862" t="s">
        <v>400</v>
      </c>
    </row>
    <row r="863" spans="2:3" x14ac:dyDescent="0.35">
      <c r="B863" t="s">
        <v>382</v>
      </c>
      <c r="C863" t="s">
        <v>383</v>
      </c>
    </row>
    <row r="864" spans="2:3" x14ac:dyDescent="0.35">
      <c r="B864" t="s">
        <v>62</v>
      </c>
      <c r="C864" t="s">
        <v>63</v>
      </c>
    </row>
    <row r="865" spans="2:3" x14ac:dyDescent="0.35">
      <c r="B865" t="s">
        <v>445</v>
      </c>
      <c r="C865" t="s">
        <v>446</v>
      </c>
    </row>
    <row r="866" spans="2:3" x14ac:dyDescent="0.35">
      <c r="B866" t="s">
        <v>467</v>
      </c>
      <c r="C866" t="s">
        <v>468</v>
      </c>
    </row>
    <row r="867" spans="2:3" x14ac:dyDescent="0.35">
      <c r="B867" t="s">
        <v>382</v>
      </c>
      <c r="C867" t="s">
        <v>383</v>
      </c>
    </row>
    <row r="868" spans="2:3" x14ac:dyDescent="0.35">
      <c r="B868" t="s">
        <v>607</v>
      </c>
      <c r="C868" t="s">
        <v>608</v>
      </c>
    </row>
    <row r="869" spans="2:3" x14ac:dyDescent="0.35">
      <c r="B869" t="s">
        <v>481</v>
      </c>
      <c r="C869" t="s">
        <v>482</v>
      </c>
    </row>
    <row r="870" spans="2:3" x14ac:dyDescent="0.35">
      <c r="B870" t="s">
        <v>698</v>
      </c>
      <c r="C870" t="s">
        <v>699</v>
      </c>
    </row>
    <row r="871" spans="2:3" x14ac:dyDescent="0.35">
      <c r="B871" t="s">
        <v>567</v>
      </c>
      <c r="C871" t="s">
        <v>568</v>
      </c>
    </row>
    <row r="872" spans="2:3" x14ac:dyDescent="0.35">
      <c r="B872" t="s">
        <v>620</v>
      </c>
      <c r="C872" t="s">
        <v>621</v>
      </c>
    </row>
    <row r="873" spans="2:3" x14ac:dyDescent="0.35">
      <c r="B873" t="s">
        <v>567</v>
      </c>
      <c r="C873" t="s">
        <v>568</v>
      </c>
    </row>
    <row r="874" spans="2:3" x14ac:dyDescent="0.35">
      <c r="B874" t="s">
        <v>88</v>
      </c>
      <c r="C874" t="s">
        <v>89</v>
      </c>
    </row>
    <row r="875" spans="2:3" x14ac:dyDescent="0.35">
      <c r="B875" t="s">
        <v>567</v>
      </c>
      <c r="C875" t="s">
        <v>568</v>
      </c>
    </row>
    <row r="876" spans="2:3" x14ac:dyDescent="0.35">
      <c r="B876" t="s">
        <v>291</v>
      </c>
      <c r="C876" t="s">
        <v>292</v>
      </c>
    </row>
    <row r="877" spans="2:3" x14ac:dyDescent="0.35">
      <c r="B877" t="s">
        <v>559</v>
      </c>
      <c r="C877" t="s">
        <v>560</v>
      </c>
    </row>
    <row r="878" spans="2:3" x14ac:dyDescent="0.35">
      <c r="B878" t="s">
        <v>559</v>
      </c>
      <c r="C878" t="s">
        <v>560</v>
      </c>
    </row>
    <row r="879" spans="2:3" x14ac:dyDescent="0.35">
      <c r="B879" t="s">
        <v>543</v>
      </c>
      <c r="C879" t="s">
        <v>544</v>
      </c>
    </row>
    <row r="880" spans="2:3" x14ac:dyDescent="0.35">
      <c r="B880" t="s">
        <v>543</v>
      </c>
      <c r="C880" t="s">
        <v>544</v>
      </c>
    </row>
    <row r="881" spans="2:3" x14ac:dyDescent="0.35">
      <c r="B881" t="s">
        <v>382</v>
      </c>
      <c r="C881" t="s">
        <v>383</v>
      </c>
    </row>
    <row r="882" spans="2:3" x14ac:dyDescent="0.35">
      <c r="B882" t="s">
        <v>595</v>
      </c>
      <c r="C882" t="s">
        <v>596</v>
      </c>
    </row>
    <row r="883" spans="2:3" x14ac:dyDescent="0.35">
      <c r="B883" t="s">
        <v>660</v>
      </c>
      <c r="C883" t="s">
        <v>661</v>
      </c>
    </row>
    <row r="884" spans="2:3" x14ac:dyDescent="0.35">
      <c r="B884" t="s">
        <v>469</v>
      </c>
      <c r="C884" t="s">
        <v>470</v>
      </c>
    </row>
    <row r="885" spans="2:3" x14ac:dyDescent="0.35">
      <c r="B885" t="s">
        <v>469</v>
      </c>
      <c r="C885" t="s">
        <v>470</v>
      </c>
    </row>
    <row r="886" spans="2:3" x14ac:dyDescent="0.35">
      <c r="B886" t="s">
        <v>62</v>
      </c>
      <c r="C886" t="s">
        <v>63</v>
      </c>
    </row>
    <row r="887" spans="2:3" x14ac:dyDescent="0.35">
      <c r="B887" t="s">
        <v>88</v>
      </c>
      <c r="C887" t="s">
        <v>89</v>
      </c>
    </row>
    <row r="888" spans="2:3" x14ac:dyDescent="0.35">
      <c r="B888" t="s">
        <v>469</v>
      </c>
      <c r="C888" t="s">
        <v>470</v>
      </c>
    </row>
    <row r="889" spans="2:3" x14ac:dyDescent="0.35">
      <c r="B889" t="s">
        <v>603</v>
      </c>
      <c r="C889" t="s">
        <v>604</v>
      </c>
    </row>
    <row r="890" spans="2:3" x14ac:dyDescent="0.35">
      <c r="B890" t="s">
        <v>88</v>
      </c>
      <c r="C890" t="s">
        <v>89</v>
      </c>
    </row>
    <row r="891" spans="2:3" x14ac:dyDescent="0.35">
      <c r="B891" t="s">
        <v>620</v>
      </c>
      <c r="C891" t="s">
        <v>621</v>
      </c>
    </row>
    <row r="892" spans="2:3" x14ac:dyDescent="0.35">
      <c r="B892" t="s">
        <v>603</v>
      </c>
      <c r="C892" t="s">
        <v>604</v>
      </c>
    </row>
    <row r="893" spans="2:3" x14ac:dyDescent="0.35">
      <c r="B893" t="s">
        <v>477</v>
      </c>
      <c r="C893" t="s">
        <v>478</v>
      </c>
    </row>
    <row r="894" spans="2:3" x14ac:dyDescent="0.35">
      <c r="B894" t="s">
        <v>477</v>
      </c>
      <c r="C894" t="s">
        <v>478</v>
      </c>
    </row>
    <row r="895" spans="2:3" x14ac:dyDescent="0.35">
      <c r="B895" t="s">
        <v>567</v>
      </c>
      <c r="C895" t="s">
        <v>568</v>
      </c>
    </row>
    <row r="896" spans="2:3" x14ac:dyDescent="0.35">
      <c r="B896" t="s">
        <v>445</v>
      </c>
      <c r="C896" t="s">
        <v>446</v>
      </c>
    </row>
    <row r="897" spans="2:3" x14ac:dyDescent="0.35">
      <c r="B897" t="s">
        <v>469</v>
      </c>
      <c r="C897" t="s">
        <v>470</v>
      </c>
    </row>
    <row r="898" spans="2:3" x14ac:dyDescent="0.35">
      <c r="B898" t="s">
        <v>1195</v>
      </c>
      <c r="C898" t="s">
        <v>1195</v>
      </c>
    </row>
    <row r="899" spans="2:3" x14ac:dyDescent="0.35">
      <c r="B899" t="s">
        <v>738</v>
      </c>
      <c r="C899" t="s">
        <v>739</v>
      </c>
    </row>
    <row r="900" spans="2:3" x14ac:dyDescent="0.35">
      <c r="B900" t="s">
        <v>738</v>
      </c>
      <c r="C900" t="s">
        <v>739</v>
      </c>
    </row>
    <row r="901" spans="2:3" x14ac:dyDescent="0.35">
      <c r="B901" t="s">
        <v>738</v>
      </c>
      <c r="C901" t="s">
        <v>739</v>
      </c>
    </row>
    <row r="902" spans="2:3" x14ac:dyDescent="0.35">
      <c r="B902" t="s">
        <v>738</v>
      </c>
      <c r="C902" t="s">
        <v>739</v>
      </c>
    </row>
    <row r="903" spans="2:3" x14ac:dyDescent="0.35">
      <c r="B903" t="s">
        <v>1168</v>
      </c>
      <c r="C903" t="s">
        <v>1169</v>
      </c>
    </row>
    <row r="904" spans="2:3" x14ac:dyDescent="0.35">
      <c r="B904" t="s">
        <v>1168</v>
      </c>
      <c r="C904" t="s">
        <v>1169</v>
      </c>
    </row>
    <row r="905" spans="2:3" x14ac:dyDescent="0.35">
      <c r="B905" t="s">
        <v>1168</v>
      </c>
      <c r="C905" t="s">
        <v>1169</v>
      </c>
    </row>
    <row r="906" spans="2:3" x14ac:dyDescent="0.35">
      <c r="B906" t="s">
        <v>1168</v>
      </c>
      <c r="C906" t="s">
        <v>1169</v>
      </c>
    </row>
    <row r="907" spans="2:3" x14ac:dyDescent="0.35">
      <c r="B907" t="s">
        <v>1168</v>
      </c>
      <c r="C907" t="s">
        <v>1169</v>
      </c>
    </row>
    <row r="908" spans="2:3" x14ac:dyDescent="0.35">
      <c r="B908" t="s">
        <v>1168</v>
      </c>
      <c r="C908" t="s">
        <v>1169</v>
      </c>
    </row>
    <row r="909" spans="2:3" x14ac:dyDescent="0.35">
      <c r="B909" t="s">
        <v>1168</v>
      </c>
      <c r="C909" t="s">
        <v>1169</v>
      </c>
    </row>
    <row r="910" spans="2:3" x14ac:dyDescent="0.35">
      <c r="B910" t="s">
        <v>1168</v>
      </c>
      <c r="C910" t="s">
        <v>1169</v>
      </c>
    </row>
    <row r="911" spans="2:3" x14ac:dyDescent="0.35">
      <c r="B911" t="s">
        <v>1168</v>
      </c>
      <c r="C911" t="s">
        <v>1169</v>
      </c>
    </row>
    <row r="912" spans="2:3" x14ac:dyDescent="0.35">
      <c r="B912" t="s">
        <v>1168</v>
      </c>
      <c r="C912" t="s">
        <v>1169</v>
      </c>
    </row>
    <row r="913" spans="2:3" x14ac:dyDescent="0.35">
      <c r="B913" t="s">
        <v>1168</v>
      </c>
      <c r="C913" t="s">
        <v>1169</v>
      </c>
    </row>
    <row r="914" spans="2:3" x14ac:dyDescent="0.35">
      <c r="B914" t="s">
        <v>1168</v>
      </c>
      <c r="C914" t="s">
        <v>1169</v>
      </c>
    </row>
    <row r="915" spans="2:3" x14ac:dyDescent="0.35">
      <c r="B915" t="s">
        <v>1168</v>
      </c>
      <c r="C915" t="s">
        <v>1169</v>
      </c>
    </row>
    <row r="916" spans="2:3" x14ac:dyDescent="0.35">
      <c r="B916" t="s">
        <v>1131</v>
      </c>
      <c r="C916" t="s">
        <v>1132</v>
      </c>
    </row>
    <row r="917" spans="2:3" x14ac:dyDescent="0.35">
      <c r="B917" t="s">
        <v>1092</v>
      </c>
      <c r="C917" t="s">
        <v>1093</v>
      </c>
    </row>
    <row r="918" spans="2:3" x14ac:dyDescent="0.35">
      <c r="B918" t="s">
        <v>1195</v>
      </c>
      <c r="C918" t="s">
        <v>1195</v>
      </c>
    </row>
    <row r="919" spans="2:3" x14ac:dyDescent="0.35">
      <c r="B919" t="s">
        <v>1195</v>
      </c>
      <c r="C919" t="s">
        <v>1195</v>
      </c>
    </row>
    <row r="920" spans="2:3" x14ac:dyDescent="0.35">
      <c r="B920" t="s">
        <v>1123</v>
      </c>
      <c r="C920" t="s">
        <v>1124</v>
      </c>
    </row>
    <row r="921" spans="2:3" x14ac:dyDescent="0.35">
      <c r="B921" t="s">
        <v>1195</v>
      </c>
      <c r="C921" t="s">
        <v>1195</v>
      </c>
    </row>
    <row r="922" spans="2:3" x14ac:dyDescent="0.35">
      <c r="B922" t="s">
        <v>1092</v>
      </c>
      <c r="C922" t="s">
        <v>1093</v>
      </c>
    </row>
    <row r="923" spans="2:3" x14ac:dyDescent="0.35">
      <c r="B923" t="s">
        <v>1092</v>
      </c>
      <c r="C923" t="s">
        <v>1093</v>
      </c>
    </row>
    <row r="924" spans="2:3" x14ac:dyDescent="0.35">
      <c r="B924" t="s">
        <v>1141</v>
      </c>
      <c r="C924" t="s">
        <v>1142</v>
      </c>
    </row>
    <row r="925" spans="2:3" x14ac:dyDescent="0.35">
      <c r="B925" t="s">
        <v>1131</v>
      </c>
      <c r="C925" t="s">
        <v>1132</v>
      </c>
    </row>
    <row r="926" spans="2:3" x14ac:dyDescent="0.35">
      <c r="B926" t="s">
        <v>955</v>
      </c>
      <c r="C926" t="s">
        <v>956</v>
      </c>
    </row>
    <row r="927" spans="2:3" x14ac:dyDescent="0.35">
      <c r="B927" t="s">
        <v>1131</v>
      </c>
      <c r="C927" t="s">
        <v>1132</v>
      </c>
    </row>
    <row r="928" spans="2:3" x14ac:dyDescent="0.35">
      <c r="B928" t="s">
        <v>1141</v>
      </c>
      <c r="C928" t="s">
        <v>1142</v>
      </c>
    </row>
    <row r="929" spans="2:3" x14ac:dyDescent="0.35">
      <c r="B929" t="s">
        <v>955</v>
      </c>
      <c r="C929" t="s">
        <v>956</v>
      </c>
    </row>
    <row r="930" spans="2:3" x14ac:dyDescent="0.35">
      <c r="B930" t="s">
        <v>1195</v>
      </c>
      <c r="C930" t="s">
        <v>1195</v>
      </c>
    </row>
    <row r="931" spans="2:3" x14ac:dyDescent="0.35">
      <c r="B931" t="s">
        <v>1131</v>
      </c>
      <c r="C931" t="s">
        <v>1132</v>
      </c>
    </row>
    <row r="932" spans="2:3" x14ac:dyDescent="0.35">
      <c r="B932" t="s">
        <v>1141</v>
      </c>
      <c r="C932" t="s">
        <v>1142</v>
      </c>
    </row>
    <row r="933" spans="2:3" x14ac:dyDescent="0.35">
      <c r="B933" t="s">
        <v>955</v>
      </c>
      <c r="C933" t="s">
        <v>956</v>
      </c>
    </row>
    <row r="934" spans="2:3" x14ac:dyDescent="0.35">
      <c r="B934" t="s">
        <v>1092</v>
      </c>
      <c r="C934" t="s">
        <v>1093</v>
      </c>
    </row>
    <row r="935" spans="2:3" x14ac:dyDescent="0.35">
      <c r="B935" t="s">
        <v>955</v>
      </c>
      <c r="C935" t="s">
        <v>956</v>
      </c>
    </row>
    <row r="936" spans="2:3" x14ac:dyDescent="0.35">
      <c r="B936" t="s">
        <v>1123</v>
      </c>
      <c r="C936" t="s">
        <v>1124</v>
      </c>
    </row>
    <row r="937" spans="2:3" x14ac:dyDescent="0.35">
      <c r="B937" t="s">
        <v>1092</v>
      </c>
      <c r="C937" t="s">
        <v>1093</v>
      </c>
    </row>
    <row r="938" spans="2:3" x14ac:dyDescent="0.35">
      <c r="B938" t="s">
        <v>1195</v>
      </c>
      <c r="C938" t="s">
        <v>1195</v>
      </c>
    </row>
    <row r="939" spans="2:3" x14ac:dyDescent="0.35">
      <c r="B939" t="s">
        <v>1141</v>
      </c>
      <c r="C939" t="s">
        <v>1142</v>
      </c>
    </row>
    <row r="940" spans="2:3" x14ac:dyDescent="0.35">
      <c r="B940" t="s">
        <v>804</v>
      </c>
      <c r="C940" t="s">
        <v>805</v>
      </c>
    </row>
    <row r="941" spans="2:3" x14ac:dyDescent="0.35">
      <c r="B941" t="s">
        <v>1195</v>
      </c>
      <c r="C941" t="s">
        <v>1195</v>
      </c>
    </row>
    <row r="942" spans="2:3" x14ac:dyDescent="0.35">
      <c r="B942" t="s">
        <v>1123</v>
      </c>
      <c r="C942" t="s">
        <v>1124</v>
      </c>
    </row>
    <row r="943" spans="2:3" x14ac:dyDescent="0.35">
      <c r="B943" t="s">
        <v>787</v>
      </c>
      <c r="C943" t="s">
        <v>788</v>
      </c>
    </row>
    <row r="944" spans="2:3" x14ac:dyDescent="0.35">
      <c r="B944" t="s">
        <v>804</v>
      </c>
      <c r="C944" t="s">
        <v>805</v>
      </c>
    </row>
    <row r="945" spans="2:3" x14ac:dyDescent="0.35">
      <c r="B945" t="s">
        <v>1131</v>
      </c>
      <c r="C945" t="s">
        <v>1132</v>
      </c>
    </row>
    <row r="946" spans="2:3" x14ac:dyDescent="0.35">
      <c r="B946" t="s">
        <v>1092</v>
      </c>
      <c r="C946" t="s">
        <v>1093</v>
      </c>
    </row>
    <row r="947" spans="2:3" x14ac:dyDescent="0.35">
      <c r="B947" t="s">
        <v>1092</v>
      </c>
      <c r="C947" t="s">
        <v>1093</v>
      </c>
    </row>
    <row r="948" spans="2:3" x14ac:dyDescent="0.35">
      <c r="B948" t="s">
        <v>1195</v>
      </c>
      <c r="C948" t="s">
        <v>1195</v>
      </c>
    </row>
    <row r="949" spans="2:3" x14ac:dyDescent="0.35">
      <c r="B949" t="s">
        <v>955</v>
      </c>
      <c r="C949" t="s">
        <v>956</v>
      </c>
    </row>
    <row r="950" spans="2:3" x14ac:dyDescent="0.35">
      <c r="B950" t="s">
        <v>955</v>
      </c>
      <c r="C950" t="s">
        <v>956</v>
      </c>
    </row>
    <row r="951" spans="2:3" x14ac:dyDescent="0.35">
      <c r="B951" t="s">
        <v>955</v>
      </c>
      <c r="C951" t="s">
        <v>956</v>
      </c>
    </row>
    <row r="952" spans="2:3" x14ac:dyDescent="0.35">
      <c r="B952" t="s">
        <v>1104</v>
      </c>
      <c r="C952" t="s">
        <v>1105</v>
      </c>
    </row>
    <row r="953" spans="2:3" x14ac:dyDescent="0.35">
      <c r="B953" t="s">
        <v>1092</v>
      </c>
      <c r="C953" t="s">
        <v>1093</v>
      </c>
    </row>
    <row r="954" spans="2:3" x14ac:dyDescent="0.35">
      <c r="B954" t="s">
        <v>787</v>
      </c>
      <c r="C954" t="s">
        <v>788</v>
      </c>
    </row>
    <row r="955" spans="2:3" x14ac:dyDescent="0.35">
      <c r="B955" t="s">
        <v>804</v>
      </c>
      <c r="C955" t="s">
        <v>805</v>
      </c>
    </row>
    <row r="956" spans="2:3" x14ac:dyDescent="0.35">
      <c r="B956" t="s">
        <v>1092</v>
      </c>
      <c r="C956" t="s">
        <v>1093</v>
      </c>
    </row>
    <row r="957" spans="2:3" x14ac:dyDescent="0.35">
      <c r="B957" t="s">
        <v>1149</v>
      </c>
      <c r="C957" t="s">
        <v>1150</v>
      </c>
    </row>
    <row r="958" spans="2:3" x14ac:dyDescent="0.35">
      <c r="B958" t="s">
        <v>1104</v>
      </c>
      <c r="C958" t="s">
        <v>1105</v>
      </c>
    </row>
    <row r="959" spans="2:3" x14ac:dyDescent="0.35">
      <c r="B959" t="s">
        <v>1104</v>
      </c>
      <c r="C959" t="s">
        <v>1105</v>
      </c>
    </row>
    <row r="960" spans="2:3" x14ac:dyDescent="0.35">
      <c r="B960" t="s">
        <v>1092</v>
      </c>
      <c r="C960" t="s">
        <v>1093</v>
      </c>
    </row>
    <row r="961" spans="2:3" x14ac:dyDescent="0.35">
      <c r="B961" t="s">
        <v>1104</v>
      </c>
      <c r="C961" t="s">
        <v>1105</v>
      </c>
    </row>
    <row r="962" spans="2:3" x14ac:dyDescent="0.35">
      <c r="B962" t="s">
        <v>1206</v>
      </c>
      <c r="C962" t="s">
        <v>1207</v>
      </c>
    </row>
    <row r="963" spans="2:3" x14ac:dyDescent="0.35">
      <c r="B963" t="s">
        <v>1092</v>
      </c>
      <c r="C963" t="s">
        <v>1093</v>
      </c>
    </row>
    <row r="964" spans="2:3" x14ac:dyDescent="0.35">
      <c r="B964" t="s">
        <v>1104</v>
      </c>
      <c r="C964" t="s">
        <v>1105</v>
      </c>
    </row>
    <row r="965" spans="2:3" x14ac:dyDescent="0.35">
      <c r="B965" t="s">
        <v>1195</v>
      </c>
      <c r="C965" t="s">
        <v>1195</v>
      </c>
    </row>
    <row r="966" spans="2:3" x14ac:dyDescent="0.35">
      <c r="B966" t="s">
        <v>955</v>
      </c>
      <c r="C966" t="s">
        <v>956</v>
      </c>
    </row>
    <row r="967" spans="2:3" x14ac:dyDescent="0.35">
      <c r="B967" t="s">
        <v>1092</v>
      </c>
      <c r="C967" t="s">
        <v>1093</v>
      </c>
    </row>
    <row r="968" spans="2:3" x14ac:dyDescent="0.35">
      <c r="B968" t="s">
        <v>1195</v>
      </c>
      <c r="C968" t="s">
        <v>1195</v>
      </c>
    </row>
    <row r="969" spans="2:3" x14ac:dyDescent="0.35">
      <c r="B969" t="s">
        <v>1092</v>
      </c>
      <c r="C969" t="s">
        <v>1093</v>
      </c>
    </row>
    <row r="970" spans="2:3" x14ac:dyDescent="0.35">
      <c r="B970" t="s">
        <v>1092</v>
      </c>
      <c r="C970" t="s">
        <v>1093</v>
      </c>
    </row>
    <row r="971" spans="2:3" x14ac:dyDescent="0.35">
      <c r="B971" t="s">
        <v>1131</v>
      </c>
      <c r="C971" t="s">
        <v>1132</v>
      </c>
    </row>
    <row r="972" spans="2:3" x14ac:dyDescent="0.35">
      <c r="B972" t="s">
        <v>1104</v>
      </c>
      <c r="C972" t="s">
        <v>1105</v>
      </c>
    </row>
    <row r="973" spans="2:3" x14ac:dyDescent="0.35">
      <c r="B973" t="s">
        <v>1092</v>
      </c>
      <c r="C973" t="s">
        <v>1093</v>
      </c>
    </row>
    <row r="974" spans="2:3" x14ac:dyDescent="0.35">
      <c r="B974" t="s">
        <v>955</v>
      </c>
      <c r="C974" t="s">
        <v>956</v>
      </c>
    </row>
    <row r="975" spans="2:3" x14ac:dyDescent="0.35">
      <c r="B975" t="s">
        <v>955</v>
      </c>
      <c r="C975" t="s">
        <v>956</v>
      </c>
    </row>
    <row r="976" spans="2:3" x14ac:dyDescent="0.35">
      <c r="B976" t="s">
        <v>1131</v>
      </c>
      <c r="C976" t="s">
        <v>1132</v>
      </c>
    </row>
    <row r="977" spans="2:3" x14ac:dyDescent="0.35">
      <c r="B977" t="s">
        <v>1131</v>
      </c>
      <c r="C977" t="s">
        <v>1132</v>
      </c>
    </row>
    <row r="978" spans="2:3" x14ac:dyDescent="0.35">
      <c r="B978" t="s">
        <v>1195</v>
      </c>
      <c r="C978" t="s">
        <v>1195</v>
      </c>
    </row>
    <row r="979" spans="2:3" x14ac:dyDescent="0.35">
      <c r="B979" t="s">
        <v>955</v>
      </c>
      <c r="C979" t="s">
        <v>956</v>
      </c>
    </row>
    <row r="980" spans="2:3" x14ac:dyDescent="0.35">
      <c r="B980" t="s">
        <v>1131</v>
      </c>
      <c r="C980" t="s">
        <v>1132</v>
      </c>
    </row>
    <row r="981" spans="2:3" x14ac:dyDescent="0.35">
      <c r="B981" t="s">
        <v>955</v>
      </c>
      <c r="C981" t="s">
        <v>956</v>
      </c>
    </row>
    <row r="982" spans="2:3" x14ac:dyDescent="0.35">
      <c r="B982" t="s">
        <v>1092</v>
      </c>
      <c r="C982" t="s">
        <v>1093</v>
      </c>
    </row>
    <row r="983" spans="2:3" x14ac:dyDescent="0.35">
      <c r="B983" t="s">
        <v>1195</v>
      </c>
      <c r="C983" t="s">
        <v>1195</v>
      </c>
    </row>
    <row r="984" spans="2:3" x14ac:dyDescent="0.35">
      <c r="B984" t="s">
        <v>1104</v>
      </c>
      <c r="C984" t="s">
        <v>1105</v>
      </c>
    </row>
    <row r="985" spans="2:3" x14ac:dyDescent="0.35">
      <c r="B985" t="s">
        <v>1104</v>
      </c>
      <c r="C985" t="s">
        <v>1105</v>
      </c>
    </row>
    <row r="986" spans="2:3" x14ac:dyDescent="0.35">
      <c r="B986" t="s">
        <v>1131</v>
      </c>
      <c r="C986" t="s">
        <v>1132</v>
      </c>
    </row>
    <row r="987" spans="2:3" x14ac:dyDescent="0.35">
      <c r="B987" t="s">
        <v>1092</v>
      </c>
      <c r="C987" t="s">
        <v>1093</v>
      </c>
    </row>
    <row r="988" spans="2:3" x14ac:dyDescent="0.35">
      <c r="B988" t="s">
        <v>1195</v>
      </c>
      <c r="C988" t="s">
        <v>1195</v>
      </c>
    </row>
    <row r="989" spans="2:3" x14ac:dyDescent="0.35">
      <c r="B989" t="s">
        <v>1104</v>
      </c>
      <c r="C989" t="s">
        <v>1105</v>
      </c>
    </row>
    <row r="990" spans="2:3" x14ac:dyDescent="0.35">
      <c r="B990" t="s">
        <v>1195</v>
      </c>
      <c r="C990" t="s">
        <v>1195</v>
      </c>
    </row>
    <row r="991" spans="2:3" x14ac:dyDescent="0.35">
      <c r="B991" t="s">
        <v>1206</v>
      </c>
      <c r="C991" t="s">
        <v>1207</v>
      </c>
    </row>
    <row r="992" spans="2:3" x14ac:dyDescent="0.35">
      <c r="B992" t="s">
        <v>955</v>
      </c>
      <c r="C992" t="s">
        <v>956</v>
      </c>
    </row>
    <row r="993" spans="2:3" x14ac:dyDescent="0.35">
      <c r="B993" t="s">
        <v>1131</v>
      </c>
      <c r="C993" t="s">
        <v>1132</v>
      </c>
    </row>
    <row r="994" spans="2:3" x14ac:dyDescent="0.35">
      <c r="B994" t="s">
        <v>1092</v>
      </c>
      <c r="C994" t="s">
        <v>1093</v>
      </c>
    </row>
    <row r="995" spans="2:3" x14ac:dyDescent="0.35">
      <c r="B995" t="s">
        <v>955</v>
      </c>
      <c r="C995" t="s">
        <v>956</v>
      </c>
    </row>
    <row r="996" spans="2:3" x14ac:dyDescent="0.35">
      <c r="B996" t="s">
        <v>1104</v>
      </c>
      <c r="C996" t="s">
        <v>1105</v>
      </c>
    </row>
    <row r="997" spans="2:3" x14ac:dyDescent="0.35">
      <c r="B997" t="s">
        <v>1206</v>
      </c>
      <c r="C997" t="s">
        <v>1207</v>
      </c>
    </row>
    <row r="998" spans="2:3" x14ac:dyDescent="0.35">
      <c r="B998" t="s">
        <v>1092</v>
      </c>
      <c r="C998" t="s">
        <v>1093</v>
      </c>
    </row>
    <row r="999" spans="2:3" x14ac:dyDescent="0.35">
      <c r="B999" t="s">
        <v>1092</v>
      </c>
      <c r="C999" t="s">
        <v>1093</v>
      </c>
    </row>
    <row r="1000" spans="2:3" x14ac:dyDescent="0.35">
      <c r="B1000" t="s">
        <v>1206</v>
      </c>
      <c r="C1000" t="s">
        <v>1207</v>
      </c>
    </row>
    <row r="1001" spans="2:3" x14ac:dyDescent="0.35">
      <c r="B1001" t="s">
        <v>955</v>
      </c>
      <c r="C1001" t="s">
        <v>956</v>
      </c>
    </row>
    <row r="1002" spans="2:3" x14ac:dyDescent="0.35">
      <c r="B1002" t="s">
        <v>955</v>
      </c>
      <c r="C1002" t="s">
        <v>956</v>
      </c>
    </row>
    <row r="1003" spans="2:3" x14ac:dyDescent="0.35">
      <c r="B1003" t="s">
        <v>1131</v>
      </c>
      <c r="C1003" t="s">
        <v>1132</v>
      </c>
    </row>
    <row r="1004" spans="2:3" x14ac:dyDescent="0.35">
      <c r="B1004" t="s">
        <v>955</v>
      </c>
      <c r="C1004" t="s">
        <v>956</v>
      </c>
    </row>
    <row r="1005" spans="2:3" x14ac:dyDescent="0.35">
      <c r="B1005" t="s">
        <v>1104</v>
      </c>
      <c r="C1005" t="s">
        <v>1105</v>
      </c>
    </row>
    <row r="1006" spans="2:3" x14ac:dyDescent="0.35">
      <c r="B1006" t="s">
        <v>1195</v>
      </c>
      <c r="C1006" t="s">
        <v>1195</v>
      </c>
    </row>
    <row r="1007" spans="2:3" x14ac:dyDescent="0.35">
      <c r="B1007" t="s">
        <v>1131</v>
      </c>
      <c r="C1007" t="s">
        <v>1132</v>
      </c>
    </row>
    <row r="1008" spans="2:3" x14ac:dyDescent="0.35">
      <c r="B1008" t="s">
        <v>1092</v>
      </c>
      <c r="C1008" t="s">
        <v>1093</v>
      </c>
    </row>
    <row r="1009" spans="2:3" x14ac:dyDescent="0.35">
      <c r="B1009" t="s">
        <v>1195</v>
      </c>
      <c r="C1009" t="s">
        <v>1195</v>
      </c>
    </row>
    <row r="1010" spans="2:3" x14ac:dyDescent="0.35">
      <c r="B1010" t="s">
        <v>1141</v>
      </c>
      <c r="C1010" t="s">
        <v>1142</v>
      </c>
    </row>
    <row r="1011" spans="2:3" x14ac:dyDescent="0.35">
      <c r="B1011" t="s">
        <v>1131</v>
      </c>
      <c r="C1011" t="s">
        <v>1132</v>
      </c>
    </row>
    <row r="1012" spans="2:3" x14ac:dyDescent="0.35">
      <c r="B1012" t="s">
        <v>1092</v>
      </c>
      <c r="C1012" t="s">
        <v>1093</v>
      </c>
    </row>
    <row r="1013" spans="2:3" x14ac:dyDescent="0.35">
      <c r="B1013" t="s">
        <v>1092</v>
      </c>
      <c r="C1013" t="s">
        <v>1093</v>
      </c>
    </row>
    <row r="1014" spans="2:3" x14ac:dyDescent="0.35">
      <c r="B1014" t="s">
        <v>1141</v>
      </c>
      <c r="C1014" t="s">
        <v>1142</v>
      </c>
    </row>
    <row r="1015" spans="2:3" x14ac:dyDescent="0.35">
      <c r="B1015" t="s">
        <v>1092</v>
      </c>
      <c r="C1015" t="s">
        <v>1093</v>
      </c>
    </row>
    <row r="1016" spans="2:3" x14ac:dyDescent="0.35">
      <c r="B1016" t="s">
        <v>787</v>
      </c>
      <c r="C1016" t="s">
        <v>788</v>
      </c>
    </row>
    <row r="1017" spans="2:3" x14ac:dyDescent="0.35">
      <c r="B1017" t="s">
        <v>1131</v>
      </c>
      <c r="C1017" t="s">
        <v>1132</v>
      </c>
    </row>
    <row r="1018" spans="2:3" x14ac:dyDescent="0.35">
      <c r="B1018" t="s">
        <v>1123</v>
      </c>
      <c r="C1018" t="s">
        <v>1124</v>
      </c>
    </row>
    <row r="1019" spans="2:3" x14ac:dyDescent="0.35">
      <c r="B1019" t="s">
        <v>955</v>
      </c>
      <c r="C1019" t="s">
        <v>956</v>
      </c>
    </row>
    <row r="1020" spans="2:3" x14ac:dyDescent="0.35">
      <c r="B1020" t="s">
        <v>1195</v>
      </c>
      <c r="C1020" t="s">
        <v>1195</v>
      </c>
    </row>
    <row r="1021" spans="2:3" x14ac:dyDescent="0.35">
      <c r="B1021" t="s">
        <v>955</v>
      </c>
      <c r="C1021" t="s">
        <v>956</v>
      </c>
    </row>
    <row r="1022" spans="2:3" x14ac:dyDescent="0.35">
      <c r="B1022" t="s">
        <v>1131</v>
      </c>
      <c r="C1022" t="s">
        <v>1132</v>
      </c>
    </row>
    <row r="1023" spans="2:3" x14ac:dyDescent="0.35">
      <c r="B1023" t="s">
        <v>1206</v>
      </c>
      <c r="C1023" t="s">
        <v>1207</v>
      </c>
    </row>
    <row r="1024" spans="2:3" x14ac:dyDescent="0.35">
      <c r="B1024" t="s">
        <v>1206</v>
      </c>
      <c r="C1024" t="s">
        <v>1207</v>
      </c>
    </row>
    <row r="1025" spans="2:3" x14ac:dyDescent="0.35">
      <c r="B1025" t="s">
        <v>1092</v>
      </c>
      <c r="C1025" t="s">
        <v>1093</v>
      </c>
    </row>
    <row r="1026" spans="2:3" x14ac:dyDescent="0.35">
      <c r="B1026" t="s">
        <v>955</v>
      </c>
      <c r="C1026" t="s">
        <v>956</v>
      </c>
    </row>
    <row r="1027" spans="2:3" x14ac:dyDescent="0.35">
      <c r="B1027" t="s">
        <v>1104</v>
      </c>
      <c r="C1027" t="s">
        <v>1105</v>
      </c>
    </row>
    <row r="1028" spans="2:3" x14ac:dyDescent="0.35">
      <c r="B1028" t="s">
        <v>950</v>
      </c>
      <c r="C1028" t="s">
        <v>951</v>
      </c>
    </row>
    <row r="1029" spans="2:3" x14ac:dyDescent="0.35">
      <c r="B1029" t="s">
        <v>1131</v>
      </c>
      <c r="C1029" t="s">
        <v>1132</v>
      </c>
    </row>
    <row r="1030" spans="2:3" x14ac:dyDescent="0.35">
      <c r="B1030" t="s">
        <v>1131</v>
      </c>
      <c r="C1030" t="s">
        <v>1132</v>
      </c>
    </row>
    <row r="1031" spans="2:3" x14ac:dyDescent="0.35">
      <c r="B1031" t="s">
        <v>1195</v>
      </c>
      <c r="C1031" t="s">
        <v>1195</v>
      </c>
    </row>
    <row r="1032" spans="2:3" x14ac:dyDescent="0.35">
      <c r="B1032" t="s">
        <v>1195</v>
      </c>
      <c r="C1032" t="s">
        <v>1195</v>
      </c>
    </row>
    <row r="1033" spans="2:3" x14ac:dyDescent="0.35">
      <c r="B1033" t="s">
        <v>1131</v>
      </c>
      <c r="C1033" t="s">
        <v>1132</v>
      </c>
    </row>
    <row r="1034" spans="2:3" x14ac:dyDescent="0.35">
      <c r="B1034" t="s">
        <v>1166</v>
      </c>
      <c r="C1034" t="s">
        <v>1167</v>
      </c>
    </row>
    <row r="1035" spans="2:3" x14ac:dyDescent="0.35">
      <c r="B1035" t="s">
        <v>1092</v>
      </c>
      <c r="C1035" t="s">
        <v>1093</v>
      </c>
    </row>
    <row r="1036" spans="2:3" x14ac:dyDescent="0.35">
      <c r="B1036" t="s">
        <v>787</v>
      </c>
      <c r="C1036" t="s">
        <v>788</v>
      </c>
    </row>
    <row r="1037" spans="2:3" x14ac:dyDescent="0.35">
      <c r="B1037" t="s">
        <v>1092</v>
      </c>
      <c r="C1037" t="s">
        <v>1093</v>
      </c>
    </row>
    <row r="1038" spans="2:3" x14ac:dyDescent="0.35">
      <c r="B1038" t="s">
        <v>1104</v>
      </c>
      <c r="C1038" t="s">
        <v>1105</v>
      </c>
    </row>
    <row r="1039" spans="2:3" x14ac:dyDescent="0.35">
      <c r="B1039" t="s">
        <v>955</v>
      </c>
      <c r="C1039" t="s">
        <v>956</v>
      </c>
    </row>
    <row r="1040" spans="2:3" x14ac:dyDescent="0.35">
      <c r="B1040" t="s">
        <v>1092</v>
      </c>
      <c r="C1040" t="s">
        <v>1093</v>
      </c>
    </row>
    <row r="1041" spans="2:3" x14ac:dyDescent="0.35">
      <c r="B1041" t="s">
        <v>1166</v>
      </c>
      <c r="C1041" t="s">
        <v>1167</v>
      </c>
    </row>
    <row r="1042" spans="2:3" x14ac:dyDescent="0.35">
      <c r="B1042" t="s">
        <v>1104</v>
      </c>
      <c r="C1042" t="s">
        <v>1105</v>
      </c>
    </row>
    <row r="1043" spans="2:3" x14ac:dyDescent="0.35">
      <c r="B1043" t="s">
        <v>1195</v>
      </c>
      <c r="C1043" t="s">
        <v>1195</v>
      </c>
    </row>
    <row r="1044" spans="2:3" x14ac:dyDescent="0.35">
      <c r="B1044" t="s">
        <v>1141</v>
      </c>
      <c r="C1044" t="s">
        <v>1142</v>
      </c>
    </row>
    <row r="1045" spans="2:3" x14ac:dyDescent="0.35">
      <c r="B1045" t="s">
        <v>1092</v>
      </c>
      <c r="C1045" t="s">
        <v>1093</v>
      </c>
    </row>
    <row r="1046" spans="2:3" x14ac:dyDescent="0.35">
      <c r="B1046" t="s">
        <v>1131</v>
      </c>
      <c r="C1046" t="s">
        <v>1132</v>
      </c>
    </row>
    <row r="1047" spans="2:3" x14ac:dyDescent="0.35">
      <c r="B1047" t="s">
        <v>1123</v>
      </c>
      <c r="C1047" t="s">
        <v>1124</v>
      </c>
    </row>
    <row r="1048" spans="2:3" x14ac:dyDescent="0.35">
      <c r="B1048" t="s">
        <v>1195</v>
      </c>
      <c r="C1048" t="s">
        <v>1195</v>
      </c>
    </row>
    <row r="1049" spans="2:3" x14ac:dyDescent="0.35">
      <c r="B1049" t="s">
        <v>1092</v>
      </c>
      <c r="C1049" t="s">
        <v>1093</v>
      </c>
    </row>
    <row r="1050" spans="2:3" x14ac:dyDescent="0.35">
      <c r="B1050" t="s">
        <v>1195</v>
      </c>
      <c r="C1050" t="s">
        <v>1195</v>
      </c>
    </row>
    <row r="1051" spans="2:3" x14ac:dyDescent="0.35">
      <c r="B1051" t="s">
        <v>1092</v>
      </c>
      <c r="C1051" t="s">
        <v>1093</v>
      </c>
    </row>
    <row r="1052" spans="2:3" x14ac:dyDescent="0.35">
      <c r="B1052" t="s">
        <v>1195</v>
      </c>
      <c r="C1052" t="s">
        <v>1195</v>
      </c>
    </row>
    <row r="1053" spans="2:3" x14ac:dyDescent="0.35">
      <c r="B1053" t="s">
        <v>1092</v>
      </c>
      <c r="C1053" t="s">
        <v>1093</v>
      </c>
    </row>
    <row r="1054" spans="2:3" x14ac:dyDescent="0.35">
      <c r="B1054" t="s">
        <v>1166</v>
      </c>
      <c r="C1054" t="s">
        <v>1167</v>
      </c>
    </row>
    <row r="1055" spans="2:3" x14ac:dyDescent="0.35">
      <c r="B1055" t="s">
        <v>1195</v>
      </c>
      <c r="C1055" t="s">
        <v>1195</v>
      </c>
    </row>
    <row r="1056" spans="2:3" x14ac:dyDescent="0.35">
      <c r="B1056" t="s">
        <v>1166</v>
      </c>
      <c r="C1056" t="s">
        <v>1167</v>
      </c>
    </row>
    <row r="1057" spans="2:3" x14ac:dyDescent="0.35">
      <c r="B1057" t="s">
        <v>1131</v>
      </c>
      <c r="C1057" t="s">
        <v>1132</v>
      </c>
    </row>
    <row r="1058" spans="2:3" x14ac:dyDescent="0.35">
      <c r="B1058" t="s">
        <v>955</v>
      </c>
      <c r="C1058" t="s">
        <v>956</v>
      </c>
    </row>
    <row r="1059" spans="2:3" x14ac:dyDescent="0.35">
      <c r="B1059" t="s">
        <v>1104</v>
      </c>
      <c r="C1059" t="s">
        <v>1105</v>
      </c>
    </row>
    <row r="1060" spans="2:3" x14ac:dyDescent="0.35">
      <c r="B1060" t="s">
        <v>1162</v>
      </c>
      <c r="C1060" t="s">
        <v>1163</v>
      </c>
    </row>
    <row r="1061" spans="2:3" x14ac:dyDescent="0.35">
      <c r="B1061" t="s">
        <v>1195</v>
      </c>
      <c r="C1061" t="s">
        <v>1195</v>
      </c>
    </row>
    <row r="1062" spans="2:3" x14ac:dyDescent="0.35">
      <c r="B1062" t="s">
        <v>955</v>
      </c>
      <c r="C1062" t="s">
        <v>956</v>
      </c>
    </row>
    <row r="1063" spans="2:3" x14ac:dyDescent="0.35">
      <c r="B1063" t="s">
        <v>955</v>
      </c>
      <c r="C1063" t="s">
        <v>956</v>
      </c>
    </row>
    <row r="1064" spans="2:3" x14ac:dyDescent="0.35">
      <c r="B1064" t="s">
        <v>1195</v>
      </c>
      <c r="C1064" t="s">
        <v>1195</v>
      </c>
    </row>
    <row r="1065" spans="2:3" x14ac:dyDescent="0.35">
      <c r="B1065" t="s">
        <v>955</v>
      </c>
      <c r="C1065" t="s">
        <v>956</v>
      </c>
    </row>
    <row r="1066" spans="2:3" x14ac:dyDescent="0.35">
      <c r="B1066" t="s">
        <v>1195</v>
      </c>
      <c r="C1066" t="s">
        <v>1195</v>
      </c>
    </row>
    <row r="1067" spans="2:3" x14ac:dyDescent="0.35">
      <c r="B1067" t="s">
        <v>1123</v>
      </c>
      <c r="C1067" t="s">
        <v>1124</v>
      </c>
    </row>
    <row r="1068" spans="2:3" x14ac:dyDescent="0.35">
      <c r="B1068" t="s">
        <v>955</v>
      </c>
      <c r="C1068" t="s">
        <v>956</v>
      </c>
    </row>
    <row r="1069" spans="2:3" x14ac:dyDescent="0.35">
      <c r="B1069" t="s">
        <v>1123</v>
      </c>
      <c r="C1069" t="s">
        <v>1124</v>
      </c>
    </row>
    <row r="1070" spans="2:3" x14ac:dyDescent="0.35">
      <c r="B1070" t="s">
        <v>787</v>
      </c>
      <c r="C1070" t="s">
        <v>788</v>
      </c>
    </row>
    <row r="1071" spans="2:3" x14ac:dyDescent="0.35">
      <c r="B1071" t="s">
        <v>1131</v>
      </c>
      <c r="C1071" t="s">
        <v>1132</v>
      </c>
    </row>
    <row r="1072" spans="2:3" x14ac:dyDescent="0.35">
      <c r="B1072" t="s">
        <v>1195</v>
      </c>
      <c r="C1072" t="s">
        <v>1195</v>
      </c>
    </row>
    <row r="1073" spans="2:3" x14ac:dyDescent="0.35">
      <c r="B1073" t="s">
        <v>787</v>
      </c>
      <c r="C1073" t="s">
        <v>788</v>
      </c>
    </row>
    <row r="1074" spans="2:3" x14ac:dyDescent="0.35">
      <c r="B1074" t="s">
        <v>955</v>
      </c>
      <c r="C1074" t="s">
        <v>956</v>
      </c>
    </row>
    <row r="1075" spans="2:3" x14ac:dyDescent="0.35">
      <c r="B1075" t="s">
        <v>1195</v>
      </c>
      <c r="C1075" t="s">
        <v>1195</v>
      </c>
    </row>
    <row r="1076" spans="2:3" x14ac:dyDescent="0.35">
      <c r="B1076" t="s">
        <v>1166</v>
      </c>
      <c r="C1076" t="s">
        <v>1167</v>
      </c>
    </row>
    <row r="1077" spans="2:3" x14ac:dyDescent="0.35">
      <c r="B1077" t="s">
        <v>1104</v>
      </c>
      <c r="C1077" t="s">
        <v>1105</v>
      </c>
    </row>
    <row r="1078" spans="2:3" x14ac:dyDescent="0.35">
      <c r="B1078" t="s">
        <v>1195</v>
      </c>
      <c r="C1078" t="s">
        <v>1195</v>
      </c>
    </row>
    <row r="1079" spans="2:3" x14ac:dyDescent="0.35">
      <c r="B1079" t="s">
        <v>1131</v>
      </c>
      <c r="C1079" t="s">
        <v>1132</v>
      </c>
    </row>
    <row r="1080" spans="2:3" x14ac:dyDescent="0.35">
      <c r="B1080" t="s">
        <v>955</v>
      </c>
      <c r="C1080" t="s">
        <v>956</v>
      </c>
    </row>
    <row r="1081" spans="2:3" x14ac:dyDescent="0.35">
      <c r="B1081" t="s">
        <v>955</v>
      </c>
      <c r="C1081" t="s">
        <v>956</v>
      </c>
    </row>
    <row r="1082" spans="2:3" x14ac:dyDescent="0.35">
      <c r="B1082" t="s">
        <v>1195</v>
      </c>
      <c r="C1082" t="s">
        <v>1195</v>
      </c>
    </row>
    <row r="1083" spans="2:3" x14ac:dyDescent="0.35">
      <c r="B1083" t="s">
        <v>1131</v>
      </c>
      <c r="C1083" t="s">
        <v>1132</v>
      </c>
    </row>
    <row r="1084" spans="2:3" x14ac:dyDescent="0.35">
      <c r="B1084" t="s">
        <v>787</v>
      </c>
      <c r="C1084" t="s">
        <v>788</v>
      </c>
    </row>
    <row r="1085" spans="2:3" x14ac:dyDescent="0.35">
      <c r="B1085" t="s">
        <v>1123</v>
      </c>
      <c r="C1085" t="s">
        <v>1124</v>
      </c>
    </row>
    <row r="1086" spans="2:3" x14ac:dyDescent="0.35">
      <c r="B1086" t="s">
        <v>1104</v>
      </c>
      <c r="C1086" t="s">
        <v>1105</v>
      </c>
    </row>
    <row r="1087" spans="2:3" x14ac:dyDescent="0.35">
      <c r="B1087" t="s">
        <v>1141</v>
      </c>
      <c r="C1087" t="s">
        <v>1142</v>
      </c>
    </row>
    <row r="1088" spans="2:3" x14ac:dyDescent="0.35">
      <c r="B1088" t="s">
        <v>1092</v>
      </c>
      <c r="C1088" t="s">
        <v>1093</v>
      </c>
    </row>
    <row r="1089" spans="2:3" x14ac:dyDescent="0.35">
      <c r="B1089" t="s">
        <v>955</v>
      </c>
      <c r="C1089" t="s">
        <v>956</v>
      </c>
    </row>
    <row r="1090" spans="2:3" x14ac:dyDescent="0.35">
      <c r="B1090" t="s">
        <v>1131</v>
      </c>
      <c r="C1090" t="s">
        <v>1132</v>
      </c>
    </row>
    <row r="1091" spans="2:3" x14ac:dyDescent="0.35">
      <c r="B1091" t="s">
        <v>1104</v>
      </c>
      <c r="C1091" t="s">
        <v>1105</v>
      </c>
    </row>
    <row r="1092" spans="2:3" x14ac:dyDescent="0.35">
      <c r="B1092" t="s">
        <v>1104</v>
      </c>
      <c r="C1092" t="s">
        <v>1105</v>
      </c>
    </row>
    <row r="1093" spans="2:3" x14ac:dyDescent="0.35">
      <c r="B1093" t="s">
        <v>1141</v>
      </c>
      <c r="C1093" t="s">
        <v>1142</v>
      </c>
    </row>
    <row r="1094" spans="2:3" x14ac:dyDescent="0.35">
      <c r="B1094" t="s">
        <v>1131</v>
      </c>
      <c r="C1094" t="s">
        <v>1132</v>
      </c>
    </row>
    <row r="1095" spans="2:3" x14ac:dyDescent="0.35">
      <c r="B1095" t="s">
        <v>1195</v>
      </c>
      <c r="C1095" t="s">
        <v>1195</v>
      </c>
    </row>
    <row r="1096" spans="2:3" x14ac:dyDescent="0.35">
      <c r="B1096" t="s">
        <v>1195</v>
      </c>
      <c r="C1096" t="s">
        <v>1195</v>
      </c>
    </row>
    <row r="1097" spans="2:3" x14ac:dyDescent="0.35">
      <c r="B1097" t="s">
        <v>1104</v>
      </c>
      <c r="C1097" t="s">
        <v>1105</v>
      </c>
    </row>
    <row r="1098" spans="2:3" x14ac:dyDescent="0.35">
      <c r="B1098" t="s">
        <v>1195</v>
      </c>
      <c r="C1098" t="s">
        <v>1195</v>
      </c>
    </row>
    <row r="1099" spans="2:3" x14ac:dyDescent="0.35">
      <c r="B1099" t="s">
        <v>1104</v>
      </c>
      <c r="C1099" t="s">
        <v>1105</v>
      </c>
    </row>
    <row r="1100" spans="2:3" x14ac:dyDescent="0.35">
      <c r="B1100" t="s">
        <v>955</v>
      </c>
      <c r="C1100" t="s">
        <v>956</v>
      </c>
    </row>
    <row r="1101" spans="2:3" x14ac:dyDescent="0.35">
      <c r="B1101" t="s">
        <v>1149</v>
      </c>
      <c r="C1101" t="s">
        <v>1150</v>
      </c>
    </row>
    <row r="1102" spans="2:3" x14ac:dyDescent="0.35">
      <c r="B1102" t="s">
        <v>1092</v>
      </c>
      <c r="C1102" t="s">
        <v>1093</v>
      </c>
    </row>
    <row r="1103" spans="2:3" x14ac:dyDescent="0.35">
      <c r="B1103" t="s">
        <v>1104</v>
      </c>
      <c r="C1103" t="s">
        <v>1105</v>
      </c>
    </row>
    <row r="1104" spans="2:3" x14ac:dyDescent="0.35">
      <c r="B1104" t="s">
        <v>1131</v>
      </c>
      <c r="C1104" t="s">
        <v>1132</v>
      </c>
    </row>
    <row r="1105" spans="2:3" x14ac:dyDescent="0.35">
      <c r="B1105" t="s">
        <v>1160</v>
      </c>
      <c r="C1105" t="s">
        <v>1161</v>
      </c>
    </row>
    <row r="1106" spans="2:3" x14ac:dyDescent="0.35">
      <c r="B1106" t="s">
        <v>1206</v>
      </c>
      <c r="C1106" t="s">
        <v>1207</v>
      </c>
    </row>
    <row r="1107" spans="2:3" x14ac:dyDescent="0.35">
      <c r="B1107" t="s">
        <v>1195</v>
      </c>
      <c r="C1107" t="s">
        <v>1195</v>
      </c>
    </row>
    <row r="1108" spans="2:3" x14ac:dyDescent="0.35">
      <c r="B1108" t="s">
        <v>1092</v>
      </c>
      <c r="C1108" t="s">
        <v>1093</v>
      </c>
    </row>
    <row r="1109" spans="2:3" x14ac:dyDescent="0.35">
      <c r="B1109" t="s">
        <v>955</v>
      </c>
      <c r="C1109" t="s">
        <v>956</v>
      </c>
    </row>
    <row r="1110" spans="2:3" x14ac:dyDescent="0.35">
      <c r="B1110" t="s">
        <v>1195</v>
      </c>
      <c r="C1110" t="s">
        <v>1195</v>
      </c>
    </row>
    <row r="1111" spans="2:3" x14ac:dyDescent="0.35">
      <c r="B1111" t="s">
        <v>1166</v>
      </c>
      <c r="C1111" t="s">
        <v>1167</v>
      </c>
    </row>
    <row r="1112" spans="2:3" x14ac:dyDescent="0.35">
      <c r="B1112" t="s">
        <v>1104</v>
      </c>
      <c r="C1112" t="s">
        <v>1105</v>
      </c>
    </row>
    <row r="1113" spans="2:3" x14ac:dyDescent="0.35">
      <c r="B1113" t="s">
        <v>787</v>
      </c>
      <c r="C1113" t="s">
        <v>788</v>
      </c>
    </row>
    <row r="1114" spans="2:3" x14ac:dyDescent="0.35">
      <c r="B1114" t="s">
        <v>1131</v>
      </c>
      <c r="C1114" t="s">
        <v>1132</v>
      </c>
    </row>
    <row r="1115" spans="2:3" x14ac:dyDescent="0.35">
      <c r="B1115" t="s">
        <v>1195</v>
      </c>
      <c r="C1115" t="s">
        <v>1195</v>
      </c>
    </row>
    <row r="1116" spans="2:3" x14ac:dyDescent="0.35">
      <c r="B1116" t="s">
        <v>955</v>
      </c>
      <c r="C1116" t="s">
        <v>956</v>
      </c>
    </row>
    <row r="1117" spans="2:3" x14ac:dyDescent="0.35">
      <c r="B1117" t="s">
        <v>787</v>
      </c>
      <c r="C1117" t="s">
        <v>788</v>
      </c>
    </row>
    <row r="1118" spans="2:3" x14ac:dyDescent="0.35">
      <c r="B1118" t="s">
        <v>1195</v>
      </c>
      <c r="C1118" t="s">
        <v>1195</v>
      </c>
    </row>
    <row r="1119" spans="2:3" x14ac:dyDescent="0.35">
      <c r="B1119" t="s">
        <v>1206</v>
      </c>
      <c r="C1119" t="s">
        <v>1207</v>
      </c>
    </row>
    <row r="1120" spans="2:3" x14ac:dyDescent="0.35">
      <c r="B1120" t="s">
        <v>1123</v>
      </c>
      <c r="C1120" t="s">
        <v>1124</v>
      </c>
    </row>
    <row r="1121" spans="2:3" x14ac:dyDescent="0.35">
      <c r="B1121" t="s">
        <v>1195</v>
      </c>
      <c r="C1121" t="s">
        <v>1195</v>
      </c>
    </row>
    <row r="1122" spans="2:3" x14ac:dyDescent="0.35">
      <c r="B1122" t="s">
        <v>1195</v>
      </c>
      <c r="C1122" t="s">
        <v>1195</v>
      </c>
    </row>
    <row r="1123" spans="2:3" x14ac:dyDescent="0.35">
      <c r="B1123" t="s">
        <v>787</v>
      </c>
      <c r="C1123" t="s">
        <v>788</v>
      </c>
    </row>
    <row r="1124" spans="2:3" x14ac:dyDescent="0.35">
      <c r="B1124" t="s">
        <v>804</v>
      </c>
      <c r="C1124" t="s">
        <v>805</v>
      </c>
    </row>
    <row r="1125" spans="2:3" x14ac:dyDescent="0.35">
      <c r="B1125" t="s">
        <v>1195</v>
      </c>
      <c r="C1125" t="s">
        <v>1195</v>
      </c>
    </row>
    <row r="1126" spans="2:3" x14ac:dyDescent="0.35">
      <c r="B1126" t="s">
        <v>1131</v>
      </c>
      <c r="C1126" t="s">
        <v>1132</v>
      </c>
    </row>
    <row r="1127" spans="2:3" x14ac:dyDescent="0.35">
      <c r="B1127" t="s">
        <v>955</v>
      </c>
      <c r="C1127" t="s">
        <v>956</v>
      </c>
    </row>
    <row r="1128" spans="2:3" x14ac:dyDescent="0.35">
      <c r="B1128" t="s">
        <v>1131</v>
      </c>
      <c r="C1128" t="s">
        <v>1132</v>
      </c>
    </row>
    <row r="1129" spans="2:3" x14ac:dyDescent="0.35">
      <c r="B1129" t="s">
        <v>1123</v>
      </c>
      <c r="C1129" t="s">
        <v>1124</v>
      </c>
    </row>
    <row r="1130" spans="2:3" x14ac:dyDescent="0.35">
      <c r="B1130" t="s">
        <v>1104</v>
      </c>
      <c r="C1130" t="s">
        <v>1105</v>
      </c>
    </row>
    <row r="1131" spans="2:3" x14ac:dyDescent="0.35">
      <c r="B1131" t="s">
        <v>1131</v>
      </c>
      <c r="C1131" t="s">
        <v>1132</v>
      </c>
    </row>
    <row r="1132" spans="2:3" x14ac:dyDescent="0.35">
      <c r="B1132" t="s">
        <v>1195</v>
      </c>
      <c r="C1132" t="s">
        <v>1195</v>
      </c>
    </row>
    <row r="1133" spans="2:3" x14ac:dyDescent="0.35">
      <c r="B1133" t="s">
        <v>955</v>
      </c>
      <c r="C1133" t="s">
        <v>956</v>
      </c>
    </row>
    <row r="1134" spans="2:3" x14ac:dyDescent="0.35">
      <c r="B1134" t="s">
        <v>1092</v>
      </c>
      <c r="C1134" t="s">
        <v>1093</v>
      </c>
    </row>
    <row r="1135" spans="2:3" x14ac:dyDescent="0.35">
      <c r="B1135" t="s">
        <v>1104</v>
      </c>
      <c r="C1135" t="s">
        <v>1105</v>
      </c>
    </row>
    <row r="1136" spans="2:3" x14ac:dyDescent="0.35">
      <c r="B1136" t="s">
        <v>1131</v>
      </c>
      <c r="C1136" t="s">
        <v>1132</v>
      </c>
    </row>
    <row r="1137" spans="2:3" x14ac:dyDescent="0.35">
      <c r="B1137" t="s">
        <v>1123</v>
      </c>
      <c r="C1137" t="s">
        <v>1124</v>
      </c>
    </row>
    <row r="1138" spans="2:3" x14ac:dyDescent="0.35">
      <c r="B1138" t="s">
        <v>787</v>
      </c>
      <c r="C1138" t="s">
        <v>788</v>
      </c>
    </row>
    <row r="1139" spans="2:3" x14ac:dyDescent="0.35">
      <c r="B1139" t="s">
        <v>955</v>
      </c>
      <c r="C1139" t="s">
        <v>956</v>
      </c>
    </row>
    <row r="1140" spans="2:3" x14ac:dyDescent="0.35">
      <c r="B1140" t="s">
        <v>1195</v>
      </c>
      <c r="C1140" t="s">
        <v>1195</v>
      </c>
    </row>
    <row r="1141" spans="2:3" x14ac:dyDescent="0.35">
      <c r="B1141" t="s">
        <v>1104</v>
      </c>
      <c r="C1141" t="s">
        <v>1105</v>
      </c>
    </row>
    <row r="1142" spans="2:3" x14ac:dyDescent="0.35">
      <c r="B1142" t="s">
        <v>1079</v>
      </c>
      <c r="C1142" t="s">
        <v>1080</v>
      </c>
    </row>
    <row r="1143" spans="2:3" x14ac:dyDescent="0.35">
      <c r="B1143" t="s">
        <v>1141</v>
      </c>
      <c r="C1143" t="s">
        <v>1142</v>
      </c>
    </row>
    <row r="1144" spans="2:3" x14ac:dyDescent="0.35">
      <c r="B1144" t="s">
        <v>1195</v>
      </c>
      <c r="C1144" t="s">
        <v>1195</v>
      </c>
    </row>
    <row r="1145" spans="2:3" x14ac:dyDescent="0.35">
      <c r="B1145" t="s">
        <v>1195</v>
      </c>
      <c r="C1145" t="s">
        <v>1195</v>
      </c>
    </row>
    <row r="1146" spans="2:3" x14ac:dyDescent="0.35">
      <c r="B1146" t="s">
        <v>1092</v>
      </c>
      <c r="C1146" t="s">
        <v>1093</v>
      </c>
    </row>
    <row r="1147" spans="2:3" x14ac:dyDescent="0.35">
      <c r="B1147" t="s">
        <v>1166</v>
      </c>
      <c r="C1147" t="s">
        <v>1167</v>
      </c>
    </row>
    <row r="1148" spans="2:3" x14ac:dyDescent="0.35">
      <c r="B1148" t="s">
        <v>1092</v>
      </c>
      <c r="C1148" t="s">
        <v>1093</v>
      </c>
    </row>
    <row r="1149" spans="2:3" x14ac:dyDescent="0.35">
      <c r="B1149" t="s">
        <v>1092</v>
      </c>
      <c r="C1149" t="s">
        <v>1093</v>
      </c>
    </row>
    <row r="1150" spans="2:3" x14ac:dyDescent="0.35">
      <c r="B1150" t="s">
        <v>1195</v>
      </c>
      <c r="C1150" t="s">
        <v>1195</v>
      </c>
    </row>
    <row r="1151" spans="2:3" x14ac:dyDescent="0.35">
      <c r="B1151" t="s">
        <v>1104</v>
      </c>
      <c r="C1151" t="s">
        <v>1105</v>
      </c>
    </row>
    <row r="1152" spans="2:3" x14ac:dyDescent="0.35">
      <c r="B1152" t="s">
        <v>1123</v>
      </c>
      <c r="C1152" t="s">
        <v>1124</v>
      </c>
    </row>
    <row r="1153" spans="2:3" x14ac:dyDescent="0.35">
      <c r="B1153" t="s">
        <v>1092</v>
      </c>
      <c r="C1153" t="s">
        <v>1093</v>
      </c>
    </row>
    <row r="1154" spans="2:3" x14ac:dyDescent="0.35">
      <c r="B1154" t="s">
        <v>1166</v>
      </c>
      <c r="C1154" t="s">
        <v>1167</v>
      </c>
    </row>
    <row r="1155" spans="2:3" x14ac:dyDescent="0.35">
      <c r="B1155" t="s">
        <v>955</v>
      </c>
      <c r="C1155" t="s">
        <v>956</v>
      </c>
    </row>
    <row r="1156" spans="2:3" x14ac:dyDescent="0.35">
      <c r="B1156" t="s">
        <v>1195</v>
      </c>
      <c r="C1156" t="s">
        <v>1195</v>
      </c>
    </row>
    <row r="1157" spans="2:3" x14ac:dyDescent="0.35">
      <c r="B1157" t="s">
        <v>1195</v>
      </c>
      <c r="C1157" t="s">
        <v>1195</v>
      </c>
    </row>
    <row r="1158" spans="2:3" x14ac:dyDescent="0.35">
      <c r="B1158" t="s">
        <v>1092</v>
      </c>
      <c r="C1158" t="s">
        <v>1093</v>
      </c>
    </row>
    <row r="1159" spans="2:3" x14ac:dyDescent="0.35">
      <c r="B1159" t="s">
        <v>1206</v>
      </c>
      <c r="C1159" t="s">
        <v>1207</v>
      </c>
    </row>
    <row r="1160" spans="2:3" x14ac:dyDescent="0.35">
      <c r="B1160" t="s">
        <v>1195</v>
      </c>
      <c r="C1160" t="s">
        <v>1195</v>
      </c>
    </row>
    <row r="1161" spans="2:3" x14ac:dyDescent="0.35">
      <c r="B1161" t="s">
        <v>1092</v>
      </c>
      <c r="C1161" t="s">
        <v>1093</v>
      </c>
    </row>
    <row r="1162" spans="2:3" x14ac:dyDescent="0.35">
      <c r="B1162" t="s">
        <v>1195</v>
      </c>
      <c r="C1162" t="s">
        <v>1195</v>
      </c>
    </row>
    <row r="1163" spans="2:3" x14ac:dyDescent="0.35">
      <c r="B1163" t="s">
        <v>1195</v>
      </c>
      <c r="C1163" t="s">
        <v>1195</v>
      </c>
    </row>
    <row r="1164" spans="2:3" x14ac:dyDescent="0.35">
      <c r="B1164" t="s">
        <v>1104</v>
      </c>
      <c r="C1164" t="s">
        <v>1105</v>
      </c>
    </row>
    <row r="1165" spans="2:3" x14ac:dyDescent="0.35">
      <c r="B1165" t="s">
        <v>1206</v>
      </c>
      <c r="C1165" t="s">
        <v>1207</v>
      </c>
    </row>
    <row r="1166" spans="2:3" x14ac:dyDescent="0.35">
      <c r="B1166" t="s">
        <v>1092</v>
      </c>
      <c r="C1166" t="s">
        <v>1093</v>
      </c>
    </row>
    <row r="1167" spans="2:3" x14ac:dyDescent="0.35">
      <c r="B1167" t="s">
        <v>1092</v>
      </c>
      <c r="C1167" t="s">
        <v>1093</v>
      </c>
    </row>
    <row r="1168" spans="2:3" x14ac:dyDescent="0.35">
      <c r="B1168" t="s">
        <v>1123</v>
      </c>
      <c r="C1168" t="s">
        <v>1124</v>
      </c>
    </row>
    <row r="1169" spans="2:3" x14ac:dyDescent="0.35">
      <c r="B1169" t="s">
        <v>1131</v>
      </c>
      <c r="C1169" t="s">
        <v>1132</v>
      </c>
    </row>
    <row r="1170" spans="2:3" x14ac:dyDescent="0.35">
      <c r="B1170" t="s">
        <v>1141</v>
      </c>
      <c r="C1170" t="s">
        <v>1142</v>
      </c>
    </row>
    <row r="1171" spans="2:3" x14ac:dyDescent="0.35">
      <c r="B1171" t="s">
        <v>1166</v>
      </c>
      <c r="C1171" t="s">
        <v>1167</v>
      </c>
    </row>
    <row r="1172" spans="2:3" x14ac:dyDescent="0.35">
      <c r="B1172" t="s">
        <v>1141</v>
      </c>
      <c r="C1172" t="s">
        <v>1142</v>
      </c>
    </row>
    <row r="1173" spans="2:3" x14ac:dyDescent="0.35">
      <c r="B1173" t="s">
        <v>1061</v>
      </c>
      <c r="C1173" t="s">
        <v>1062</v>
      </c>
    </row>
    <row r="1174" spans="2:3" x14ac:dyDescent="0.35">
      <c r="B1174" t="s">
        <v>955</v>
      </c>
      <c r="C1174" t="s">
        <v>956</v>
      </c>
    </row>
    <row r="1175" spans="2:3" x14ac:dyDescent="0.35">
      <c r="B1175" t="s">
        <v>1131</v>
      </c>
      <c r="C1175" t="s">
        <v>1132</v>
      </c>
    </row>
    <row r="1176" spans="2:3" x14ac:dyDescent="0.35">
      <c r="B1176" t="s">
        <v>1123</v>
      </c>
      <c r="C1176" t="s">
        <v>1124</v>
      </c>
    </row>
    <row r="1177" spans="2:3" x14ac:dyDescent="0.35">
      <c r="B1177" t="s">
        <v>1092</v>
      </c>
      <c r="C1177" t="s">
        <v>1093</v>
      </c>
    </row>
    <row r="1178" spans="2:3" x14ac:dyDescent="0.35">
      <c r="B1178" t="s">
        <v>1195</v>
      </c>
      <c r="C1178" t="s">
        <v>1195</v>
      </c>
    </row>
    <row r="1179" spans="2:3" x14ac:dyDescent="0.35">
      <c r="B1179" t="s">
        <v>1195</v>
      </c>
      <c r="C1179" t="s">
        <v>1195</v>
      </c>
    </row>
    <row r="1180" spans="2:3" x14ac:dyDescent="0.35">
      <c r="B1180" t="s">
        <v>1195</v>
      </c>
      <c r="C1180" t="s">
        <v>1195</v>
      </c>
    </row>
    <row r="1181" spans="2:3" x14ac:dyDescent="0.35">
      <c r="B1181" t="s">
        <v>1104</v>
      </c>
      <c r="C1181" t="s">
        <v>1105</v>
      </c>
    </row>
    <row r="1182" spans="2:3" x14ac:dyDescent="0.35">
      <c r="B1182" t="s">
        <v>1131</v>
      </c>
      <c r="C1182" t="s">
        <v>1132</v>
      </c>
    </row>
    <row r="1183" spans="2:3" x14ac:dyDescent="0.35">
      <c r="B1183" t="s">
        <v>1104</v>
      </c>
      <c r="C1183" t="s">
        <v>1105</v>
      </c>
    </row>
    <row r="1184" spans="2:3" x14ac:dyDescent="0.35">
      <c r="B1184" t="s">
        <v>1195</v>
      </c>
      <c r="C1184" t="s">
        <v>1195</v>
      </c>
    </row>
    <row r="1185" spans="2:3" x14ac:dyDescent="0.35">
      <c r="B1185" t="s">
        <v>1115</v>
      </c>
      <c r="C1185" t="s">
        <v>1116</v>
      </c>
    </row>
    <row r="1186" spans="2:3" x14ac:dyDescent="0.35">
      <c r="B1186" t="s">
        <v>1195</v>
      </c>
      <c r="C1186" t="s">
        <v>1195</v>
      </c>
    </row>
    <row r="1187" spans="2:3" x14ac:dyDescent="0.35">
      <c r="B1187" t="s">
        <v>1141</v>
      </c>
      <c r="C1187" t="s">
        <v>1142</v>
      </c>
    </row>
    <row r="1188" spans="2:3" x14ac:dyDescent="0.35">
      <c r="B1188" t="s">
        <v>1131</v>
      </c>
      <c r="C1188" t="s">
        <v>1132</v>
      </c>
    </row>
    <row r="1189" spans="2:3" x14ac:dyDescent="0.35">
      <c r="B1189" t="s">
        <v>1131</v>
      </c>
      <c r="C1189" t="s">
        <v>1132</v>
      </c>
    </row>
    <row r="1190" spans="2:3" x14ac:dyDescent="0.35">
      <c r="B1190" t="s">
        <v>787</v>
      </c>
      <c r="C1190" t="s">
        <v>788</v>
      </c>
    </row>
    <row r="1191" spans="2:3" x14ac:dyDescent="0.35">
      <c r="B1191" t="s">
        <v>1206</v>
      </c>
      <c r="C1191" t="s">
        <v>1207</v>
      </c>
    </row>
    <row r="1192" spans="2:3" x14ac:dyDescent="0.35">
      <c r="B1192" t="s">
        <v>1206</v>
      </c>
      <c r="C1192" t="s">
        <v>1207</v>
      </c>
    </row>
    <row r="1193" spans="2:3" x14ac:dyDescent="0.35">
      <c r="B1193" t="s">
        <v>787</v>
      </c>
      <c r="C1193" t="s">
        <v>788</v>
      </c>
    </row>
    <row r="1194" spans="2:3" x14ac:dyDescent="0.35">
      <c r="B1194" t="s">
        <v>1195</v>
      </c>
      <c r="C1194" t="s">
        <v>1195</v>
      </c>
    </row>
    <row r="1195" spans="2:3" x14ac:dyDescent="0.35">
      <c r="B1195" t="s">
        <v>1092</v>
      </c>
      <c r="C1195" t="s">
        <v>1093</v>
      </c>
    </row>
    <row r="1196" spans="2:3" x14ac:dyDescent="0.35">
      <c r="B1196" t="s">
        <v>1195</v>
      </c>
      <c r="C1196" t="s">
        <v>1195</v>
      </c>
    </row>
    <row r="1197" spans="2:3" x14ac:dyDescent="0.35">
      <c r="B1197" t="s">
        <v>1123</v>
      </c>
      <c r="C1197" t="s">
        <v>1124</v>
      </c>
    </row>
    <row r="1198" spans="2:3" x14ac:dyDescent="0.35">
      <c r="B1198" t="s">
        <v>1195</v>
      </c>
      <c r="C1198" t="s">
        <v>1195</v>
      </c>
    </row>
    <row r="1199" spans="2:3" x14ac:dyDescent="0.35">
      <c r="B1199" t="s">
        <v>1131</v>
      </c>
      <c r="C1199" t="s">
        <v>1132</v>
      </c>
    </row>
    <row r="1200" spans="2:3" x14ac:dyDescent="0.35">
      <c r="B1200" t="s">
        <v>1166</v>
      </c>
      <c r="C1200" t="s">
        <v>1167</v>
      </c>
    </row>
    <row r="1201" spans="2:3" x14ac:dyDescent="0.35">
      <c r="B1201" t="s">
        <v>1104</v>
      </c>
      <c r="C1201" t="s">
        <v>1105</v>
      </c>
    </row>
    <row r="1202" spans="2:3" x14ac:dyDescent="0.35">
      <c r="B1202" t="s">
        <v>955</v>
      </c>
      <c r="C1202" t="s">
        <v>956</v>
      </c>
    </row>
    <row r="1203" spans="2:3" x14ac:dyDescent="0.35">
      <c r="B1203" t="s">
        <v>1195</v>
      </c>
      <c r="C1203" t="s">
        <v>1195</v>
      </c>
    </row>
    <row r="1204" spans="2:3" x14ac:dyDescent="0.35">
      <c r="B1204" t="s">
        <v>1131</v>
      </c>
      <c r="C1204" t="s">
        <v>1132</v>
      </c>
    </row>
    <row r="1205" spans="2:3" x14ac:dyDescent="0.35">
      <c r="B1205" t="s">
        <v>1092</v>
      </c>
      <c r="C1205" t="s">
        <v>1093</v>
      </c>
    </row>
    <row r="1206" spans="2:3" x14ac:dyDescent="0.35">
      <c r="B1206" t="s">
        <v>1123</v>
      </c>
      <c r="C1206" t="s">
        <v>1124</v>
      </c>
    </row>
    <row r="1207" spans="2:3" x14ac:dyDescent="0.35">
      <c r="B1207" t="s">
        <v>1195</v>
      </c>
      <c r="C1207" t="s">
        <v>1195</v>
      </c>
    </row>
    <row r="1208" spans="2:3" x14ac:dyDescent="0.35">
      <c r="B1208" t="s">
        <v>1195</v>
      </c>
      <c r="C1208" t="s">
        <v>1195</v>
      </c>
    </row>
    <row r="1209" spans="2:3" x14ac:dyDescent="0.35">
      <c r="B1209" t="s">
        <v>1123</v>
      </c>
      <c r="C1209" t="s">
        <v>1124</v>
      </c>
    </row>
    <row r="1210" spans="2:3" x14ac:dyDescent="0.35">
      <c r="B1210" t="s">
        <v>1131</v>
      </c>
      <c r="C1210" t="s">
        <v>1132</v>
      </c>
    </row>
    <row r="1211" spans="2:3" x14ac:dyDescent="0.35">
      <c r="B1211" t="s">
        <v>1104</v>
      </c>
      <c r="C1211" t="s">
        <v>1105</v>
      </c>
    </row>
    <row r="1212" spans="2:3" x14ac:dyDescent="0.35">
      <c r="B1212" t="s">
        <v>1166</v>
      </c>
      <c r="C1212" t="s">
        <v>1167</v>
      </c>
    </row>
    <row r="1213" spans="2:3" x14ac:dyDescent="0.35">
      <c r="B1213" t="s">
        <v>1104</v>
      </c>
      <c r="C1213" t="s">
        <v>1105</v>
      </c>
    </row>
    <row r="1214" spans="2:3" x14ac:dyDescent="0.35">
      <c r="B1214" t="s">
        <v>955</v>
      </c>
      <c r="C1214" t="s">
        <v>956</v>
      </c>
    </row>
    <row r="1215" spans="2:3" x14ac:dyDescent="0.35">
      <c r="B1215" t="s">
        <v>1104</v>
      </c>
      <c r="C1215" t="s">
        <v>1105</v>
      </c>
    </row>
    <row r="1216" spans="2:3" x14ac:dyDescent="0.35">
      <c r="B1216" t="s">
        <v>1206</v>
      </c>
      <c r="C1216" t="s">
        <v>1207</v>
      </c>
    </row>
    <row r="1217" spans="2:3" x14ac:dyDescent="0.35">
      <c r="B1217" t="s">
        <v>1104</v>
      </c>
      <c r="C1217" t="s">
        <v>1105</v>
      </c>
    </row>
    <row r="1218" spans="2:3" x14ac:dyDescent="0.35">
      <c r="B1218" t="s">
        <v>1092</v>
      </c>
      <c r="C1218" t="s">
        <v>1093</v>
      </c>
    </row>
    <row r="1219" spans="2:3" x14ac:dyDescent="0.35">
      <c r="B1219" t="s">
        <v>1195</v>
      </c>
      <c r="C1219" t="s">
        <v>1195</v>
      </c>
    </row>
    <row r="1220" spans="2:3" x14ac:dyDescent="0.35">
      <c r="B1220" t="s">
        <v>1092</v>
      </c>
      <c r="C1220" t="s">
        <v>1093</v>
      </c>
    </row>
    <row r="1221" spans="2:3" x14ac:dyDescent="0.35">
      <c r="B1221" t="s">
        <v>1131</v>
      </c>
      <c r="C1221" t="s">
        <v>1132</v>
      </c>
    </row>
    <row r="1222" spans="2:3" x14ac:dyDescent="0.35">
      <c r="B1222" t="s">
        <v>1092</v>
      </c>
      <c r="C1222" t="s">
        <v>1093</v>
      </c>
    </row>
    <row r="1223" spans="2:3" x14ac:dyDescent="0.35">
      <c r="B1223" t="s">
        <v>1092</v>
      </c>
      <c r="C1223" t="s">
        <v>1093</v>
      </c>
    </row>
    <row r="1224" spans="2:3" x14ac:dyDescent="0.35">
      <c r="B1224" t="s">
        <v>1092</v>
      </c>
      <c r="C1224" t="s">
        <v>1093</v>
      </c>
    </row>
    <row r="1225" spans="2:3" x14ac:dyDescent="0.35">
      <c r="B1225" t="s">
        <v>1123</v>
      </c>
      <c r="C1225" t="s">
        <v>1124</v>
      </c>
    </row>
    <row r="1226" spans="2:3" x14ac:dyDescent="0.35">
      <c r="B1226" t="s">
        <v>955</v>
      </c>
      <c r="C1226" t="s">
        <v>956</v>
      </c>
    </row>
    <row r="1227" spans="2:3" x14ac:dyDescent="0.35">
      <c r="B1227" t="s">
        <v>1104</v>
      </c>
      <c r="C1227" t="s">
        <v>1105</v>
      </c>
    </row>
    <row r="1228" spans="2:3" x14ac:dyDescent="0.35">
      <c r="B1228" t="s">
        <v>1092</v>
      </c>
      <c r="C1228" t="s">
        <v>1093</v>
      </c>
    </row>
    <row r="1229" spans="2:3" x14ac:dyDescent="0.35">
      <c r="B1229" t="s">
        <v>1166</v>
      </c>
      <c r="C1229" t="s">
        <v>1167</v>
      </c>
    </row>
    <row r="1230" spans="2:3" x14ac:dyDescent="0.35">
      <c r="B1230" t="s">
        <v>1195</v>
      </c>
      <c r="C1230" t="s">
        <v>1195</v>
      </c>
    </row>
    <row r="1231" spans="2:3" x14ac:dyDescent="0.35">
      <c r="B1231" t="s">
        <v>1092</v>
      </c>
      <c r="C1231" t="s">
        <v>1093</v>
      </c>
    </row>
    <row r="1232" spans="2:3" x14ac:dyDescent="0.35">
      <c r="B1232" t="s">
        <v>1104</v>
      </c>
      <c r="C1232" t="s">
        <v>1105</v>
      </c>
    </row>
    <row r="1233" spans="2:3" x14ac:dyDescent="0.35">
      <c r="B1233" t="s">
        <v>1195</v>
      </c>
      <c r="C1233" t="s">
        <v>1195</v>
      </c>
    </row>
    <row r="1234" spans="2:3" x14ac:dyDescent="0.35">
      <c r="B1234" t="s">
        <v>1104</v>
      </c>
      <c r="C1234" t="s">
        <v>1105</v>
      </c>
    </row>
    <row r="1235" spans="2:3" x14ac:dyDescent="0.35">
      <c r="B1235" t="s">
        <v>1092</v>
      </c>
      <c r="C1235" t="s">
        <v>1093</v>
      </c>
    </row>
    <row r="1236" spans="2:3" x14ac:dyDescent="0.35">
      <c r="B1236" t="s">
        <v>1195</v>
      </c>
      <c r="C1236" t="s">
        <v>1195</v>
      </c>
    </row>
    <row r="1237" spans="2:3" x14ac:dyDescent="0.35">
      <c r="B1237" t="s">
        <v>1206</v>
      </c>
      <c r="C1237" t="s">
        <v>1207</v>
      </c>
    </row>
    <row r="1238" spans="2:3" x14ac:dyDescent="0.35">
      <c r="B1238" t="s">
        <v>955</v>
      </c>
      <c r="C1238" t="s">
        <v>956</v>
      </c>
    </row>
    <row r="1239" spans="2:3" x14ac:dyDescent="0.35">
      <c r="B1239" t="s">
        <v>1092</v>
      </c>
      <c r="C1239" t="s">
        <v>1093</v>
      </c>
    </row>
    <row r="1240" spans="2:3" x14ac:dyDescent="0.35">
      <c r="B1240" t="s">
        <v>1195</v>
      </c>
      <c r="C1240" t="s">
        <v>1195</v>
      </c>
    </row>
    <row r="1241" spans="2:3" x14ac:dyDescent="0.35">
      <c r="B1241" t="s">
        <v>1104</v>
      </c>
      <c r="C1241" t="s">
        <v>1105</v>
      </c>
    </row>
    <row r="1242" spans="2:3" x14ac:dyDescent="0.35">
      <c r="B1242" t="s">
        <v>1166</v>
      </c>
      <c r="C1242" t="s">
        <v>1167</v>
      </c>
    </row>
    <row r="1243" spans="2:3" x14ac:dyDescent="0.35">
      <c r="B1243" t="s">
        <v>1131</v>
      </c>
      <c r="C1243" t="s">
        <v>1132</v>
      </c>
    </row>
    <row r="1244" spans="2:3" x14ac:dyDescent="0.35">
      <c r="B1244" t="s">
        <v>1123</v>
      </c>
      <c r="C1244" t="s">
        <v>1124</v>
      </c>
    </row>
    <row r="1245" spans="2:3" x14ac:dyDescent="0.35">
      <c r="B1245" t="s">
        <v>1131</v>
      </c>
      <c r="C1245" t="s">
        <v>1132</v>
      </c>
    </row>
    <row r="1246" spans="2:3" x14ac:dyDescent="0.35">
      <c r="B1246" t="s">
        <v>787</v>
      </c>
      <c r="C1246" t="s">
        <v>788</v>
      </c>
    </row>
    <row r="1247" spans="2:3" x14ac:dyDescent="0.35">
      <c r="B1247" t="s">
        <v>1195</v>
      </c>
      <c r="C1247" t="s">
        <v>1195</v>
      </c>
    </row>
    <row r="1248" spans="2:3" x14ac:dyDescent="0.35">
      <c r="B1248" t="s">
        <v>955</v>
      </c>
      <c r="C1248" t="s">
        <v>956</v>
      </c>
    </row>
    <row r="1249" spans="2:3" x14ac:dyDescent="0.35">
      <c r="B1249" t="s">
        <v>1123</v>
      </c>
      <c r="C1249" t="s">
        <v>1124</v>
      </c>
    </row>
    <row r="1250" spans="2:3" x14ac:dyDescent="0.35">
      <c r="B1250" t="s">
        <v>1195</v>
      </c>
      <c r="C1250" t="s">
        <v>1195</v>
      </c>
    </row>
    <row r="1251" spans="2:3" x14ac:dyDescent="0.35">
      <c r="B1251" t="s">
        <v>1195</v>
      </c>
      <c r="C1251" t="s">
        <v>1195</v>
      </c>
    </row>
    <row r="1252" spans="2:3" x14ac:dyDescent="0.35">
      <c r="B1252" t="s">
        <v>1166</v>
      </c>
      <c r="C1252" t="s">
        <v>1167</v>
      </c>
    </row>
    <row r="1253" spans="2:3" x14ac:dyDescent="0.35">
      <c r="B1253" t="s">
        <v>1104</v>
      </c>
      <c r="C1253" t="s">
        <v>1105</v>
      </c>
    </row>
    <row r="1254" spans="2:3" x14ac:dyDescent="0.35">
      <c r="B1254" t="s">
        <v>1195</v>
      </c>
      <c r="C1254" t="s">
        <v>1195</v>
      </c>
    </row>
    <row r="1255" spans="2:3" x14ac:dyDescent="0.35">
      <c r="B1255" t="s">
        <v>1131</v>
      </c>
      <c r="C1255" t="s">
        <v>1132</v>
      </c>
    </row>
    <row r="1256" spans="2:3" x14ac:dyDescent="0.35">
      <c r="B1256" t="s">
        <v>1195</v>
      </c>
      <c r="C1256" t="s">
        <v>1195</v>
      </c>
    </row>
    <row r="1257" spans="2:3" x14ac:dyDescent="0.35">
      <c r="B1257" t="s">
        <v>1115</v>
      </c>
      <c r="C1257" t="s">
        <v>1116</v>
      </c>
    </row>
    <row r="1258" spans="2:3" x14ac:dyDescent="0.35">
      <c r="B1258" t="s">
        <v>955</v>
      </c>
      <c r="C1258" t="s">
        <v>956</v>
      </c>
    </row>
    <row r="1259" spans="2:3" x14ac:dyDescent="0.35">
      <c r="B1259" t="s">
        <v>955</v>
      </c>
      <c r="C1259" t="s">
        <v>956</v>
      </c>
    </row>
    <row r="1260" spans="2:3" x14ac:dyDescent="0.35">
      <c r="B1260" t="s">
        <v>1104</v>
      </c>
      <c r="C1260" t="s">
        <v>1105</v>
      </c>
    </row>
    <row r="1261" spans="2:3" x14ac:dyDescent="0.35">
      <c r="B1261" t="s">
        <v>1092</v>
      </c>
      <c r="C1261" t="s">
        <v>1093</v>
      </c>
    </row>
    <row r="1262" spans="2:3" x14ac:dyDescent="0.35">
      <c r="B1262" t="s">
        <v>1104</v>
      </c>
      <c r="C1262" t="s">
        <v>1105</v>
      </c>
    </row>
    <row r="1263" spans="2:3" x14ac:dyDescent="0.35">
      <c r="B1263" t="s">
        <v>1092</v>
      </c>
      <c r="C1263" t="s">
        <v>1093</v>
      </c>
    </row>
    <row r="1264" spans="2:3" x14ac:dyDescent="0.35">
      <c r="B1264" t="s">
        <v>1104</v>
      </c>
      <c r="C1264" t="s">
        <v>1105</v>
      </c>
    </row>
    <row r="1265" spans="2:3" x14ac:dyDescent="0.35">
      <c r="B1265" t="s">
        <v>1092</v>
      </c>
      <c r="C1265" t="s">
        <v>1093</v>
      </c>
    </row>
    <row r="1266" spans="2:3" x14ac:dyDescent="0.35">
      <c r="B1266" t="s">
        <v>1104</v>
      </c>
      <c r="C1266" t="s">
        <v>1105</v>
      </c>
    </row>
    <row r="1267" spans="2:3" x14ac:dyDescent="0.35">
      <c r="B1267" t="s">
        <v>1195</v>
      </c>
      <c r="C1267" t="s">
        <v>1195</v>
      </c>
    </row>
    <row r="1268" spans="2:3" x14ac:dyDescent="0.35">
      <c r="B1268" t="s">
        <v>1195</v>
      </c>
      <c r="C1268" t="s">
        <v>1195</v>
      </c>
    </row>
    <row r="1269" spans="2:3" x14ac:dyDescent="0.35">
      <c r="B1269" t="s">
        <v>1131</v>
      </c>
      <c r="C1269" t="s">
        <v>1132</v>
      </c>
    </row>
    <row r="1270" spans="2:3" x14ac:dyDescent="0.35">
      <c r="B1270" t="s">
        <v>787</v>
      </c>
      <c r="C1270" t="s">
        <v>788</v>
      </c>
    </row>
    <row r="1271" spans="2:3" x14ac:dyDescent="0.35">
      <c r="B1271" t="s">
        <v>1131</v>
      </c>
      <c r="C1271" t="s">
        <v>1132</v>
      </c>
    </row>
    <row r="1272" spans="2:3" x14ac:dyDescent="0.35">
      <c r="B1272" t="s">
        <v>1206</v>
      </c>
      <c r="C1272" t="s">
        <v>1207</v>
      </c>
    </row>
    <row r="1273" spans="2:3" x14ac:dyDescent="0.35">
      <c r="B1273" t="s">
        <v>1131</v>
      </c>
      <c r="C1273" t="s">
        <v>1132</v>
      </c>
    </row>
    <row r="1274" spans="2:3" x14ac:dyDescent="0.35">
      <c r="B1274" t="s">
        <v>787</v>
      </c>
      <c r="C1274" t="s">
        <v>788</v>
      </c>
    </row>
    <row r="1275" spans="2:3" x14ac:dyDescent="0.35">
      <c r="B1275" t="s">
        <v>1195</v>
      </c>
      <c r="C1275" t="s">
        <v>1195</v>
      </c>
    </row>
    <row r="1276" spans="2:3" x14ac:dyDescent="0.35">
      <c r="B1276" t="s">
        <v>1131</v>
      </c>
      <c r="C1276" t="s">
        <v>1132</v>
      </c>
    </row>
    <row r="1277" spans="2:3" x14ac:dyDescent="0.35">
      <c r="B1277" t="s">
        <v>1092</v>
      </c>
      <c r="C1277" t="s">
        <v>1093</v>
      </c>
    </row>
    <row r="1278" spans="2:3" x14ac:dyDescent="0.35">
      <c r="B1278" t="s">
        <v>1079</v>
      </c>
      <c r="C1278" t="s">
        <v>1080</v>
      </c>
    </row>
    <row r="1279" spans="2:3" x14ac:dyDescent="0.35">
      <c r="B1279" t="s">
        <v>1104</v>
      </c>
      <c r="C1279" t="s">
        <v>1105</v>
      </c>
    </row>
    <row r="1280" spans="2:3" x14ac:dyDescent="0.35">
      <c r="B1280" t="s">
        <v>1141</v>
      </c>
      <c r="C1280" t="s">
        <v>1142</v>
      </c>
    </row>
    <row r="1281" spans="2:3" x14ac:dyDescent="0.35">
      <c r="B1281" t="s">
        <v>1104</v>
      </c>
      <c r="C1281" t="s">
        <v>1105</v>
      </c>
    </row>
    <row r="1282" spans="2:3" x14ac:dyDescent="0.35">
      <c r="B1282" t="s">
        <v>1166</v>
      </c>
      <c r="C1282" t="s">
        <v>1167</v>
      </c>
    </row>
    <row r="1283" spans="2:3" x14ac:dyDescent="0.35">
      <c r="B1283" t="s">
        <v>1206</v>
      </c>
      <c r="C1283" t="s">
        <v>1207</v>
      </c>
    </row>
    <row r="1284" spans="2:3" x14ac:dyDescent="0.35">
      <c r="B1284" t="s">
        <v>1141</v>
      </c>
      <c r="C1284" t="s">
        <v>1142</v>
      </c>
    </row>
    <row r="1285" spans="2:3" x14ac:dyDescent="0.35">
      <c r="B1285" t="s">
        <v>1123</v>
      </c>
      <c r="C1285" t="s">
        <v>1124</v>
      </c>
    </row>
    <row r="1286" spans="2:3" x14ac:dyDescent="0.35">
      <c r="B1286" t="s">
        <v>1166</v>
      </c>
      <c r="C1286" t="s">
        <v>1167</v>
      </c>
    </row>
    <row r="1287" spans="2:3" x14ac:dyDescent="0.35">
      <c r="B1287" t="s">
        <v>1123</v>
      </c>
      <c r="C1287" t="s">
        <v>1124</v>
      </c>
    </row>
    <row r="1288" spans="2:3" x14ac:dyDescent="0.35">
      <c r="B1288" t="s">
        <v>1092</v>
      </c>
      <c r="C1288" t="s">
        <v>1093</v>
      </c>
    </row>
    <row r="1289" spans="2:3" x14ac:dyDescent="0.35">
      <c r="B1289" t="s">
        <v>955</v>
      </c>
      <c r="C1289" t="s">
        <v>956</v>
      </c>
    </row>
    <row r="1290" spans="2:3" x14ac:dyDescent="0.35">
      <c r="B1290" t="s">
        <v>1131</v>
      </c>
      <c r="C1290" t="s">
        <v>1132</v>
      </c>
    </row>
    <row r="1291" spans="2:3" x14ac:dyDescent="0.35">
      <c r="B1291" t="s">
        <v>1195</v>
      </c>
      <c r="C1291" t="s">
        <v>1195</v>
      </c>
    </row>
    <row r="1292" spans="2:3" x14ac:dyDescent="0.35">
      <c r="B1292" t="s">
        <v>1195</v>
      </c>
      <c r="C1292" t="s">
        <v>1195</v>
      </c>
    </row>
    <row r="1293" spans="2:3" x14ac:dyDescent="0.35">
      <c r="B1293" t="s">
        <v>1104</v>
      </c>
      <c r="C1293" t="s">
        <v>1105</v>
      </c>
    </row>
    <row r="1294" spans="2:3" x14ac:dyDescent="0.35">
      <c r="B1294" t="s">
        <v>1104</v>
      </c>
      <c r="C1294" t="s">
        <v>1105</v>
      </c>
    </row>
    <row r="1295" spans="2:3" x14ac:dyDescent="0.35">
      <c r="B1295" t="s">
        <v>1104</v>
      </c>
      <c r="C1295" t="s">
        <v>1105</v>
      </c>
    </row>
    <row r="1296" spans="2:3" x14ac:dyDescent="0.35">
      <c r="B1296" t="s">
        <v>1079</v>
      </c>
      <c r="C1296" t="s">
        <v>1080</v>
      </c>
    </row>
    <row r="1297" spans="2:3" x14ac:dyDescent="0.35">
      <c r="B1297" t="s">
        <v>955</v>
      </c>
      <c r="C1297" t="s">
        <v>956</v>
      </c>
    </row>
    <row r="1298" spans="2:3" x14ac:dyDescent="0.35">
      <c r="B1298" t="s">
        <v>1092</v>
      </c>
      <c r="C1298" t="s">
        <v>1093</v>
      </c>
    </row>
    <row r="1299" spans="2:3" x14ac:dyDescent="0.35">
      <c r="B1299" t="s">
        <v>1123</v>
      </c>
      <c r="C1299" t="s">
        <v>1124</v>
      </c>
    </row>
    <row r="1300" spans="2:3" x14ac:dyDescent="0.35">
      <c r="B1300" t="s">
        <v>1141</v>
      </c>
      <c r="C1300" t="s">
        <v>1142</v>
      </c>
    </row>
    <row r="1301" spans="2:3" x14ac:dyDescent="0.35">
      <c r="B1301" t="s">
        <v>1123</v>
      </c>
      <c r="C1301" t="s">
        <v>1124</v>
      </c>
    </row>
    <row r="1302" spans="2:3" x14ac:dyDescent="0.35">
      <c r="B1302" t="s">
        <v>1104</v>
      </c>
      <c r="C1302" t="s">
        <v>1105</v>
      </c>
    </row>
    <row r="1303" spans="2:3" x14ac:dyDescent="0.35">
      <c r="B1303" t="s">
        <v>1131</v>
      </c>
      <c r="C1303" t="s">
        <v>1132</v>
      </c>
    </row>
    <row r="1304" spans="2:3" x14ac:dyDescent="0.35">
      <c r="B1304" t="s">
        <v>1104</v>
      </c>
      <c r="C1304" t="s">
        <v>1105</v>
      </c>
    </row>
    <row r="1305" spans="2:3" x14ac:dyDescent="0.35">
      <c r="B1305" t="s">
        <v>1166</v>
      </c>
      <c r="C1305" t="s">
        <v>1167</v>
      </c>
    </row>
    <row r="1306" spans="2:3" x14ac:dyDescent="0.35">
      <c r="B1306" t="s">
        <v>1092</v>
      </c>
      <c r="C1306" t="s">
        <v>1093</v>
      </c>
    </row>
    <row r="1307" spans="2:3" x14ac:dyDescent="0.35">
      <c r="B1307" t="s">
        <v>1123</v>
      </c>
      <c r="C1307" t="s">
        <v>1124</v>
      </c>
    </row>
    <row r="1308" spans="2:3" x14ac:dyDescent="0.35">
      <c r="B1308" t="s">
        <v>1195</v>
      </c>
      <c r="C1308" t="s">
        <v>1195</v>
      </c>
    </row>
    <row r="1309" spans="2:3" x14ac:dyDescent="0.35">
      <c r="B1309" t="s">
        <v>1092</v>
      </c>
      <c r="C1309" t="s">
        <v>1093</v>
      </c>
    </row>
    <row r="1310" spans="2:3" x14ac:dyDescent="0.35">
      <c r="B1310" t="s">
        <v>955</v>
      </c>
      <c r="C1310" t="s">
        <v>956</v>
      </c>
    </row>
    <row r="1311" spans="2:3" x14ac:dyDescent="0.35">
      <c r="B1311" t="s">
        <v>1195</v>
      </c>
      <c r="C1311" t="s">
        <v>1195</v>
      </c>
    </row>
    <row r="1312" spans="2:3" x14ac:dyDescent="0.35">
      <c r="B1312" t="s">
        <v>787</v>
      </c>
      <c r="C1312" t="s">
        <v>788</v>
      </c>
    </row>
    <row r="1313" spans="2:3" x14ac:dyDescent="0.35">
      <c r="B1313" t="s">
        <v>1123</v>
      </c>
      <c r="C1313" t="s">
        <v>1124</v>
      </c>
    </row>
    <row r="1314" spans="2:3" x14ac:dyDescent="0.35">
      <c r="B1314" t="s">
        <v>1104</v>
      </c>
      <c r="C1314" t="s">
        <v>1105</v>
      </c>
    </row>
    <row r="1315" spans="2:3" x14ac:dyDescent="0.35">
      <c r="B1315" t="s">
        <v>1131</v>
      </c>
      <c r="C1315" t="s">
        <v>1132</v>
      </c>
    </row>
    <row r="1316" spans="2:3" x14ac:dyDescent="0.35">
      <c r="B1316" t="s">
        <v>1195</v>
      </c>
      <c r="C1316" t="s">
        <v>1195</v>
      </c>
    </row>
    <row r="1317" spans="2:3" x14ac:dyDescent="0.35">
      <c r="B1317" t="s">
        <v>1131</v>
      </c>
      <c r="C1317" t="s">
        <v>1132</v>
      </c>
    </row>
    <row r="1318" spans="2:3" x14ac:dyDescent="0.35">
      <c r="B1318" t="s">
        <v>1131</v>
      </c>
      <c r="C1318" t="s">
        <v>1132</v>
      </c>
    </row>
    <row r="1319" spans="2:3" x14ac:dyDescent="0.35">
      <c r="B1319" t="s">
        <v>1123</v>
      </c>
      <c r="C1319" t="s">
        <v>1124</v>
      </c>
    </row>
    <row r="1320" spans="2:3" x14ac:dyDescent="0.35">
      <c r="B1320" t="s">
        <v>787</v>
      </c>
      <c r="C1320" t="s">
        <v>788</v>
      </c>
    </row>
    <row r="1321" spans="2:3" x14ac:dyDescent="0.35">
      <c r="B1321" t="s">
        <v>1195</v>
      </c>
      <c r="C1321" t="s">
        <v>1195</v>
      </c>
    </row>
    <row r="1322" spans="2:3" x14ac:dyDescent="0.35">
      <c r="B1322" t="s">
        <v>1166</v>
      </c>
      <c r="C1322" t="s">
        <v>1167</v>
      </c>
    </row>
    <row r="1323" spans="2:3" x14ac:dyDescent="0.35">
      <c r="B1323" t="s">
        <v>1104</v>
      </c>
      <c r="C1323" t="s">
        <v>1105</v>
      </c>
    </row>
    <row r="1324" spans="2:3" x14ac:dyDescent="0.35">
      <c r="B1324" t="s">
        <v>1131</v>
      </c>
      <c r="C1324" t="s">
        <v>1132</v>
      </c>
    </row>
    <row r="1325" spans="2:3" x14ac:dyDescent="0.35">
      <c r="B1325" t="s">
        <v>1166</v>
      </c>
      <c r="C1325" t="s">
        <v>1167</v>
      </c>
    </row>
    <row r="1326" spans="2:3" x14ac:dyDescent="0.35">
      <c r="B1326" t="s">
        <v>1166</v>
      </c>
      <c r="C1326" t="s">
        <v>1167</v>
      </c>
    </row>
    <row r="1327" spans="2:3" x14ac:dyDescent="0.35">
      <c r="B1327" t="s">
        <v>1104</v>
      </c>
      <c r="C1327" t="s">
        <v>1105</v>
      </c>
    </row>
    <row r="1328" spans="2:3" x14ac:dyDescent="0.35">
      <c r="B1328" t="s">
        <v>1104</v>
      </c>
      <c r="C1328" t="s">
        <v>1105</v>
      </c>
    </row>
    <row r="1329" spans="2:3" x14ac:dyDescent="0.35">
      <c r="B1329" t="s">
        <v>1092</v>
      </c>
      <c r="C1329" t="s">
        <v>1093</v>
      </c>
    </row>
    <row r="1330" spans="2:3" x14ac:dyDescent="0.35">
      <c r="B1330" t="s">
        <v>1104</v>
      </c>
      <c r="C1330" t="s">
        <v>1105</v>
      </c>
    </row>
    <row r="1331" spans="2:3" x14ac:dyDescent="0.35">
      <c r="B1331" t="s">
        <v>1195</v>
      </c>
      <c r="C1331" t="s">
        <v>1195</v>
      </c>
    </row>
    <row r="1332" spans="2:3" x14ac:dyDescent="0.35">
      <c r="B1332" t="s">
        <v>787</v>
      </c>
      <c r="C1332" t="s">
        <v>788</v>
      </c>
    </row>
    <row r="1333" spans="2:3" x14ac:dyDescent="0.35">
      <c r="B1333" t="s">
        <v>1123</v>
      </c>
      <c r="C1333" t="s">
        <v>1124</v>
      </c>
    </row>
    <row r="1334" spans="2:3" x14ac:dyDescent="0.35">
      <c r="B1334" t="s">
        <v>1104</v>
      </c>
      <c r="C1334" t="s">
        <v>1105</v>
      </c>
    </row>
    <row r="1335" spans="2:3" x14ac:dyDescent="0.35">
      <c r="B1335" t="s">
        <v>1131</v>
      </c>
      <c r="C1335" t="s">
        <v>1132</v>
      </c>
    </row>
    <row r="1336" spans="2:3" x14ac:dyDescent="0.35">
      <c r="B1336" t="s">
        <v>1195</v>
      </c>
      <c r="C1336" t="s">
        <v>1195</v>
      </c>
    </row>
    <row r="1337" spans="2:3" x14ac:dyDescent="0.35">
      <c r="B1337" t="s">
        <v>1131</v>
      </c>
      <c r="C1337" t="s">
        <v>1132</v>
      </c>
    </row>
    <row r="1338" spans="2:3" x14ac:dyDescent="0.35">
      <c r="B1338" t="s">
        <v>1206</v>
      </c>
      <c r="C1338" t="s">
        <v>1207</v>
      </c>
    </row>
    <row r="1339" spans="2:3" x14ac:dyDescent="0.35">
      <c r="B1339" t="s">
        <v>1123</v>
      </c>
      <c r="C1339" t="s">
        <v>1124</v>
      </c>
    </row>
    <row r="1340" spans="2:3" x14ac:dyDescent="0.35">
      <c r="B1340" t="s">
        <v>1115</v>
      </c>
      <c r="C1340" t="s">
        <v>1116</v>
      </c>
    </row>
    <row r="1341" spans="2:3" x14ac:dyDescent="0.35">
      <c r="B1341" t="s">
        <v>1092</v>
      </c>
      <c r="C1341" t="s">
        <v>1093</v>
      </c>
    </row>
    <row r="1342" spans="2:3" x14ac:dyDescent="0.35">
      <c r="B1342" t="s">
        <v>1195</v>
      </c>
      <c r="C1342" t="s">
        <v>1195</v>
      </c>
    </row>
    <row r="1343" spans="2:3" x14ac:dyDescent="0.35">
      <c r="B1343" t="s">
        <v>1123</v>
      </c>
      <c r="C1343" t="s">
        <v>1124</v>
      </c>
    </row>
    <row r="1344" spans="2:3" x14ac:dyDescent="0.35">
      <c r="B1344" t="s">
        <v>1141</v>
      </c>
      <c r="C1344" t="s">
        <v>1142</v>
      </c>
    </row>
    <row r="1345" spans="2:3" x14ac:dyDescent="0.35">
      <c r="B1345" t="s">
        <v>1131</v>
      </c>
      <c r="C1345" t="s">
        <v>1132</v>
      </c>
    </row>
    <row r="1346" spans="2:3" x14ac:dyDescent="0.35">
      <c r="B1346" t="s">
        <v>1131</v>
      </c>
      <c r="C1346" t="s">
        <v>1132</v>
      </c>
    </row>
    <row r="1347" spans="2:3" x14ac:dyDescent="0.35">
      <c r="B1347" t="s">
        <v>1206</v>
      </c>
      <c r="C1347" t="s">
        <v>1207</v>
      </c>
    </row>
    <row r="1348" spans="2:3" x14ac:dyDescent="0.35">
      <c r="B1348" t="s">
        <v>1104</v>
      </c>
      <c r="C1348" t="s">
        <v>1105</v>
      </c>
    </row>
    <row r="1349" spans="2:3" x14ac:dyDescent="0.35">
      <c r="B1349" t="s">
        <v>1123</v>
      </c>
      <c r="C1349" t="s">
        <v>1124</v>
      </c>
    </row>
    <row r="1350" spans="2:3" x14ac:dyDescent="0.35">
      <c r="B1350" t="s">
        <v>955</v>
      </c>
      <c r="C1350" t="s">
        <v>956</v>
      </c>
    </row>
    <row r="1351" spans="2:3" x14ac:dyDescent="0.35">
      <c r="B1351" t="s">
        <v>1195</v>
      </c>
      <c r="C1351" t="s">
        <v>1195</v>
      </c>
    </row>
    <row r="1352" spans="2:3" x14ac:dyDescent="0.35">
      <c r="B1352" t="s">
        <v>1092</v>
      </c>
      <c r="C1352" t="s">
        <v>1093</v>
      </c>
    </row>
    <row r="1353" spans="2:3" x14ac:dyDescent="0.35">
      <c r="B1353" t="s">
        <v>1104</v>
      </c>
      <c r="C1353" t="s">
        <v>1105</v>
      </c>
    </row>
    <row r="1354" spans="2:3" x14ac:dyDescent="0.35">
      <c r="B1354" t="s">
        <v>955</v>
      </c>
      <c r="C1354" t="s">
        <v>956</v>
      </c>
    </row>
    <row r="1355" spans="2:3" x14ac:dyDescent="0.35">
      <c r="B1355" t="s">
        <v>1195</v>
      </c>
      <c r="C1355" t="s">
        <v>1195</v>
      </c>
    </row>
    <row r="1356" spans="2:3" x14ac:dyDescent="0.35">
      <c r="B1356" t="s">
        <v>1131</v>
      </c>
      <c r="C1356" t="s">
        <v>1132</v>
      </c>
    </row>
    <row r="1357" spans="2:3" x14ac:dyDescent="0.35">
      <c r="B1357" t="s">
        <v>1195</v>
      </c>
      <c r="C1357" t="s">
        <v>1195</v>
      </c>
    </row>
    <row r="1358" spans="2:3" x14ac:dyDescent="0.35">
      <c r="B1358" t="s">
        <v>1166</v>
      </c>
      <c r="C1358" t="s">
        <v>1167</v>
      </c>
    </row>
    <row r="1359" spans="2:3" x14ac:dyDescent="0.35">
      <c r="B1359" t="s">
        <v>1195</v>
      </c>
      <c r="C1359" t="s">
        <v>1195</v>
      </c>
    </row>
    <row r="1360" spans="2:3" x14ac:dyDescent="0.35">
      <c r="B1360" t="s">
        <v>1195</v>
      </c>
      <c r="C1360" t="s">
        <v>1195</v>
      </c>
    </row>
    <row r="1361" spans="2:3" x14ac:dyDescent="0.35">
      <c r="B1361" t="s">
        <v>1123</v>
      </c>
      <c r="C1361" t="s">
        <v>1124</v>
      </c>
    </row>
    <row r="1362" spans="2:3" x14ac:dyDescent="0.35">
      <c r="B1362" t="s">
        <v>1123</v>
      </c>
      <c r="C1362" t="s">
        <v>1124</v>
      </c>
    </row>
    <row r="1363" spans="2:3" x14ac:dyDescent="0.35">
      <c r="B1363" t="s">
        <v>1206</v>
      </c>
      <c r="C1363" t="s">
        <v>1207</v>
      </c>
    </row>
    <row r="1364" spans="2:3" x14ac:dyDescent="0.35">
      <c r="B1364" t="s">
        <v>1104</v>
      </c>
      <c r="C1364" t="s">
        <v>1105</v>
      </c>
    </row>
    <row r="1365" spans="2:3" x14ac:dyDescent="0.35">
      <c r="B1365" t="s">
        <v>1123</v>
      </c>
      <c r="C1365" t="s">
        <v>1124</v>
      </c>
    </row>
    <row r="1366" spans="2:3" x14ac:dyDescent="0.35">
      <c r="B1366" t="s">
        <v>1131</v>
      </c>
      <c r="C1366" t="s">
        <v>1132</v>
      </c>
    </row>
    <row r="1367" spans="2:3" x14ac:dyDescent="0.35">
      <c r="B1367" t="s">
        <v>1195</v>
      </c>
      <c r="C1367" t="s">
        <v>1195</v>
      </c>
    </row>
    <row r="1368" spans="2:3" x14ac:dyDescent="0.35">
      <c r="B1368" t="s">
        <v>1195</v>
      </c>
      <c r="C1368" t="s">
        <v>1195</v>
      </c>
    </row>
    <row r="1369" spans="2:3" x14ac:dyDescent="0.35">
      <c r="B1369" t="s">
        <v>1149</v>
      </c>
      <c r="C1369" t="s">
        <v>1150</v>
      </c>
    </row>
    <row r="1370" spans="2:3" x14ac:dyDescent="0.35">
      <c r="B1370" t="s">
        <v>1123</v>
      </c>
      <c r="C1370" t="s">
        <v>1124</v>
      </c>
    </row>
    <row r="1371" spans="2:3" x14ac:dyDescent="0.35">
      <c r="B1371" t="s">
        <v>1104</v>
      </c>
      <c r="C1371" t="s">
        <v>1105</v>
      </c>
    </row>
    <row r="1372" spans="2:3" x14ac:dyDescent="0.35">
      <c r="B1372" t="s">
        <v>1131</v>
      </c>
      <c r="C1372" t="s">
        <v>1132</v>
      </c>
    </row>
    <row r="1373" spans="2:3" x14ac:dyDescent="0.35">
      <c r="B1373" t="s">
        <v>1104</v>
      </c>
      <c r="C1373" t="s">
        <v>1105</v>
      </c>
    </row>
    <row r="1374" spans="2:3" x14ac:dyDescent="0.35">
      <c r="B1374" t="s">
        <v>1123</v>
      </c>
      <c r="C1374" t="s">
        <v>1124</v>
      </c>
    </row>
    <row r="1375" spans="2:3" x14ac:dyDescent="0.35">
      <c r="B1375" t="s">
        <v>1092</v>
      </c>
      <c r="C1375" t="s">
        <v>1093</v>
      </c>
    </row>
    <row r="1376" spans="2:3" x14ac:dyDescent="0.35">
      <c r="B1376" t="s">
        <v>955</v>
      </c>
      <c r="C1376" t="s">
        <v>956</v>
      </c>
    </row>
    <row r="1377" spans="2:3" x14ac:dyDescent="0.35">
      <c r="B1377" t="s">
        <v>1195</v>
      </c>
      <c r="C1377" t="s">
        <v>1195</v>
      </c>
    </row>
    <row r="1378" spans="2:3" x14ac:dyDescent="0.35">
      <c r="B1378" t="s">
        <v>955</v>
      </c>
      <c r="C1378" t="s">
        <v>956</v>
      </c>
    </row>
    <row r="1379" spans="2:3" x14ac:dyDescent="0.35">
      <c r="B1379" t="s">
        <v>1195</v>
      </c>
      <c r="C1379" t="s">
        <v>1195</v>
      </c>
    </row>
    <row r="1380" spans="2:3" x14ac:dyDescent="0.35">
      <c r="B1380" t="s">
        <v>1195</v>
      </c>
      <c r="C1380" t="s">
        <v>1195</v>
      </c>
    </row>
    <row r="1381" spans="2:3" x14ac:dyDescent="0.35">
      <c r="B1381" t="s">
        <v>1131</v>
      </c>
      <c r="C1381" t="s">
        <v>1132</v>
      </c>
    </row>
    <row r="1382" spans="2:3" x14ac:dyDescent="0.35">
      <c r="B1382" t="s">
        <v>1131</v>
      </c>
      <c r="C1382" t="s">
        <v>1132</v>
      </c>
    </row>
    <row r="1383" spans="2:3" x14ac:dyDescent="0.35">
      <c r="B1383" t="s">
        <v>955</v>
      </c>
      <c r="C1383" t="s">
        <v>956</v>
      </c>
    </row>
    <row r="1384" spans="2:3" x14ac:dyDescent="0.35">
      <c r="B1384" t="s">
        <v>955</v>
      </c>
      <c r="C1384" t="s">
        <v>956</v>
      </c>
    </row>
    <row r="1385" spans="2:3" x14ac:dyDescent="0.35">
      <c r="B1385" t="s">
        <v>1104</v>
      </c>
      <c r="C1385" t="s">
        <v>1105</v>
      </c>
    </row>
    <row r="1386" spans="2:3" x14ac:dyDescent="0.35">
      <c r="B1386" t="s">
        <v>1092</v>
      </c>
      <c r="C1386" t="s">
        <v>1093</v>
      </c>
    </row>
    <row r="1387" spans="2:3" x14ac:dyDescent="0.35">
      <c r="B1387" t="s">
        <v>1195</v>
      </c>
      <c r="C1387" t="s">
        <v>1195</v>
      </c>
    </row>
    <row r="1388" spans="2:3" x14ac:dyDescent="0.35">
      <c r="B1388" t="s">
        <v>1195</v>
      </c>
      <c r="C1388" t="s">
        <v>1195</v>
      </c>
    </row>
    <row r="1389" spans="2:3" x14ac:dyDescent="0.35">
      <c r="B1389" t="s">
        <v>1131</v>
      </c>
      <c r="C1389" t="s">
        <v>1132</v>
      </c>
    </row>
    <row r="1390" spans="2:3" x14ac:dyDescent="0.35">
      <c r="B1390" t="s">
        <v>1195</v>
      </c>
      <c r="C1390" t="s">
        <v>1195</v>
      </c>
    </row>
    <row r="1391" spans="2:3" x14ac:dyDescent="0.35">
      <c r="B1391" t="s">
        <v>1195</v>
      </c>
      <c r="C1391" t="s">
        <v>1195</v>
      </c>
    </row>
    <row r="1392" spans="2:3" x14ac:dyDescent="0.35">
      <c r="B1392" t="s">
        <v>1195</v>
      </c>
      <c r="C1392" t="s">
        <v>1195</v>
      </c>
    </row>
    <row r="1393" spans="2:3" x14ac:dyDescent="0.35">
      <c r="B1393" t="s">
        <v>1104</v>
      </c>
      <c r="C1393" t="s">
        <v>1105</v>
      </c>
    </row>
    <row r="1394" spans="2:3" x14ac:dyDescent="0.35">
      <c r="B1394" t="s">
        <v>1092</v>
      </c>
      <c r="C1394" t="s">
        <v>1093</v>
      </c>
    </row>
    <row r="1395" spans="2:3" x14ac:dyDescent="0.35">
      <c r="B1395" t="s">
        <v>1123</v>
      </c>
      <c r="C1395" t="s">
        <v>1124</v>
      </c>
    </row>
    <row r="1396" spans="2:3" x14ac:dyDescent="0.35">
      <c r="B1396" t="s">
        <v>1131</v>
      </c>
      <c r="C1396" t="s">
        <v>1132</v>
      </c>
    </row>
    <row r="1397" spans="2:3" x14ac:dyDescent="0.35">
      <c r="B1397" t="s">
        <v>1131</v>
      </c>
      <c r="C1397" t="s">
        <v>1132</v>
      </c>
    </row>
    <row r="1398" spans="2:3" x14ac:dyDescent="0.35">
      <c r="B1398" t="s">
        <v>1195</v>
      </c>
      <c r="C1398" t="s">
        <v>1195</v>
      </c>
    </row>
    <row r="1399" spans="2:3" x14ac:dyDescent="0.35">
      <c r="B1399" t="s">
        <v>1195</v>
      </c>
      <c r="C1399" t="s">
        <v>1195</v>
      </c>
    </row>
    <row r="1400" spans="2:3" x14ac:dyDescent="0.35">
      <c r="B1400" t="s">
        <v>1195</v>
      </c>
      <c r="C1400" t="s">
        <v>1195</v>
      </c>
    </row>
    <row r="1401" spans="2:3" x14ac:dyDescent="0.35">
      <c r="B1401" t="s">
        <v>1104</v>
      </c>
      <c r="C1401" t="s">
        <v>1105</v>
      </c>
    </row>
    <row r="1402" spans="2:3" x14ac:dyDescent="0.35">
      <c r="B1402" t="s">
        <v>1131</v>
      </c>
      <c r="C1402" t="s">
        <v>1132</v>
      </c>
    </row>
    <row r="1403" spans="2:3" x14ac:dyDescent="0.35">
      <c r="B1403" t="s">
        <v>955</v>
      </c>
      <c r="C1403" t="s">
        <v>956</v>
      </c>
    </row>
    <row r="1404" spans="2:3" x14ac:dyDescent="0.35">
      <c r="B1404" t="s">
        <v>1131</v>
      </c>
      <c r="C1404" t="s">
        <v>1132</v>
      </c>
    </row>
    <row r="1405" spans="2:3" x14ac:dyDescent="0.35">
      <c r="B1405" t="s">
        <v>1195</v>
      </c>
      <c r="C1405" t="s">
        <v>1195</v>
      </c>
    </row>
    <row r="1406" spans="2:3" x14ac:dyDescent="0.35">
      <c r="B1406" t="s">
        <v>1123</v>
      </c>
      <c r="C1406" t="s">
        <v>1124</v>
      </c>
    </row>
    <row r="1407" spans="2:3" x14ac:dyDescent="0.35">
      <c r="B1407" t="s">
        <v>1131</v>
      </c>
      <c r="C1407" t="s">
        <v>1132</v>
      </c>
    </row>
    <row r="1408" spans="2:3" x14ac:dyDescent="0.35">
      <c r="B1408" t="s">
        <v>1131</v>
      </c>
      <c r="C1408" t="s">
        <v>1132</v>
      </c>
    </row>
    <row r="1409" spans="2:3" x14ac:dyDescent="0.35">
      <c r="B1409" t="s">
        <v>1149</v>
      </c>
      <c r="C1409" t="s">
        <v>1150</v>
      </c>
    </row>
    <row r="1410" spans="2:3" x14ac:dyDescent="0.35">
      <c r="B1410" t="s">
        <v>1092</v>
      </c>
      <c r="C1410" t="s">
        <v>1093</v>
      </c>
    </row>
    <row r="1411" spans="2:3" x14ac:dyDescent="0.35">
      <c r="B1411" t="s">
        <v>1131</v>
      </c>
      <c r="C1411" t="s">
        <v>1132</v>
      </c>
    </row>
    <row r="1412" spans="2:3" x14ac:dyDescent="0.35">
      <c r="B1412" t="s">
        <v>1131</v>
      </c>
      <c r="C1412" t="s">
        <v>1132</v>
      </c>
    </row>
    <row r="1413" spans="2:3" x14ac:dyDescent="0.35">
      <c r="B1413" t="s">
        <v>1123</v>
      </c>
      <c r="C1413" t="s">
        <v>1124</v>
      </c>
    </row>
    <row r="1414" spans="2:3" x14ac:dyDescent="0.35">
      <c r="B1414" t="s">
        <v>1092</v>
      </c>
      <c r="C1414" t="s">
        <v>1093</v>
      </c>
    </row>
    <row r="1415" spans="2:3" x14ac:dyDescent="0.35">
      <c r="B1415" t="s">
        <v>1195</v>
      </c>
      <c r="C1415" t="s">
        <v>1195</v>
      </c>
    </row>
    <row r="1416" spans="2:3" x14ac:dyDescent="0.35">
      <c r="B1416" t="s">
        <v>1206</v>
      </c>
      <c r="C1416" t="s">
        <v>1207</v>
      </c>
    </row>
    <row r="1417" spans="2:3" x14ac:dyDescent="0.35">
      <c r="B1417" t="s">
        <v>1195</v>
      </c>
      <c r="C1417" t="s">
        <v>1195</v>
      </c>
    </row>
    <row r="1418" spans="2:3" x14ac:dyDescent="0.35">
      <c r="B1418" t="s">
        <v>787</v>
      </c>
      <c r="C1418" t="s">
        <v>788</v>
      </c>
    </row>
    <row r="1419" spans="2:3" x14ac:dyDescent="0.35">
      <c r="B1419" t="s">
        <v>1104</v>
      </c>
      <c r="C1419" t="s">
        <v>1105</v>
      </c>
    </row>
    <row r="1420" spans="2:3" x14ac:dyDescent="0.35">
      <c r="B1420" t="s">
        <v>1104</v>
      </c>
      <c r="C1420" t="s">
        <v>1105</v>
      </c>
    </row>
    <row r="1421" spans="2:3" x14ac:dyDescent="0.35">
      <c r="B1421" t="s">
        <v>1092</v>
      </c>
      <c r="C1421" t="s">
        <v>1093</v>
      </c>
    </row>
    <row r="1422" spans="2:3" x14ac:dyDescent="0.35">
      <c r="B1422" t="s">
        <v>1079</v>
      </c>
      <c r="C1422" t="s">
        <v>1080</v>
      </c>
    </row>
    <row r="1423" spans="2:3" x14ac:dyDescent="0.35">
      <c r="B1423" t="s">
        <v>1131</v>
      </c>
      <c r="C1423" t="s">
        <v>1132</v>
      </c>
    </row>
    <row r="1424" spans="2:3" x14ac:dyDescent="0.35">
      <c r="B1424" t="s">
        <v>1104</v>
      </c>
      <c r="C1424" t="s">
        <v>1105</v>
      </c>
    </row>
    <row r="1425" spans="2:3" x14ac:dyDescent="0.35">
      <c r="B1425" t="s">
        <v>1195</v>
      </c>
      <c r="C1425" t="s">
        <v>1195</v>
      </c>
    </row>
    <row r="1426" spans="2:3" x14ac:dyDescent="0.35">
      <c r="B1426" t="s">
        <v>955</v>
      </c>
      <c r="C1426" t="s">
        <v>956</v>
      </c>
    </row>
    <row r="1427" spans="2:3" x14ac:dyDescent="0.35">
      <c r="B1427" t="s">
        <v>955</v>
      </c>
      <c r="C1427" t="s">
        <v>956</v>
      </c>
    </row>
    <row r="1428" spans="2:3" x14ac:dyDescent="0.35">
      <c r="B1428" t="s">
        <v>1092</v>
      </c>
      <c r="C1428" t="s">
        <v>1093</v>
      </c>
    </row>
    <row r="1429" spans="2:3" x14ac:dyDescent="0.35">
      <c r="B1429" t="s">
        <v>955</v>
      </c>
      <c r="C1429" t="s">
        <v>956</v>
      </c>
    </row>
    <row r="1430" spans="2:3" x14ac:dyDescent="0.35">
      <c r="B1430" t="s">
        <v>1131</v>
      </c>
      <c r="C1430" t="s">
        <v>1132</v>
      </c>
    </row>
    <row r="1431" spans="2:3" x14ac:dyDescent="0.35">
      <c r="B1431" t="s">
        <v>1141</v>
      </c>
      <c r="C1431" t="s">
        <v>1142</v>
      </c>
    </row>
    <row r="1432" spans="2:3" x14ac:dyDescent="0.35">
      <c r="B1432" t="s">
        <v>1195</v>
      </c>
      <c r="C1432" t="s">
        <v>1195</v>
      </c>
    </row>
    <row r="1433" spans="2:3" x14ac:dyDescent="0.35">
      <c r="B1433" t="s">
        <v>955</v>
      </c>
      <c r="C1433" t="s">
        <v>956</v>
      </c>
    </row>
    <row r="1434" spans="2:3" x14ac:dyDescent="0.35">
      <c r="B1434" t="s">
        <v>1195</v>
      </c>
      <c r="C1434" t="s">
        <v>1195</v>
      </c>
    </row>
    <row r="1435" spans="2:3" x14ac:dyDescent="0.35">
      <c r="B1435" t="s">
        <v>1166</v>
      </c>
      <c r="C1435" t="s">
        <v>1167</v>
      </c>
    </row>
    <row r="1436" spans="2:3" x14ac:dyDescent="0.35">
      <c r="B1436" t="s">
        <v>1206</v>
      </c>
      <c r="C1436" t="s">
        <v>1207</v>
      </c>
    </row>
    <row r="1437" spans="2:3" x14ac:dyDescent="0.35">
      <c r="B1437" t="s">
        <v>1131</v>
      </c>
      <c r="C1437" t="s">
        <v>1132</v>
      </c>
    </row>
    <row r="1438" spans="2:3" x14ac:dyDescent="0.35">
      <c r="B1438" t="s">
        <v>955</v>
      </c>
      <c r="C1438" t="s">
        <v>956</v>
      </c>
    </row>
    <row r="1439" spans="2:3" x14ac:dyDescent="0.35">
      <c r="B1439" t="s">
        <v>1104</v>
      </c>
      <c r="C1439" t="s">
        <v>1105</v>
      </c>
    </row>
    <row r="1440" spans="2:3" x14ac:dyDescent="0.35">
      <c r="B1440" t="s">
        <v>1092</v>
      </c>
      <c r="C1440" t="s">
        <v>1093</v>
      </c>
    </row>
    <row r="1441" spans="2:3" x14ac:dyDescent="0.35">
      <c r="B1441" t="s">
        <v>1195</v>
      </c>
      <c r="C1441" t="s">
        <v>1195</v>
      </c>
    </row>
    <row r="1442" spans="2:3" x14ac:dyDescent="0.35">
      <c r="B1442" t="s">
        <v>1195</v>
      </c>
      <c r="C1442" t="s">
        <v>1195</v>
      </c>
    </row>
    <row r="1443" spans="2:3" x14ac:dyDescent="0.35">
      <c r="B1443" t="s">
        <v>1123</v>
      </c>
      <c r="C1443" t="s">
        <v>1124</v>
      </c>
    </row>
    <row r="1444" spans="2:3" x14ac:dyDescent="0.35">
      <c r="B1444" t="s">
        <v>1195</v>
      </c>
      <c r="C1444" t="s">
        <v>1195</v>
      </c>
    </row>
    <row r="1445" spans="2:3" x14ac:dyDescent="0.35">
      <c r="B1445" t="s">
        <v>1195</v>
      </c>
      <c r="C1445" t="s">
        <v>1195</v>
      </c>
    </row>
    <row r="1446" spans="2:3" x14ac:dyDescent="0.35">
      <c r="B1446" t="s">
        <v>1195</v>
      </c>
      <c r="C1446" t="s">
        <v>1195</v>
      </c>
    </row>
    <row r="1447" spans="2:3" x14ac:dyDescent="0.35">
      <c r="B1447" t="s">
        <v>955</v>
      </c>
      <c r="C1447" t="s">
        <v>956</v>
      </c>
    </row>
    <row r="1448" spans="2:3" x14ac:dyDescent="0.35">
      <c r="B1448" t="s">
        <v>1131</v>
      </c>
      <c r="C1448" t="s">
        <v>1132</v>
      </c>
    </row>
    <row r="1449" spans="2:3" x14ac:dyDescent="0.35">
      <c r="B1449" t="s">
        <v>1206</v>
      </c>
      <c r="C1449" t="s">
        <v>1207</v>
      </c>
    </row>
    <row r="1450" spans="2:3" x14ac:dyDescent="0.35">
      <c r="B1450" t="s">
        <v>1131</v>
      </c>
      <c r="C1450" t="s">
        <v>1132</v>
      </c>
    </row>
    <row r="1451" spans="2:3" x14ac:dyDescent="0.35">
      <c r="B1451" t="s">
        <v>1092</v>
      </c>
      <c r="C1451" t="s">
        <v>1093</v>
      </c>
    </row>
    <row r="1452" spans="2:3" x14ac:dyDescent="0.35">
      <c r="B1452" t="s">
        <v>1092</v>
      </c>
      <c r="C1452" t="s">
        <v>1093</v>
      </c>
    </row>
    <row r="1453" spans="2:3" x14ac:dyDescent="0.35">
      <c r="B1453" t="s">
        <v>1123</v>
      </c>
      <c r="C1453" t="s">
        <v>1124</v>
      </c>
    </row>
    <row r="1454" spans="2:3" x14ac:dyDescent="0.35">
      <c r="B1454" t="s">
        <v>1123</v>
      </c>
      <c r="C1454" t="s">
        <v>1124</v>
      </c>
    </row>
    <row r="1455" spans="2:3" x14ac:dyDescent="0.35">
      <c r="B1455" t="s">
        <v>1092</v>
      </c>
      <c r="C1455" t="s">
        <v>1093</v>
      </c>
    </row>
    <row r="1456" spans="2:3" x14ac:dyDescent="0.35">
      <c r="B1456" t="s">
        <v>955</v>
      </c>
      <c r="C1456" t="s">
        <v>956</v>
      </c>
    </row>
    <row r="1457" spans="2:3" x14ac:dyDescent="0.35">
      <c r="B1457" t="s">
        <v>1123</v>
      </c>
      <c r="C1457" t="s">
        <v>1124</v>
      </c>
    </row>
    <row r="1458" spans="2:3" x14ac:dyDescent="0.35">
      <c r="B1458" t="s">
        <v>1195</v>
      </c>
      <c r="C1458" t="s">
        <v>1195</v>
      </c>
    </row>
    <row r="1459" spans="2:3" x14ac:dyDescent="0.35">
      <c r="B1459" t="s">
        <v>1115</v>
      </c>
      <c r="C1459" t="s">
        <v>1116</v>
      </c>
    </row>
    <row r="1460" spans="2:3" x14ac:dyDescent="0.35">
      <c r="B1460" t="s">
        <v>1092</v>
      </c>
      <c r="C1460" t="s">
        <v>1093</v>
      </c>
    </row>
    <row r="1461" spans="2:3" x14ac:dyDescent="0.35">
      <c r="B1461" t="s">
        <v>955</v>
      </c>
      <c r="C1461" t="s">
        <v>956</v>
      </c>
    </row>
    <row r="1462" spans="2:3" x14ac:dyDescent="0.35">
      <c r="B1462" t="s">
        <v>1104</v>
      </c>
      <c r="C1462" t="s">
        <v>1105</v>
      </c>
    </row>
    <row r="1463" spans="2:3" x14ac:dyDescent="0.35">
      <c r="B1463" t="s">
        <v>1123</v>
      </c>
      <c r="C1463" t="s">
        <v>1124</v>
      </c>
    </row>
    <row r="1464" spans="2:3" x14ac:dyDescent="0.35">
      <c r="B1464" t="s">
        <v>804</v>
      </c>
      <c r="C1464" t="s">
        <v>805</v>
      </c>
    </row>
    <row r="1465" spans="2:3" x14ac:dyDescent="0.35">
      <c r="B1465" t="s">
        <v>1104</v>
      </c>
      <c r="C1465" t="s">
        <v>1105</v>
      </c>
    </row>
    <row r="1466" spans="2:3" x14ac:dyDescent="0.35">
      <c r="B1466" t="s">
        <v>955</v>
      </c>
      <c r="C1466" t="s">
        <v>956</v>
      </c>
    </row>
    <row r="1467" spans="2:3" x14ac:dyDescent="0.35">
      <c r="B1467" t="s">
        <v>1195</v>
      </c>
      <c r="C1467" t="s">
        <v>1195</v>
      </c>
    </row>
    <row r="1468" spans="2:3" x14ac:dyDescent="0.35">
      <c r="B1468" t="s">
        <v>1104</v>
      </c>
      <c r="C1468" t="s">
        <v>1105</v>
      </c>
    </row>
    <row r="1469" spans="2:3" x14ac:dyDescent="0.35">
      <c r="B1469" t="s">
        <v>955</v>
      </c>
      <c r="C1469" t="s">
        <v>956</v>
      </c>
    </row>
    <row r="1470" spans="2:3" x14ac:dyDescent="0.35">
      <c r="B1470" t="s">
        <v>1104</v>
      </c>
      <c r="C1470" t="s">
        <v>1105</v>
      </c>
    </row>
    <row r="1471" spans="2:3" x14ac:dyDescent="0.35">
      <c r="B1471" t="s">
        <v>1131</v>
      </c>
      <c r="C1471" t="s">
        <v>1132</v>
      </c>
    </row>
    <row r="1472" spans="2:3" x14ac:dyDescent="0.35">
      <c r="B1472" t="s">
        <v>1079</v>
      </c>
      <c r="C1472" t="s">
        <v>1080</v>
      </c>
    </row>
    <row r="1473" spans="2:3" x14ac:dyDescent="0.35">
      <c r="B1473" t="s">
        <v>1092</v>
      </c>
      <c r="C1473" t="s">
        <v>1093</v>
      </c>
    </row>
    <row r="1474" spans="2:3" x14ac:dyDescent="0.35">
      <c r="B1474" t="s">
        <v>1195</v>
      </c>
      <c r="C1474" t="s">
        <v>1195</v>
      </c>
    </row>
    <row r="1475" spans="2:3" x14ac:dyDescent="0.35">
      <c r="B1475" t="s">
        <v>1131</v>
      </c>
      <c r="C1475" t="s">
        <v>1132</v>
      </c>
    </row>
    <row r="1476" spans="2:3" x14ac:dyDescent="0.35">
      <c r="B1476" t="s">
        <v>1092</v>
      </c>
      <c r="C1476" t="s">
        <v>1093</v>
      </c>
    </row>
    <row r="1477" spans="2:3" x14ac:dyDescent="0.35">
      <c r="B1477" t="s">
        <v>1092</v>
      </c>
      <c r="C1477" t="s">
        <v>1093</v>
      </c>
    </row>
    <row r="1478" spans="2:3" x14ac:dyDescent="0.35">
      <c r="B1478" t="s">
        <v>1092</v>
      </c>
      <c r="C1478" t="s">
        <v>1093</v>
      </c>
    </row>
    <row r="1479" spans="2:3" x14ac:dyDescent="0.35">
      <c r="B1479" t="s">
        <v>1104</v>
      </c>
      <c r="C1479" t="s">
        <v>1105</v>
      </c>
    </row>
    <row r="1480" spans="2:3" x14ac:dyDescent="0.35">
      <c r="B1480" t="s">
        <v>1195</v>
      </c>
      <c r="C1480" t="s">
        <v>1195</v>
      </c>
    </row>
    <row r="1481" spans="2:3" x14ac:dyDescent="0.35">
      <c r="B1481" t="s">
        <v>955</v>
      </c>
      <c r="C1481" t="s">
        <v>956</v>
      </c>
    </row>
    <row r="1482" spans="2:3" x14ac:dyDescent="0.35">
      <c r="B1482" t="s">
        <v>1092</v>
      </c>
      <c r="C1482" t="s">
        <v>1093</v>
      </c>
    </row>
    <row r="1483" spans="2:3" x14ac:dyDescent="0.35">
      <c r="B1483" t="s">
        <v>1123</v>
      </c>
      <c r="C1483" t="s">
        <v>1124</v>
      </c>
    </row>
    <row r="1484" spans="2:3" x14ac:dyDescent="0.35">
      <c r="B1484" t="s">
        <v>955</v>
      </c>
      <c r="C1484" t="s">
        <v>956</v>
      </c>
    </row>
    <row r="1485" spans="2:3" x14ac:dyDescent="0.35">
      <c r="B1485" t="s">
        <v>1141</v>
      </c>
      <c r="C1485" t="s">
        <v>1142</v>
      </c>
    </row>
    <row r="1486" spans="2:3" x14ac:dyDescent="0.35">
      <c r="B1486" t="s">
        <v>1092</v>
      </c>
      <c r="C1486" t="s">
        <v>1093</v>
      </c>
    </row>
    <row r="1487" spans="2:3" x14ac:dyDescent="0.35">
      <c r="B1487" t="s">
        <v>1195</v>
      </c>
      <c r="C1487" t="s">
        <v>1195</v>
      </c>
    </row>
    <row r="1488" spans="2:3" x14ac:dyDescent="0.35">
      <c r="B1488" t="s">
        <v>1195</v>
      </c>
      <c r="C1488" t="s">
        <v>1195</v>
      </c>
    </row>
    <row r="1489" spans="2:3" x14ac:dyDescent="0.35">
      <c r="B1489" t="s">
        <v>955</v>
      </c>
      <c r="C1489" t="s">
        <v>956</v>
      </c>
    </row>
    <row r="1490" spans="2:3" x14ac:dyDescent="0.35">
      <c r="B1490" t="s">
        <v>1123</v>
      </c>
      <c r="C1490" t="s">
        <v>1124</v>
      </c>
    </row>
    <row r="1491" spans="2:3" x14ac:dyDescent="0.35">
      <c r="B1491" t="s">
        <v>1104</v>
      </c>
      <c r="C1491" t="s">
        <v>1105</v>
      </c>
    </row>
    <row r="1492" spans="2:3" x14ac:dyDescent="0.35">
      <c r="B1492" t="s">
        <v>1123</v>
      </c>
      <c r="C1492" t="s">
        <v>1124</v>
      </c>
    </row>
    <row r="1493" spans="2:3" x14ac:dyDescent="0.35">
      <c r="B1493" t="s">
        <v>1168</v>
      </c>
      <c r="C1493" t="s">
        <v>1169</v>
      </c>
    </row>
    <row r="1494" spans="2:3" x14ac:dyDescent="0.35">
      <c r="B1494" t="s">
        <v>1168</v>
      </c>
      <c r="C1494" t="s">
        <v>1169</v>
      </c>
    </row>
    <row r="1495" spans="2:3" x14ac:dyDescent="0.35">
      <c r="B1495" t="s">
        <v>1106</v>
      </c>
      <c r="C1495" t="s">
        <v>1107</v>
      </c>
    </row>
    <row r="1496" spans="2:3" x14ac:dyDescent="0.35">
      <c r="B1496" t="s">
        <v>1168</v>
      </c>
      <c r="C1496" t="s">
        <v>1169</v>
      </c>
    </row>
    <row r="1497" spans="2:3" x14ac:dyDescent="0.35">
      <c r="B1497" t="s">
        <v>1162</v>
      </c>
      <c r="C1497" t="s">
        <v>1163</v>
      </c>
    </row>
    <row r="1498" spans="2:3" x14ac:dyDescent="0.35">
      <c r="B1498" t="s">
        <v>1143</v>
      </c>
      <c r="C1498" t="s">
        <v>1144</v>
      </c>
    </row>
    <row r="1499" spans="2:3" x14ac:dyDescent="0.35">
      <c r="B1499" t="s">
        <v>1195</v>
      </c>
      <c r="C1499" t="s">
        <v>1195</v>
      </c>
    </row>
    <row r="1500" spans="2:3" x14ac:dyDescent="0.35">
      <c r="B1500" t="s">
        <v>1162</v>
      </c>
      <c r="C1500" t="s">
        <v>1163</v>
      </c>
    </row>
    <row r="1501" spans="2:3" x14ac:dyDescent="0.35">
      <c r="B1501" t="s">
        <v>1162</v>
      </c>
      <c r="C1501" t="s">
        <v>1163</v>
      </c>
    </row>
    <row r="1502" spans="2:3" x14ac:dyDescent="0.35">
      <c r="B1502" t="s">
        <v>1168</v>
      </c>
      <c r="C1502" t="s">
        <v>1169</v>
      </c>
    </row>
    <row r="1503" spans="2:3" x14ac:dyDescent="0.35">
      <c r="B1503" t="s">
        <v>1168</v>
      </c>
      <c r="C1503" t="s">
        <v>1169</v>
      </c>
    </row>
    <row r="1504" spans="2:3" x14ac:dyDescent="0.35">
      <c r="B1504" t="s">
        <v>1176</v>
      </c>
      <c r="C1504" t="s">
        <v>1177</v>
      </c>
    </row>
    <row r="1505" spans="2:3" x14ac:dyDescent="0.35">
      <c r="B1505" t="s">
        <v>1162</v>
      </c>
      <c r="C1505" t="s">
        <v>1163</v>
      </c>
    </row>
    <row r="1506" spans="2:3" x14ac:dyDescent="0.35">
      <c r="B1506" t="s">
        <v>1151</v>
      </c>
      <c r="C1506" t="s">
        <v>1152</v>
      </c>
    </row>
    <row r="1507" spans="2:3" x14ac:dyDescent="0.35">
      <c r="B1507" t="s">
        <v>1176</v>
      </c>
      <c r="C1507" t="s">
        <v>1177</v>
      </c>
    </row>
    <row r="1508" spans="2:3" x14ac:dyDescent="0.35">
      <c r="B1508" t="s">
        <v>1094</v>
      </c>
      <c r="C1508" t="s">
        <v>1095</v>
      </c>
    </row>
    <row r="1509" spans="2:3" x14ac:dyDescent="0.35">
      <c r="B1509" t="s">
        <v>1168</v>
      </c>
      <c r="C1509" t="s">
        <v>1169</v>
      </c>
    </row>
    <row r="1510" spans="2:3" x14ac:dyDescent="0.35">
      <c r="B1510" t="s">
        <v>1123</v>
      </c>
      <c r="C1510" t="s">
        <v>1124</v>
      </c>
    </row>
    <row r="1511" spans="2:3" x14ac:dyDescent="0.35">
      <c r="B1511" t="s">
        <v>1168</v>
      </c>
      <c r="C1511" t="s">
        <v>1169</v>
      </c>
    </row>
    <row r="1512" spans="2:3" x14ac:dyDescent="0.35">
      <c r="B1512" t="s">
        <v>1168</v>
      </c>
      <c r="C1512" t="s">
        <v>1169</v>
      </c>
    </row>
    <row r="1513" spans="2:3" x14ac:dyDescent="0.35">
      <c r="B1513" t="s">
        <v>1133</v>
      </c>
      <c r="C1513" t="s">
        <v>1134</v>
      </c>
    </row>
    <row r="1514" spans="2:3" x14ac:dyDescent="0.35">
      <c r="B1514" t="s">
        <v>1176</v>
      </c>
      <c r="C1514" t="s">
        <v>1177</v>
      </c>
    </row>
    <row r="1515" spans="2:3" x14ac:dyDescent="0.35">
      <c r="B1515" t="s">
        <v>1168</v>
      </c>
      <c r="C1515" t="s">
        <v>1169</v>
      </c>
    </row>
    <row r="1516" spans="2:3" x14ac:dyDescent="0.35">
      <c r="B1516" t="s">
        <v>1168</v>
      </c>
      <c r="C1516" t="s">
        <v>1169</v>
      </c>
    </row>
    <row r="1517" spans="2:3" x14ac:dyDescent="0.35">
      <c r="B1517" t="s">
        <v>1168</v>
      </c>
      <c r="C1517" t="s">
        <v>1169</v>
      </c>
    </row>
    <row r="1518" spans="2:3" x14ac:dyDescent="0.35">
      <c r="B1518" t="s">
        <v>1168</v>
      </c>
      <c r="C1518" t="s">
        <v>1169</v>
      </c>
    </row>
    <row r="1519" spans="2:3" x14ac:dyDescent="0.35">
      <c r="B1519" t="s">
        <v>1176</v>
      </c>
      <c r="C1519" t="s">
        <v>1177</v>
      </c>
    </row>
    <row r="1520" spans="2:3" x14ac:dyDescent="0.35">
      <c r="B1520" t="s">
        <v>1176</v>
      </c>
      <c r="C1520" t="s">
        <v>1177</v>
      </c>
    </row>
    <row r="1521" spans="2:3" x14ac:dyDescent="0.35">
      <c r="B1521" t="s">
        <v>1168</v>
      </c>
      <c r="C1521" t="s">
        <v>1169</v>
      </c>
    </row>
    <row r="1522" spans="2:3" x14ac:dyDescent="0.35">
      <c r="B1522" t="s">
        <v>1168</v>
      </c>
      <c r="C1522" t="s">
        <v>1169</v>
      </c>
    </row>
    <row r="1523" spans="2:3" x14ac:dyDescent="0.35">
      <c r="B1523" t="s">
        <v>787</v>
      </c>
      <c r="C1523" t="s">
        <v>788</v>
      </c>
    </row>
    <row r="1524" spans="2:3" x14ac:dyDescent="0.35">
      <c r="B1524" t="s">
        <v>787</v>
      </c>
      <c r="C1524" t="s">
        <v>788</v>
      </c>
    </row>
    <row r="1525" spans="2:3" x14ac:dyDescent="0.35">
      <c r="B1525" t="s">
        <v>787</v>
      </c>
      <c r="C1525" t="s">
        <v>788</v>
      </c>
    </row>
    <row r="1526" spans="2:3" x14ac:dyDescent="0.35">
      <c r="B1526" t="s">
        <v>787</v>
      </c>
      <c r="C1526" t="s">
        <v>788</v>
      </c>
    </row>
    <row r="1527" spans="2:3" x14ac:dyDescent="0.35">
      <c r="B1527" t="s">
        <v>787</v>
      </c>
      <c r="C1527" t="s">
        <v>788</v>
      </c>
    </row>
    <row r="1528" spans="2:3" x14ac:dyDescent="0.35">
      <c r="B1528" t="s">
        <v>787</v>
      </c>
      <c r="C1528" t="s">
        <v>788</v>
      </c>
    </row>
    <row r="1529" spans="2:3" x14ac:dyDescent="0.35">
      <c r="B1529" t="s">
        <v>1168</v>
      </c>
      <c r="C1529" t="s">
        <v>1169</v>
      </c>
    </row>
    <row r="1530" spans="2:3" x14ac:dyDescent="0.35">
      <c r="B1530" t="s">
        <v>1168</v>
      </c>
      <c r="C1530" t="s">
        <v>1169</v>
      </c>
    </row>
    <row r="1531" spans="2:3" x14ac:dyDescent="0.35">
      <c r="B1531" t="s">
        <v>1168</v>
      </c>
      <c r="C1531" t="s">
        <v>1169</v>
      </c>
    </row>
    <row r="1532" spans="2:3" x14ac:dyDescent="0.35">
      <c r="B1532" t="s">
        <v>787</v>
      </c>
      <c r="C1532" t="s">
        <v>788</v>
      </c>
    </row>
    <row r="1533" spans="2:3" x14ac:dyDescent="0.35">
      <c r="B1533" t="s">
        <v>1168</v>
      </c>
      <c r="C1533" t="s">
        <v>1169</v>
      </c>
    </row>
    <row r="1534" spans="2:3" x14ac:dyDescent="0.35">
      <c r="B1534" t="s">
        <v>1168</v>
      </c>
      <c r="C1534" t="s">
        <v>1169</v>
      </c>
    </row>
    <row r="1535" spans="2:3" x14ac:dyDescent="0.35">
      <c r="B1535" t="s">
        <v>1168</v>
      </c>
      <c r="C1535" t="s">
        <v>1169</v>
      </c>
    </row>
    <row r="1536" spans="2:3" x14ac:dyDescent="0.35">
      <c r="B1536" t="s">
        <v>1168</v>
      </c>
      <c r="C1536" t="s">
        <v>1169</v>
      </c>
    </row>
    <row r="1537" spans="2:3" x14ac:dyDescent="0.35">
      <c r="B1537" t="s">
        <v>1168</v>
      </c>
      <c r="C1537" t="s">
        <v>1169</v>
      </c>
    </row>
    <row r="1538" spans="2:3" x14ac:dyDescent="0.35">
      <c r="B1538" t="s">
        <v>1168</v>
      </c>
      <c r="C1538" t="s">
        <v>1169</v>
      </c>
    </row>
    <row r="1539" spans="2:3" x14ac:dyDescent="0.35">
      <c r="B1539" t="s">
        <v>1168</v>
      </c>
      <c r="C1539" t="s">
        <v>1169</v>
      </c>
    </row>
    <row r="1540" spans="2:3" x14ac:dyDescent="0.35">
      <c r="B1540" t="s">
        <v>1096</v>
      </c>
      <c r="C1540" t="s">
        <v>1097</v>
      </c>
    </row>
    <row r="1541" spans="2:3" x14ac:dyDescent="0.35">
      <c r="B1541" t="s">
        <v>1170</v>
      </c>
      <c r="C1541" t="s">
        <v>1171</v>
      </c>
    </row>
    <row r="1542" spans="2:3" x14ac:dyDescent="0.35">
      <c r="B1542" t="s">
        <v>1170</v>
      </c>
      <c r="C1542" t="s">
        <v>1171</v>
      </c>
    </row>
    <row r="1543" spans="2:3" x14ac:dyDescent="0.35">
      <c r="B1543" t="s">
        <v>1170</v>
      </c>
      <c r="C1543" t="s">
        <v>1171</v>
      </c>
    </row>
    <row r="1544" spans="2:3" x14ac:dyDescent="0.35">
      <c r="B1544" t="s">
        <v>1170</v>
      </c>
      <c r="C1544" t="s">
        <v>1171</v>
      </c>
    </row>
    <row r="1545" spans="2:3" x14ac:dyDescent="0.35">
      <c r="B1545" t="s">
        <v>1170</v>
      </c>
      <c r="C1545" t="s">
        <v>1171</v>
      </c>
    </row>
    <row r="1546" spans="2:3" x14ac:dyDescent="0.35">
      <c r="B1546" t="s">
        <v>1170</v>
      </c>
      <c r="C1546" t="s">
        <v>1171</v>
      </c>
    </row>
    <row r="1547" spans="2:3" x14ac:dyDescent="0.35">
      <c r="B1547" t="s">
        <v>1170</v>
      </c>
      <c r="C1547" t="s">
        <v>1171</v>
      </c>
    </row>
    <row r="1548" spans="2:3" x14ac:dyDescent="0.35">
      <c r="B1548" t="s">
        <v>1170</v>
      </c>
      <c r="C1548" t="s">
        <v>1171</v>
      </c>
    </row>
    <row r="1549" spans="2:3" x14ac:dyDescent="0.35">
      <c r="B1549" t="s">
        <v>1170</v>
      </c>
      <c r="C1549" t="s">
        <v>1171</v>
      </c>
    </row>
    <row r="1550" spans="2:3" x14ac:dyDescent="0.35">
      <c r="B1550" t="s">
        <v>1170</v>
      </c>
      <c r="C1550" t="s">
        <v>1171</v>
      </c>
    </row>
    <row r="1551" spans="2:3" x14ac:dyDescent="0.35">
      <c r="B1551" t="s">
        <v>1170</v>
      </c>
      <c r="C1551" t="s">
        <v>1171</v>
      </c>
    </row>
    <row r="1552" spans="2:3" x14ac:dyDescent="0.35">
      <c r="B1552" t="s">
        <v>1170</v>
      </c>
      <c r="C1552" t="s">
        <v>1171</v>
      </c>
    </row>
    <row r="1553" spans="2:3" x14ac:dyDescent="0.35">
      <c r="B1553" t="s">
        <v>1170</v>
      </c>
      <c r="C1553" t="s">
        <v>1171</v>
      </c>
    </row>
    <row r="1554" spans="2:3" x14ac:dyDescent="0.35">
      <c r="B1554" t="s">
        <v>1170</v>
      </c>
      <c r="C1554" t="s">
        <v>1171</v>
      </c>
    </row>
    <row r="1555" spans="2:3" x14ac:dyDescent="0.35">
      <c r="B1555" t="s">
        <v>1170</v>
      </c>
      <c r="C1555" t="s">
        <v>1171</v>
      </c>
    </row>
    <row r="1556" spans="2:3" x14ac:dyDescent="0.35">
      <c r="B1556" t="s">
        <v>1170</v>
      </c>
      <c r="C1556" t="s">
        <v>1171</v>
      </c>
    </row>
    <row r="1557" spans="2:3" x14ac:dyDescent="0.35">
      <c r="B1557" t="s">
        <v>1170</v>
      </c>
      <c r="C1557" t="s">
        <v>1171</v>
      </c>
    </row>
    <row r="1558" spans="2:3" x14ac:dyDescent="0.35">
      <c r="B1558" t="s">
        <v>1096</v>
      </c>
      <c r="C1558" t="s">
        <v>1097</v>
      </c>
    </row>
    <row r="1559" spans="2:3" x14ac:dyDescent="0.35">
      <c r="B1559" t="s">
        <v>787</v>
      </c>
      <c r="C1559" t="s">
        <v>788</v>
      </c>
    </row>
    <row r="1560" spans="2:3" x14ac:dyDescent="0.35">
      <c r="B1560" t="s">
        <v>258</v>
      </c>
      <c r="C1560" t="s">
        <v>259</v>
      </c>
    </row>
    <row r="1561" spans="2:3" x14ac:dyDescent="0.35">
      <c r="B1561" t="s">
        <v>58</v>
      </c>
      <c r="C1561" t="s">
        <v>59</v>
      </c>
    </row>
    <row r="1562" spans="2:3" x14ac:dyDescent="0.35">
      <c r="B1562" t="s">
        <v>656</v>
      </c>
      <c r="C1562" t="s">
        <v>657</v>
      </c>
    </row>
    <row r="1563" spans="2:3" x14ac:dyDescent="0.35">
      <c r="B1563" t="s">
        <v>543</v>
      </c>
      <c r="C1563" t="s">
        <v>544</v>
      </c>
    </row>
    <row r="1564" spans="2:3" x14ac:dyDescent="0.35">
      <c r="B1564" t="s">
        <v>863</v>
      </c>
      <c r="C1564" t="s">
        <v>864</v>
      </c>
    </row>
    <row r="1565" spans="2:3" x14ac:dyDescent="0.35">
      <c r="B1565" t="s">
        <v>260</v>
      </c>
      <c r="C1565" t="s">
        <v>261</v>
      </c>
    </row>
    <row r="1566" spans="2:3" x14ac:dyDescent="0.35">
      <c r="B1566" t="s">
        <v>787</v>
      </c>
      <c r="C1566" t="s">
        <v>788</v>
      </c>
    </row>
    <row r="1567" spans="2:3" x14ac:dyDescent="0.35">
      <c r="B1567" t="s">
        <v>618</v>
      </c>
      <c r="C1567" t="s">
        <v>619</v>
      </c>
    </row>
    <row r="1568" spans="2:3" x14ac:dyDescent="0.35">
      <c r="B1568" t="s">
        <v>1195</v>
      </c>
      <c r="C1568" t="s">
        <v>1195</v>
      </c>
    </row>
    <row r="1569" spans="2:3" x14ac:dyDescent="0.35">
      <c r="B1569" t="s">
        <v>485</v>
      </c>
      <c r="C1569" t="s">
        <v>486</v>
      </c>
    </row>
    <row r="1570" spans="2:3" x14ac:dyDescent="0.35">
      <c r="B1570" t="s">
        <v>642</v>
      </c>
      <c r="C1570" t="s">
        <v>643</v>
      </c>
    </row>
    <row r="1571" spans="2:3" x14ac:dyDescent="0.35">
      <c r="B1571" t="s">
        <v>219</v>
      </c>
      <c r="C1571" t="s">
        <v>220</v>
      </c>
    </row>
    <row r="1572" spans="2:3" x14ac:dyDescent="0.35">
      <c r="B1572" t="s">
        <v>378</v>
      </c>
      <c r="C1572" t="s">
        <v>379</v>
      </c>
    </row>
    <row r="1573" spans="2:3" x14ac:dyDescent="0.35">
      <c r="B1573" t="s">
        <v>295</v>
      </c>
      <c r="C1573" t="s">
        <v>296</v>
      </c>
    </row>
    <row r="1574" spans="2:3" x14ac:dyDescent="0.35">
      <c r="B1574" t="s">
        <v>648</v>
      </c>
      <c r="C1574" t="s">
        <v>649</v>
      </c>
    </row>
    <row r="1575" spans="2:3" x14ac:dyDescent="0.35">
      <c r="B1575" t="s">
        <v>451</v>
      </c>
      <c r="C1575" t="s">
        <v>452</v>
      </c>
    </row>
    <row r="1576" spans="2:3" x14ac:dyDescent="0.35">
      <c r="B1576" t="s">
        <v>640</v>
      </c>
      <c r="C1576" t="s">
        <v>641</v>
      </c>
    </row>
    <row r="1577" spans="2:3" x14ac:dyDescent="0.35">
      <c r="B1577" t="s">
        <v>378</v>
      </c>
      <c r="C1577" t="s">
        <v>379</v>
      </c>
    </row>
    <row r="1578" spans="2:3" x14ac:dyDescent="0.35">
      <c r="B1578" t="s">
        <v>208</v>
      </c>
      <c r="C1578" t="s">
        <v>209</v>
      </c>
    </row>
    <row r="1579" spans="2:3" x14ac:dyDescent="0.35">
      <c r="B1579" t="s">
        <v>658</v>
      </c>
      <c r="C1579" t="s">
        <v>659</v>
      </c>
    </row>
    <row r="1580" spans="2:3" x14ac:dyDescent="0.35">
      <c r="B1580" t="s">
        <v>202</v>
      </c>
      <c r="C1580" t="s">
        <v>203</v>
      </c>
    </row>
    <row r="1581" spans="2:3" x14ac:dyDescent="0.35">
      <c r="B1581" t="s">
        <v>787</v>
      </c>
      <c r="C1581" t="s">
        <v>788</v>
      </c>
    </row>
    <row r="1582" spans="2:3" x14ac:dyDescent="0.35">
      <c r="B1582" t="s">
        <v>703</v>
      </c>
      <c r="C1582" t="s">
        <v>704</v>
      </c>
    </row>
    <row r="1583" spans="2:3" x14ac:dyDescent="0.35">
      <c r="B1583" t="s">
        <v>457</v>
      </c>
      <c r="C1583" t="s">
        <v>458</v>
      </c>
    </row>
    <row r="1584" spans="2:3" x14ac:dyDescent="0.35">
      <c r="B1584" t="s">
        <v>787</v>
      </c>
      <c r="C1584" t="s">
        <v>788</v>
      </c>
    </row>
    <row r="1585" spans="2:3" x14ac:dyDescent="0.35">
      <c r="B1585" t="s">
        <v>787</v>
      </c>
      <c r="C1585" t="s">
        <v>788</v>
      </c>
    </row>
    <row r="1586" spans="2:3" x14ac:dyDescent="0.35">
      <c r="B1586" t="s">
        <v>299</v>
      </c>
      <c r="C1586" t="s">
        <v>300</v>
      </c>
    </row>
    <row r="1587" spans="2:3" x14ac:dyDescent="0.35">
      <c r="B1587" t="s">
        <v>128</v>
      </c>
      <c r="C1587" t="s">
        <v>129</v>
      </c>
    </row>
    <row r="1588" spans="2:3" x14ac:dyDescent="0.35">
      <c r="B1588" t="s">
        <v>787</v>
      </c>
      <c r="C1588" t="s">
        <v>788</v>
      </c>
    </row>
    <row r="1589" spans="2:3" x14ac:dyDescent="0.35">
      <c r="B1589" t="s">
        <v>281</v>
      </c>
      <c r="C1589" t="s">
        <v>282</v>
      </c>
    </row>
    <row r="1590" spans="2:3" x14ac:dyDescent="0.35">
      <c r="B1590" t="s">
        <v>178</v>
      </c>
      <c r="C1590" t="s">
        <v>179</v>
      </c>
    </row>
    <row r="1591" spans="2:3" x14ac:dyDescent="0.35">
      <c r="B1591" t="s">
        <v>624</v>
      </c>
      <c r="C1591" t="s">
        <v>625</v>
      </c>
    </row>
    <row r="1592" spans="2:3" x14ac:dyDescent="0.35">
      <c r="B1592" t="s">
        <v>254</v>
      </c>
      <c r="C1592" t="s">
        <v>255</v>
      </c>
    </row>
    <row r="1593" spans="2:3" x14ac:dyDescent="0.35">
      <c r="B1593" t="s">
        <v>561</v>
      </c>
      <c r="C1593" t="s">
        <v>562</v>
      </c>
    </row>
    <row r="1594" spans="2:3" x14ac:dyDescent="0.35">
      <c r="B1594" t="s">
        <v>662</v>
      </c>
      <c r="C1594" t="s">
        <v>663</v>
      </c>
    </row>
    <row r="1595" spans="2:3" x14ac:dyDescent="0.35">
      <c r="B1595" t="s">
        <v>575</v>
      </c>
      <c r="C1595" t="s">
        <v>576</v>
      </c>
    </row>
    <row r="1596" spans="2:3" x14ac:dyDescent="0.35">
      <c r="B1596" t="s">
        <v>529</v>
      </c>
      <c r="C1596" t="s">
        <v>530</v>
      </c>
    </row>
    <row r="1597" spans="2:3" x14ac:dyDescent="0.35">
      <c r="B1597" t="s">
        <v>591</v>
      </c>
      <c r="C1597" t="s">
        <v>592</v>
      </c>
    </row>
    <row r="1598" spans="2:3" x14ac:dyDescent="0.35">
      <c r="B1598" t="s">
        <v>545</v>
      </c>
      <c r="C1598" t="s">
        <v>546</v>
      </c>
    </row>
    <row r="1599" spans="2:3" x14ac:dyDescent="0.35">
      <c r="B1599" t="s">
        <v>457</v>
      </c>
      <c r="C1599" t="s">
        <v>458</v>
      </c>
    </row>
    <row r="1600" spans="2:3" x14ac:dyDescent="0.35">
      <c r="B1600" t="s">
        <v>122</v>
      </c>
      <c r="C1600" t="s">
        <v>123</v>
      </c>
    </row>
    <row r="1601" spans="2:3" x14ac:dyDescent="0.35">
      <c r="B1601" t="s">
        <v>531</v>
      </c>
      <c r="C1601" t="s">
        <v>532</v>
      </c>
    </row>
    <row r="1602" spans="2:3" x14ac:dyDescent="0.35">
      <c r="B1602" t="s">
        <v>557</v>
      </c>
      <c r="C1602" t="s">
        <v>558</v>
      </c>
    </row>
    <row r="1603" spans="2:3" x14ac:dyDescent="0.35">
      <c r="B1603" t="s">
        <v>467</v>
      </c>
      <c r="C1603" t="s">
        <v>468</v>
      </c>
    </row>
    <row r="1604" spans="2:3" x14ac:dyDescent="0.35">
      <c r="B1604" t="s">
        <v>571</v>
      </c>
      <c r="C1604" t="s">
        <v>572</v>
      </c>
    </row>
    <row r="1605" spans="2:3" x14ac:dyDescent="0.35">
      <c r="B1605" t="s">
        <v>208</v>
      </c>
      <c r="C1605" t="s">
        <v>209</v>
      </c>
    </row>
    <row r="1606" spans="2:3" x14ac:dyDescent="0.35">
      <c r="B1606" t="s">
        <v>571</v>
      </c>
      <c r="C1606" t="s">
        <v>572</v>
      </c>
    </row>
    <row r="1607" spans="2:3" x14ac:dyDescent="0.35">
      <c r="B1607" t="s">
        <v>523</v>
      </c>
      <c r="C1607" t="s">
        <v>524</v>
      </c>
    </row>
    <row r="1608" spans="2:3" x14ac:dyDescent="0.35">
      <c r="B1608" t="s">
        <v>527</v>
      </c>
      <c r="C1608" t="s">
        <v>528</v>
      </c>
    </row>
    <row r="1609" spans="2:3" x14ac:dyDescent="0.35">
      <c r="B1609" t="s">
        <v>787</v>
      </c>
      <c r="C1609" t="s">
        <v>788</v>
      </c>
    </row>
    <row r="1610" spans="2:3" x14ac:dyDescent="0.35">
      <c r="B1610" t="s">
        <v>787</v>
      </c>
      <c r="C1610" t="s">
        <v>788</v>
      </c>
    </row>
    <row r="1611" spans="2:3" x14ac:dyDescent="0.35">
      <c r="B1611" t="s">
        <v>208</v>
      </c>
      <c r="C1611" t="s">
        <v>209</v>
      </c>
    </row>
    <row r="1612" spans="2:3" x14ac:dyDescent="0.35">
      <c r="B1612" t="s">
        <v>537</v>
      </c>
      <c r="C1612" t="s">
        <v>538</v>
      </c>
    </row>
    <row r="1613" spans="2:3" x14ac:dyDescent="0.35">
      <c r="B1613" t="s">
        <v>499</v>
      </c>
      <c r="C1613" t="s">
        <v>500</v>
      </c>
    </row>
    <row r="1614" spans="2:3" x14ac:dyDescent="0.35">
      <c r="B1614" t="s">
        <v>595</v>
      </c>
      <c r="C1614" t="s">
        <v>596</v>
      </c>
    </row>
    <row r="1615" spans="2:3" x14ac:dyDescent="0.35">
      <c r="B1615" t="s">
        <v>1195</v>
      </c>
      <c r="C1615" t="s">
        <v>1195</v>
      </c>
    </row>
    <row r="1616" spans="2:3" x14ac:dyDescent="0.35">
      <c r="B1616" t="s">
        <v>128</v>
      </c>
      <c r="C1616" t="s">
        <v>129</v>
      </c>
    </row>
    <row r="1617" spans="2:3" x14ac:dyDescent="0.35">
      <c r="B1617" t="s">
        <v>642</v>
      </c>
      <c r="C1617" t="s">
        <v>643</v>
      </c>
    </row>
    <row r="1618" spans="2:3" x14ac:dyDescent="0.35">
      <c r="B1618" t="s">
        <v>605</v>
      </c>
      <c r="C1618" t="s">
        <v>606</v>
      </c>
    </row>
    <row r="1619" spans="2:3" x14ac:dyDescent="0.35">
      <c r="B1619" t="s">
        <v>90</v>
      </c>
      <c r="C1619" t="s">
        <v>91</v>
      </c>
    </row>
    <row r="1620" spans="2:3" x14ac:dyDescent="0.35">
      <c r="B1620" t="s">
        <v>575</v>
      </c>
      <c r="C1620" t="s">
        <v>576</v>
      </c>
    </row>
    <row r="1621" spans="2:3" x14ac:dyDescent="0.35">
      <c r="B1621" t="s">
        <v>254</v>
      </c>
      <c r="C1621" t="s">
        <v>255</v>
      </c>
    </row>
    <row r="1622" spans="2:3" x14ac:dyDescent="0.35">
      <c r="B1622" t="s">
        <v>122</v>
      </c>
      <c r="C1622" t="s">
        <v>123</v>
      </c>
    </row>
    <row r="1623" spans="2:3" x14ac:dyDescent="0.35">
      <c r="B1623" t="s">
        <v>804</v>
      </c>
      <c r="C1623" t="s">
        <v>805</v>
      </c>
    </row>
    <row r="1624" spans="2:3" x14ac:dyDescent="0.35">
      <c r="B1624" t="s">
        <v>787</v>
      </c>
      <c r="C1624" t="s">
        <v>788</v>
      </c>
    </row>
    <row r="1625" spans="2:3" x14ac:dyDescent="0.35">
      <c r="B1625" t="s">
        <v>46</v>
      </c>
      <c r="C1625" t="s">
        <v>47</v>
      </c>
    </row>
    <row r="1626" spans="2:3" x14ac:dyDescent="0.35">
      <c r="B1626" t="s">
        <v>208</v>
      </c>
      <c r="C1626" t="s">
        <v>209</v>
      </c>
    </row>
    <row r="1627" spans="2:3" x14ac:dyDescent="0.35">
      <c r="B1627" t="s">
        <v>658</v>
      </c>
      <c r="C1627" t="s">
        <v>659</v>
      </c>
    </row>
    <row r="1628" spans="2:3" x14ac:dyDescent="0.35">
      <c r="B1628" t="s">
        <v>703</v>
      </c>
      <c r="C1628" t="s">
        <v>704</v>
      </c>
    </row>
    <row r="1629" spans="2:3" x14ac:dyDescent="0.35">
      <c r="B1629" t="s">
        <v>700</v>
      </c>
      <c r="C1629" t="s">
        <v>701</v>
      </c>
    </row>
    <row r="1630" spans="2:3" x14ac:dyDescent="0.35">
      <c r="B1630" t="s">
        <v>638</v>
      </c>
      <c r="C1630" t="s">
        <v>639</v>
      </c>
    </row>
    <row r="1631" spans="2:3" x14ac:dyDescent="0.35">
      <c r="B1631" t="s">
        <v>700</v>
      </c>
      <c r="C1631" t="s">
        <v>701</v>
      </c>
    </row>
    <row r="1632" spans="2:3" x14ac:dyDescent="0.35">
      <c r="B1632" t="s">
        <v>662</v>
      </c>
      <c r="C1632" t="s">
        <v>663</v>
      </c>
    </row>
    <row r="1633" spans="2:3" x14ac:dyDescent="0.35">
      <c r="B1633" t="s">
        <v>662</v>
      </c>
      <c r="C1633" t="s">
        <v>663</v>
      </c>
    </row>
    <row r="1634" spans="2:3" x14ac:dyDescent="0.35">
      <c r="B1634" t="s">
        <v>1079</v>
      </c>
      <c r="C1634" t="s">
        <v>1080</v>
      </c>
    </row>
    <row r="1635" spans="2:3" x14ac:dyDescent="0.35">
      <c r="B1635" t="s">
        <v>605</v>
      </c>
      <c r="C1635" t="s">
        <v>606</v>
      </c>
    </row>
    <row r="1636" spans="2:3" x14ac:dyDescent="0.35">
      <c r="B1636" t="s">
        <v>573</v>
      </c>
      <c r="C1636" t="s">
        <v>574</v>
      </c>
    </row>
    <row r="1637" spans="2:3" x14ac:dyDescent="0.35">
      <c r="B1637" t="s">
        <v>656</v>
      </c>
      <c r="C1637" t="s">
        <v>657</v>
      </c>
    </row>
    <row r="1638" spans="2:3" x14ac:dyDescent="0.35">
      <c r="B1638" t="s">
        <v>559</v>
      </c>
      <c r="C1638" t="s">
        <v>560</v>
      </c>
    </row>
    <row r="1639" spans="2:3" x14ac:dyDescent="0.35">
      <c r="B1639" t="s">
        <v>527</v>
      </c>
      <c r="C1639" t="s">
        <v>528</v>
      </c>
    </row>
    <row r="1640" spans="2:3" x14ac:dyDescent="0.35">
      <c r="B1640" t="s">
        <v>787</v>
      </c>
      <c r="C1640" t="s">
        <v>788</v>
      </c>
    </row>
    <row r="1641" spans="2:3" x14ac:dyDescent="0.35">
      <c r="B1641" t="s">
        <v>543</v>
      </c>
      <c r="C1641" t="s">
        <v>544</v>
      </c>
    </row>
    <row r="1642" spans="2:3" x14ac:dyDescent="0.35">
      <c r="B1642" t="s">
        <v>787</v>
      </c>
      <c r="C1642" t="s">
        <v>788</v>
      </c>
    </row>
    <row r="1643" spans="2:3" x14ac:dyDescent="0.35">
      <c r="B1643" t="s">
        <v>787</v>
      </c>
      <c r="C1643" t="s">
        <v>788</v>
      </c>
    </row>
    <row r="1644" spans="2:3" x14ac:dyDescent="0.35">
      <c r="B1644" t="s">
        <v>601</v>
      </c>
      <c r="C1644" t="s">
        <v>602</v>
      </c>
    </row>
    <row r="1645" spans="2:3" x14ac:dyDescent="0.35">
      <c r="B1645" t="s">
        <v>575</v>
      </c>
      <c r="C1645" t="s">
        <v>576</v>
      </c>
    </row>
    <row r="1646" spans="2:3" x14ac:dyDescent="0.35">
      <c r="B1646" t="s">
        <v>449</v>
      </c>
      <c r="C1646" t="s">
        <v>450</v>
      </c>
    </row>
    <row r="1647" spans="2:3" x14ac:dyDescent="0.35">
      <c r="B1647" t="s">
        <v>517</v>
      </c>
      <c r="C1647" t="s">
        <v>518</v>
      </c>
    </row>
    <row r="1648" spans="2:3" x14ac:dyDescent="0.35">
      <c r="B1648" t="s">
        <v>787</v>
      </c>
      <c r="C1648" t="s">
        <v>788</v>
      </c>
    </row>
    <row r="1649" spans="2:3" x14ac:dyDescent="0.35">
      <c r="B1649" t="s">
        <v>561</v>
      </c>
      <c r="C1649" t="s">
        <v>562</v>
      </c>
    </row>
    <row r="1650" spans="2:3" x14ac:dyDescent="0.35">
      <c r="B1650" t="s">
        <v>787</v>
      </c>
      <c r="C1650" t="s">
        <v>788</v>
      </c>
    </row>
    <row r="1651" spans="2:3" x14ac:dyDescent="0.35">
      <c r="B1651" t="s">
        <v>200</v>
      </c>
      <c r="C1651" t="s">
        <v>201</v>
      </c>
    </row>
    <row r="1652" spans="2:3" x14ac:dyDescent="0.35">
      <c r="B1652" t="s">
        <v>449</v>
      </c>
      <c r="C1652" t="s">
        <v>450</v>
      </c>
    </row>
    <row r="1653" spans="2:3" x14ac:dyDescent="0.35">
      <c r="B1653" t="s">
        <v>662</v>
      </c>
      <c r="C1653" t="s">
        <v>663</v>
      </c>
    </row>
    <row r="1654" spans="2:3" x14ac:dyDescent="0.35">
      <c r="B1654" t="s">
        <v>487</v>
      </c>
      <c r="C1654" t="s">
        <v>488</v>
      </c>
    </row>
    <row r="1655" spans="2:3" x14ac:dyDescent="0.35">
      <c r="B1655" t="s">
        <v>463</v>
      </c>
      <c r="C1655" t="s">
        <v>464</v>
      </c>
    </row>
    <row r="1656" spans="2:3" x14ac:dyDescent="0.35">
      <c r="B1656" t="s">
        <v>487</v>
      </c>
      <c r="C1656" t="s">
        <v>488</v>
      </c>
    </row>
    <row r="1657" spans="2:3" x14ac:dyDescent="0.35">
      <c r="B1657" t="s">
        <v>208</v>
      </c>
      <c r="C1657" t="s">
        <v>209</v>
      </c>
    </row>
    <row r="1658" spans="2:3" x14ac:dyDescent="0.35">
      <c r="B1658" t="s">
        <v>571</v>
      </c>
      <c r="C1658" t="s">
        <v>572</v>
      </c>
    </row>
    <row r="1659" spans="2:3" x14ac:dyDescent="0.35">
      <c r="B1659" t="s">
        <v>787</v>
      </c>
      <c r="C1659" t="s">
        <v>788</v>
      </c>
    </row>
    <row r="1660" spans="2:3" x14ac:dyDescent="0.35">
      <c r="B1660" t="s">
        <v>344</v>
      </c>
      <c r="C1660" t="s">
        <v>345</v>
      </c>
    </row>
    <row r="1661" spans="2:3" x14ac:dyDescent="0.35">
      <c r="B1661" t="s">
        <v>1195</v>
      </c>
      <c r="C1661" t="s">
        <v>1195</v>
      </c>
    </row>
    <row r="1662" spans="2:3" x14ac:dyDescent="0.35">
      <c r="B1662" t="s">
        <v>1195</v>
      </c>
      <c r="C1662" t="s">
        <v>1195</v>
      </c>
    </row>
    <row r="1663" spans="2:3" x14ac:dyDescent="0.35">
      <c r="B1663" t="s">
        <v>453</v>
      </c>
      <c r="C1663" t="s">
        <v>454</v>
      </c>
    </row>
    <row r="1664" spans="2:3" x14ac:dyDescent="0.35">
      <c r="B1664" t="s">
        <v>585</v>
      </c>
      <c r="C1664" t="s">
        <v>586</v>
      </c>
    </row>
    <row r="1665" spans="2:3" x14ac:dyDescent="0.35">
      <c r="B1665" t="s">
        <v>787</v>
      </c>
      <c r="C1665" t="s">
        <v>788</v>
      </c>
    </row>
    <row r="1666" spans="2:3" x14ac:dyDescent="0.35">
      <c r="B1666" t="s">
        <v>961</v>
      </c>
      <c r="C1666" t="s">
        <v>962</v>
      </c>
    </row>
    <row r="1667" spans="2:3" x14ac:dyDescent="0.35">
      <c r="B1667" t="s">
        <v>859</v>
      </c>
      <c r="C1667" t="s">
        <v>860</v>
      </c>
    </row>
    <row r="1668" spans="2:3" x14ac:dyDescent="0.35">
      <c r="B1668" t="s">
        <v>545</v>
      </c>
      <c r="C1668" t="s">
        <v>546</v>
      </c>
    </row>
    <row r="1669" spans="2:3" x14ac:dyDescent="0.35">
      <c r="B1669" t="s">
        <v>787</v>
      </c>
      <c r="C1669" t="s">
        <v>788</v>
      </c>
    </row>
    <row r="1670" spans="2:3" x14ac:dyDescent="0.35">
      <c r="B1670" t="s">
        <v>787</v>
      </c>
      <c r="C1670" t="s">
        <v>788</v>
      </c>
    </row>
    <row r="1671" spans="2:3" x14ac:dyDescent="0.35">
      <c r="B1671" t="s">
        <v>787</v>
      </c>
      <c r="C1671" t="s">
        <v>788</v>
      </c>
    </row>
    <row r="1672" spans="2:3" x14ac:dyDescent="0.35">
      <c r="B1672" t="s">
        <v>787</v>
      </c>
      <c r="C1672" t="s">
        <v>788</v>
      </c>
    </row>
    <row r="1673" spans="2:3" x14ac:dyDescent="0.35">
      <c r="B1673" t="s">
        <v>787</v>
      </c>
      <c r="C1673" t="s">
        <v>788</v>
      </c>
    </row>
    <row r="1674" spans="2:3" x14ac:dyDescent="0.35">
      <c r="B1674" t="s">
        <v>210</v>
      </c>
      <c r="C1674" t="s">
        <v>211</v>
      </c>
    </row>
    <row r="1675" spans="2:3" x14ac:dyDescent="0.35">
      <c r="B1675" t="s">
        <v>648</v>
      </c>
      <c r="C1675" t="s">
        <v>649</v>
      </c>
    </row>
    <row r="1676" spans="2:3" x14ac:dyDescent="0.35">
      <c r="B1676" t="s">
        <v>658</v>
      </c>
      <c r="C1676" t="s">
        <v>659</v>
      </c>
    </row>
    <row r="1677" spans="2:3" x14ac:dyDescent="0.35">
      <c r="B1677" t="s">
        <v>395</v>
      </c>
      <c r="C1677" t="s">
        <v>396</v>
      </c>
    </row>
    <row r="1678" spans="2:3" x14ac:dyDescent="0.35">
      <c r="B1678" t="s">
        <v>571</v>
      </c>
      <c r="C1678" t="s">
        <v>572</v>
      </c>
    </row>
    <row r="1679" spans="2:3" x14ac:dyDescent="0.35">
      <c r="B1679" t="s">
        <v>252</v>
      </c>
      <c r="C1679" t="s">
        <v>253</v>
      </c>
    </row>
    <row r="1680" spans="2:3" x14ac:dyDescent="0.35">
      <c r="B1680" t="s">
        <v>787</v>
      </c>
      <c r="C1680" t="s">
        <v>788</v>
      </c>
    </row>
    <row r="1681" spans="2:3" x14ac:dyDescent="0.35">
      <c r="B1681" t="s">
        <v>640</v>
      </c>
      <c r="C1681" t="s">
        <v>641</v>
      </c>
    </row>
    <row r="1682" spans="2:3" x14ac:dyDescent="0.35">
      <c r="B1682" t="s">
        <v>863</v>
      </c>
      <c r="C1682" t="s">
        <v>864</v>
      </c>
    </row>
    <row r="1683" spans="2:3" x14ac:dyDescent="0.35">
      <c r="B1683" t="s">
        <v>787</v>
      </c>
      <c r="C1683" t="s">
        <v>788</v>
      </c>
    </row>
    <row r="1684" spans="2:3" x14ac:dyDescent="0.35">
      <c r="B1684" t="s">
        <v>787</v>
      </c>
      <c r="C1684" t="s">
        <v>788</v>
      </c>
    </row>
    <row r="1685" spans="2:3" x14ac:dyDescent="0.35">
      <c r="B1685" t="s">
        <v>787</v>
      </c>
      <c r="C1685" t="s">
        <v>788</v>
      </c>
    </row>
    <row r="1686" spans="2:3" x14ac:dyDescent="0.35">
      <c r="B1686" t="s">
        <v>787</v>
      </c>
      <c r="C1686" t="s">
        <v>788</v>
      </c>
    </row>
    <row r="1687" spans="2:3" x14ac:dyDescent="0.35">
      <c r="B1687" t="s">
        <v>787</v>
      </c>
      <c r="C1687" t="s">
        <v>788</v>
      </c>
    </row>
    <row r="1688" spans="2:3" x14ac:dyDescent="0.35">
      <c r="B1688" t="s">
        <v>523</v>
      </c>
      <c r="C1688" t="s">
        <v>524</v>
      </c>
    </row>
    <row r="1689" spans="2:3" x14ac:dyDescent="0.35">
      <c r="B1689" t="s">
        <v>210</v>
      </c>
      <c r="C1689" t="s">
        <v>211</v>
      </c>
    </row>
    <row r="1690" spans="2:3" x14ac:dyDescent="0.35">
      <c r="B1690" t="s">
        <v>208</v>
      </c>
      <c r="C1690" t="s">
        <v>209</v>
      </c>
    </row>
    <row r="1691" spans="2:3" x14ac:dyDescent="0.35">
      <c r="B1691" t="s">
        <v>614</v>
      </c>
      <c r="C1691" t="s">
        <v>615</v>
      </c>
    </row>
    <row r="1692" spans="2:3" x14ac:dyDescent="0.35">
      <c r="B1692" t="s">
        <v>958</v>
      </c>
      <c r="C1692" t="s">
        <v>959</v>
      </c>
    </row>
    <row r="1693" spans="2:3" x14ac:dyDescent="0.35">
      <c r="B1693" t="s">
        <v>393</v>
      </c>
      <c r="C1693" t="s">
        <v>394</v>
      </c>
    </row>
    <row r="1694" spans="2:3" x14ac:dyDescent="0.35">
      <c r="B1694" t="s">
        <v>549</v>
      </c>
      <c r="C1694" t="s">
        <v>550</v>
      </c>
    </row>
    <row r="1695" spans="2:3" x14ac:dyDescent="0.35">
      <c r="B1695" t="s">
        <v>658</v>
      </c>
      <c r="C1695" t="s">
        <v>659</v>
      </c>
    </row>
    <row r="1696" spans="2:3" x14ac:dyDescent="0.35">
      <c r="B1696" t="s">
        <v>503</v>
      </c>
      <c r="C1696" t="s">
        <v>504</v>
      </c>
    </row>
    <row r="1697" spans="2:3" x14ac:dyDescent="0.35">
      <c r="B1697" t="s">
        <v>285</v>
      </c>
      <c r="C1697" t="s">
        <v>286</v>
      </c>
    </row>
    <row r="1698" spans="2:3" x14ac:dyDescent="0.35">
      <c r="B1698" t="s">
        <v>638</v>
      </c>
      <c r="C1698" t="s">
        <v>639</v>
      </c>
    </row>
    <row r="1699" spans="2:3" x14ac:dyDescent="0.35">
      <c r="B1699" t="s">
        <v>787</v>
      </c>
      <c r="C1699" t="s">
        <v>788</v>
      </c>
    </row>
    <row r="1700" spans="2:3" x14ac:dyDescent="0.35">
      <c r="B1700" t="s">
        <v>700</v>
      </c>
      <c r="C1700" t="s">
        <v>701</v>
      </c>
    </row>
    <row r="1701" spans="2:3" x14ac:dyDescent="0.35">
      <c r="B1701" t="s">
        <v>174</v>
      </c>
      <c r="C1701" t="s">
        <v>175</v>
      </c>
    </row>
    <row r="1702" spans="2:3" x14ac:dyDescent="0.35">
      <c r="B1702" t="s">
        <v>208</v>
      </c>
      <c r="C1702" t="s">
        <v>209</v>
      </c>
    </row>
    <row r="1703" spans="2:3" x14ac:dyDescent="0.35">
      <c r="B1703" t="s">
        <v>787</v>
      </c>
      <c r="C1703" t="s">
        <v>788</v>
      </c>
    </row>
    <row r="1704" spans="2:3" x14ac:dyDescent="0.35">
      <c r="B1704" t="s">
        <v>131</v>
      </c>
      <c r="C1704" t="s">
        <v>132</v>
      </c>
    </row>
    <row r="1705" spans="2:3" x14ac:dyDescent="0.35">
      <c r="B1705" t="s">
        <v>297</v>
      </c>
      <c r="C1705" t="s">
        <v>298</v>
      </c>
    </row>
    <row r="1706" spans="2:3" x14ac:dyDescent="0.35">
      <c r="B1706" t="s">
        <v>799</v>
      </c>
      <c r="C1706" t="s">
        <v>800</v>
      </c>
    </row>
    <row r="1707" spans="2:3" x14ac:dyDescent="0.35">
      <c r="B1707" t="s">
        <v>577</v>
      </c>
      <c r="C1707" t="s">
        <v>578</v>
      </c>
    </row>
    <row r="1708" spans="2:3" x14ac:dyDescent="0.35">
      <c r="B1708" t="s">
        <v>84</v>
      </c>
      <c r="C1708" t="s">
        <v>85</v>
      </c>
    </row>
    <row r="1709" spans="2:3" x14ac:dyDescent="0.35">
      <c r="B1709" t="s">
        <v>855</v>
      </c>
      <c r="C1709" t="s">
        <v>856</v>
      </c>
    </row>
    <row r="1710" spans="2:3" x14ac:dyDescent="0.35">
      <c r="B1710" t="s">
        <v>344</v>
      </c>
      <c r="C1710" t="s">
        <v>345</v>
      </c>
    </row>
    <row r="1711" spans="2:3" x14ac:dyDescent="0.35">
      <c r="B1711" t="s">
        <v>648</v>
      </c>
      <c r="C1711" t="s">
        <v>649</v>
      </c>
    </row>
    <row r="1712" spans="2:3" x14ac:dyDescent="0.35">
      <c r="B1712" t="s">
        <v>650</v>
      </c>
      <c r="C1712" t="s">
        <v>651</v>
      </c>
    </row>
    <row r="1713" spans="2:3" x14ac:dyDescent="0.35">
      <c r="B1713" t="s">
        <v>1195</v>
      </c>
      <c r="C1713" t="s">
        <v>1195</v>
      </c>
    </row>
    <row r="1714" spans="2:3" x14ac:dyDescent="0.35">
      <c r="B1714" t="s">
        <v>616</v>
      </c>
      <c r="C1714" t="s">
        <v>617</v>
      </c>
    </row>
    <row r="1715" spans="2:3" x14ac:dyDescent="0.35">
      <c r="B1715" t="s">
        <v>545</v>
      </c>
      <c r="C1715" t="s">
        <v>546</v>
      </c>
    </row>
    <row r="1716" spans="2:3" x14ac:dyDescent="0.35">
      <c r="B1716" t="s">
        <v>787</v>
      </c>
      <c r="C1716" t="s">
        <v>788</v>
      </c>
    </row>
    <row r="1717" spans="2:3" x14ac:dyDescent="0.35">
      <c r="B1717" t="s">
        <v>543</v>
      </c>
      <c r="C1717" t="s">
        <v>544</v>
      </c>
    </row>
    <row r="1718" spans="2:3" x14ac:dyDescent="0.35">
      <c r="B1718" t="s">
        <v>859</v>
      </c>
      <c r="C1718" t="s">
        <v>860</v>
      </c>
    </row>
    <row r="1719" spans="2:3" x14ac:dyDescent="0.35">
      <c r="B1719" t="s">
        <v>787</v>
      </c>
      <c r="C1719" t="s">
        <v>788</v>
      </c>
    </row>
    <row r="1720" spans="2:3" x14ac:dyDescent="0.35">
      <c r="B1720" t="s">
        <v>200</v>
      </c>
      <c r="C1720" t="s">
        <v>201</v>
      </c>
    </row>
    <row r="1721" spans="2:3" x14ac:dyDescent="0.35">
      <c r="B1721" t="s">
        <v>787</v>
      </c>
      <c r="C1721" t="s">
        <v>788</v>
      </c>
    </row>
    <row r="1722" spans="2:3" x14ac:dyDescent="0.35">
      <c r="B1722" t="s">
        <v>787</v>
      </c>
      <c r="C1722" t="s">
        <v>788</v>
      </c>
    </row>
    <row r="1723" spans="2:3" x14ac:dyDescent="0.35">
      <c r="B1723" t="s">
        <v>799</v>
      </c>
      <c r="C1723" t="s">
        <v>800</v>
      </c>
    </row>
    <row r="1724" spans="2:3" x14ac:dyDescent="0.35">
      <c r="B1724" t="s">
        <v>787</v>
      </c>
      <c r="C1724" t="s">
        <v>788</v>
      </c>
    </row>
    <row r="1725" spans="2:3" x14ac:dyDescent="0.35">
      <c r="B1725" t="s">
        <v>642</v>
      </c>
      <c r="C1725" t="s">
        <v>643</v>
      </c>
    </row>
    <row r="1726" spans="2:3" x14ac:dyDescent="0.35">
      <c r="B1726" t="s">
        <v>571</v>
      </c>
      <c r="C1726" t="s">
        <v>572</v>
      </c>
    </row>
    <row r="1727" spans="2:3" x14ac:dyDescent="0.35">
      <c r="B1727" t="s">
        <v>787</v>
      </c>
      <c r="C1727" t="s">
        <v>788</v>
      </c>
    </row>
    <row r="1728" spans="2:3" x14ac:dyDescent="0.35">
      <c r="B1728" t="s">
        <v>787</v>
      </c>
      <c r="C1728" t="s">
        <v>788</v>
      </c>
    </row>
    <row r="1729" spans="2:3" x14ac:dyDescent="0.35">
      <c r="B1729" t="s">
        <v>559</v>
      </c>
      <c r="C1729" t="s">
        <v>560</v>
      </c>
    </row>
    <row r="1730" spans="2:3" x14ac:dyDescent="0.35">
      <c r="B1730" t="s">
        <v>650</v>
      </c>
      <c r="C1730" t="s">
        <v>651</v>
      </c>
    </row>
    <row r="1731" spans="2:3" x14ac:dyDescent="0.35">
      <c r="B1731" t="s">
        <v>958</v>
      </c>
      <c r="C1731" t="s">
        <v>959</v>
      </c>
    </row>
    <row r="1732" spans="2:3" x14ac:dyDescent="0.35">
      <c r="B1732" t="s">
        <v>787</v>
      </c>
      <c r="C1732" t="s">
        <v>788</v>
      </c>
    </row>
    <row r="1733" spans="2:3" x14ac:dyDescent="0.35">
      <c r="B1733" t="s">
        <v>787</v>
      </c>
      <c r="C1733" t="s">
        <v>788</v>
      </c>
    </row>
    <row r="1734" spans="2:3" x14ac:dyDescent="0.35">
      <c r="B1734" t="s">
        <v>358</v>
      </c>
      <c r="C1734" t="s">
        <v>359</v>
      </c>
    </row>
    <row r="1735" spans="2:3" x14ac:dyDescent="0.35">
      <c r="B1735" t="s">
        <v>787</v>
      </c>
      <c r="C1735" t="s">
        <v>788</v>
      </c>
    </row>
    <row r="1736" spans="2:3" x14ac:dyDescent="0.35">
      <c r="B1736" t="s">
        <v>787</v>
      </c>
      <c r="C1736" t="s">
        <v>788</v>
      </c>
    </row>
    <row r="1737" spans="2:3" x14ac:dyDescent="0.35">
      <c r="B1737" t="s">
        <v>515</v>
      </c>
      <c r="C1737" t="s">
        <v>516</v>
      </c>
    </row>
    <row r="1738" spans="2:3" x14ac:dyDescent="0.35">
      <c r="B1738" t="s">
        <v>208</v>
      </c>
      <c r="C1738" t="s">
        <v>209</v>
      </c>
    </row>
    <row r="1739" spans="2:3" x14ac:dyDescent="0.35">
      <c r="B1739" t="s">
        <v>208</v>
      </c>
      <c r="C1739" t="s">
        <v>209</v>
      </c>
    </row>
    <row r="1740" spans="2:3" x14ac:dyDescent="0.35">
      <c r="B1740" t="s">
        <v>208</v>
      </c>
      <c r="C1740" t="s">
        <v>209</v>
      </c>
    </row>
    <row r="1741" spans="2:3" x14ac:dyDescent="0.35">
      <c r="B1741" t="s">
        <v>692</v>
      </c>
      <c r="C1741" t="s">
        <v>693</v>
      </c>
    </row>
    <row r="1742" spans="2:3" x14ac:dyDescent="0.35">
      <c r="B1742" t="s">
        <v>650</v>
      </c>
      <c r="C1742" t="s">
        <v>651</v>
      </c>
    </row>
    <row r="1743" spans="2:3" x14ac:dyDescent="0.35">
      <c r="B1743" t="s">
        <v>787</v>
      </c>
      <c r="C1743" t="s">
        <v>788</v>
      </c>
    </row>
    <row r="1744" spans="2:3" x14ac:dyDescent="0.35">
      <c r="B1744" t="s">
        <v>787</v>
      </c>
      <c r="C1744" t="s">
        <v>788</v>
      </c>
    </row>
    <row r="1745" spans="2:3" x14ac:dyDescent="0.35">
      <c r="B1745" t="s">
        <v>1195</v>
      </c>
      <c r="C1745" t="s">
        <v>1195</v>
      </c>
    </row>
    <row r="1746" spans="2:3" x14ac:dyDescent="0.35">
      <c r="B1746" t="s">
        <v>537</v>
      </c>
      <c r="C1746" t="s">
        <v>538</v>
      </c>
    </row>
    <row r="1747" spans="2:3" x14ac:dyDescent="0.35">
      <c r="B1747" t="s">
        <v>561</v>
      </c>
      <c r="C1747" t="s">
        <v>562</v>
      </c>
    </row>
    <row r="1748" spans="2:3" x14ac:dyDescent="0.35">
      <c r="B1748" t="s">
        <v>787</v>
      </c>
      <c r="C1748" t="s">
        <v>788</v>
      </c>
    </row>
    <row r="1749" spans="2:3" x14ac:dyDescent="0.35">
      <c r="B1749" t="s">
        <v>787</v>
      </c>
      <c r="C1749" t="s">
        <v>788</v>
      </c>
    </row>
    <row r="1750" spans="2:3" x14ac:dyDescent="0.35">
      <c r="B1750" t="s">
        <v>787</v>
      </c>
      <c r="C1750" t="s">
        <v>788</v>
      </c>
    </row>
    <row r="1751" spans="2:3" x14ac:dyDescent="0.35">
      <c r="B1751" t="s">
        <v>656</v>
      </c>
      <c r="C1751" t="s">
        <v>657</v>
      </c>
    </row>
    <row r="1752" spans="2:3" x14ac:dyDescent="0.35">
      <c r="B1752" t="s">
        <v>573</v>
      </c>
      <c r="C1752" t="s">
        <v>574</v>
      </c>
    </row>
    <row r="1753" spans="2:3" x14ac:dyDescent="0.35">
      <c r="B1753" t="s">
        <v>963</v>
      </c>
      <c r="C1753" t="s">
        <v>964</v>
      </c>
    </row>
    <row r="1754" spans="2:3" x14ac:dyDescent="0.35">
      <c r="B1754" t="s">
        <v>174</v>
      </c>
      <c r="C1754" t="s">
        <v>175</v>
      </c>
    </row>
    <row r="1755" spans="2:3" x14ac:dyDescent="0.35">
      <c r="B1755" t="s">
        <v>285</v>
      </c>
      <c r="C1755" t="s">
        <v>286</v>
      </c>
    </row>
    <row r="1756" spans="2:3" x14ac:dyDescent="0.35">
      <c r="B1756" t="s">
        <v>543</v>
      </c>
      <c r="C1756" t="s">
        <v>544</v>
      </c>
    </row>
    <row r="1757" spans="2:3" x14ac:dyDescent="0.35">
      <c r="B1757" t="s">
        <v>664</v>
      </c>
      <c r="C1757" t="s">
        <v>665</v>
      </c>
    </row>
    <row r="1758" spans="2:3" x14ac:dyDescent="0.35">
      <c r="B1758" t="s">
        <v>523</v>
      </c>
      <c r="C1758" t="s">
        <v>524</v>
      </c>
    </row>
    <row r="1759" spans="2:3" x14ac:dyDescent="0.35">
      <c r="B1759" t="s">
        <v>787</v>
      </c>
      <c r="C1759" t="s">
        <v>788</v>
      </c>
    </row>
    <row r="1760" spans="2:3" x14ac:dyDescent="0.35">
      <c r="B1760" t="s">
        <v>1195</v>
      </c>
      <c r="C1760" t="s">
        <v>1195</v>
      </c>
    </row>
    <row r="1761" spans="2:3" x14ac:dyDescent="0.35">
      <c r="B1761" t="s">
        <v>640</v>
      </c>
      <c r="C1761" t="s">
        <v>641</v>
      </c>
    </row>
    <row r="1762" spans="2:3" x14ac:dyDescent="0.35">
      <c r="B1762" t="s">
        <v>787</v>
      </c>
      <c r="C1762" t="s">
        <v>788</v>
      </c>
    </row>
    <row r="1763" spans="2:3" x14ac:dyDescent="0.35">
      <c r="B1763" t="s">
        <v>553</v>
      </c>
      <c r="C1763" t="s">
        <v>554</v>
      </c>
    </row>
    <row r="1764" spans="2:3" x14ac:dyDescent="0.35">
      <c r="B1764" t="s">
        <v>573</v>
      </c>
      <c r="C1764" t="s">
        <v>574</v>
      </c>
    </row>
    <row r="1765" spans="2:3" x14ac:dyDescent="0.35">
      <c r="B1765" t="s">
        <v>293</v>
      </c>
      <c r="C1765" t="s">
        <v>294</v>
      </c>
    </row>
    <row r="1766" spans="2:3" x14ac:dyDescent="0.35">
      <c r="B1766" t="s">
        <v>632</v>
      </c>
      <c r="C1766" t="s">
        <v>633</v>
      </c>
    </row>
    <row r="1767" spans="2:3" x14ac:dyDescent="0.35">
      <c r="B1767" t="s">
        <v>291</v>
      </c>
      <c r="C1767" t="s">
        <v>292</v>
      </c>
    </row>
    <row r="1768" spans="2:3" x14ac:dyDescent="0.35">
      <c r="B1768" t="s">
        <v>293</v>
      </c>
      <c r="C1768" t="s">
        <v>294</v>
      </c>
    </row>
    <row r="1769" spans="2:3" x14ac:dyDescent="0.35">
      <c r="B1769" t="s">
        <v>295</v>
      </c>
      <c r="C1769" t="s">
        <v>296</v>
      </c>
    </row>
    <row r="1770" spans="2:3" x14ac:dyDescent="0.35">
      <c r="B1770" t="s">
        <v>82</v>
      </c>
      <c r="C1770" t="s">
        <v>83</v>
      </c>
    </row>
    <row r="1771" spans="2:3" x14ac:dyDescent="0.35">
      <c r="B1771" t="s">
        <v>455</v>
      </c>
      <c r="C1771" t="s">
        <v>456</v>
      </c>
    </row>
    <row r="1772" spans="2:3" x14ac:dyDescent="0.35">
      <c r="B1772" t="s">
        <v>577</v>
      </c>
      <c r="C1772" t="s">
        <v>578</v>
      </c>
    </row>
    <row r="1773" spans="2:3" x14ac:dyDescent="0.35">
      <c r="B1773" t="s">
        <v>787</v>
      </c>
      <c r="C1773" t="s">
        <v>788</v>
      </c>
    </row>
    <row r="1774" spans="2:3" x14ac:dyDescent="0.35">
      <c r="B1774" t="s">
        <v>1195</v>
      </c>
      <c r="C1774" t="s">
        <v>1195</v>
      </c>
    </row>
    <row r="1775" spans="2:3" x14ac:dyDescent="0.35">
      <c r="B1775" t="s">
        <v>787</v>
      </c>
      <c r="C1775" t="s">
        <v>788</v>
      </c>
    </row>
    <row r="1776" spans="2:3" x14ac:dyDescent="0.35">
      <c r="B1776" t="s">
        <v>160</v>
      </c>
      <c r="C1776" t="s">
        <v>161</v>
      </c>
    </row>
    <row r="1777" spans="2:3" x14ac:dyDescent="0.35">
      <c r="B1777" t="s">
        <v>787</v>
      </c>
      <c r="C1777" t="s">
        <v>788</v>
      </c>
    </row>
    <row r="1778" spans="2:3" x14ac:dyDescent="0.35">
      <c r="B1778" t="s">
        <v>531</v>
      </c>
      <c r="C1778" t="s">
        <v>532</v>
      </c>
    </row>
    <row r="1779" spans="2:3" x14ac:dyDescent="0.35">
      <c r="B1779" t="s">
        <v>599</v>
      </c>
      <c r="C1779" t="s">
        <v>600</v>
      </c>
    </row>
    <row r="1780" spans="2:3" x14ac:dyDescent="0.35">
      <c r="B1780" t="s">
        <v>583</v>
      </c>
      <c r="C1780" t="s">
        <v>584</v>
      </c>
    </row>
    <row r="1781" spans="2:3" x14ac:dyDescent="0.35">
      <c r="B1781" t="s">
        <v>178</v>
      </c>
      <c r="C1781" t="s">
        <v>179</v>
      </c>
    </row>
    <row r="1782" spans="2:3" x14ac:dyDescent="0.35">
      <c r="B1782" t="s">
        <v>662</v>
      </c>
      <c r="C1782" t="s">
        <v>663</v>
      </c>
    </row>
    <row r="1783" spans="2:3" x14ac:dyDescent="0.35">
      <c r="B1783" t="s">
        <v>489</v>
      </c>
      <c r="C1783" t="s">
        <v>490</v>
      </c>
    </row>
    <row r="1784" spans="2:3" x14ac:dyDescent="0.35">
      <c r="B1784" t="s">
        <v>787</v>
      </c>
      <c r="C1784" t="s">
        <v>788</v>
      </c>
    </row>
    <row r="1785" spans="2:3" x14ac:dyDescent="0.35">
      <c r="B1785" t="s">
        <v>787</v>
      </c>
      <c r="C1785" t="s">
        <v>788</v>
      </c>
    </row>
    <row r="1786" spans="2:3" x14ac:dyDescent="0.35">
      <c r="B1786" t="s">
        <v>455</v>
      </c>
      <c r="C1786" t="s">
        <v>456</v>
      </c>
    </row>
    <row r="1787" spans="2:3" x14ac:dyDescent="0.35">
      <c r="B1787" t="s">
        <v>703</v>
      </c>
      <c r="C1787" t="s">
        <v>704</v>
      </c>
    </row>
    <row r="1788" spans="2:3" x14ac:dyDescent="0.35">
      <c r="B1788" t="s">
        <v>577</v>
      </c>
      <c r="C1788" t="s">
        <v>578</v>
      </c>
    </row>
    <row r="1789" spans="2:3" x14ac:dyDescent="0.35">
      <c r="B1789" t="s">
        <v>787</v>
      </c>
      <c r="C1789" t="s">
        <v>788</v>
      </c>
    </row>
    <row r="1790" spans="2:3" x14ac:dyDescent="0.35">
      <c r="B1790" t="s">
        <v>1061</v>
      </c>
      <c r="C1790" t="s">
        <v>1062</v>
      </c>
    </row>
    <row r="1791" spans="2:3" x14ac:dyDescent="0.35">
      <c r="B1791" t="s">
        <v>595</v>
      </c>
      <c r="C1791" t="s">
        <v>596</v>
      </c>
    </row>
    <row r="1792" spans="2:3" x14ac:dyDescent="0.35">
      <c r="B1792" t="s">
        <v>82</v>
      </c>
      <c r="C1792" t="s">
        <v>83</v>
      </c>
    </row>
    <row r="1793" spans="2:3" x14ac:dyDescent="0.35">
      <c r="B1793" t="s">
        <v>557</v>
      </c>
      <c r="C1793" t="s">
        <v>558</v>
      </c>
    </row>
    <row r="1794" spans="2:3" x14ac:dyDescent="0.35">
      <c r="B1794" t="s">
        <v>163</v>
      </c>
      <c r="C1794" t="s">
        <v>164</v>
      </c>
    </row>
    <row r="1795" spans="2:3" x14ac:dyDescent="0.35">
      <c r="B1795" t="s">
        <v>178</v>
      </c>
      <c r="C1795" t="s">
        <v>179</v>
      </c>
    </row>
    <row r="1796" spans="2:3" x14ac:dyDescent="0.35">
      <c r="B1796" t="s">
        <v>648</v>
      </c>
      <c r="C1796" t="s">
        <v>649</v>
      </c>
    </row>
    <row r="1797" spans="2:3" x14ac:dyDescent="0.35">
      <c r="B1797" t="s">
        <v>787</v>
      </c>
      <c r="C1797" t="s">
        <v>788</v>
      </c>
    </row>
    <row r="1798" spans="2:3" x14ac:dyDescent="0.35">
      <c r="B1798" t="s">
        <v>804</v>
      </c>
      <c r="C1798" t="s">
        <v>805</v>
      </c>
    </row>
    <row r="1799" spans="2:3" x14ac:dyDescent="0.35">
      <c r="B1799" t="s">
        <v>208</v>
      </c>
      <c r="C1799" t="s">
        <v>209</v>
      </c>
    </row>
    <row r="1800" spans="2:3" x14ac:dyDescent="0.35">
      <c r="B1800" t="s">
        <v>787</v>
      </c>
      <c r="C1800" t="s">
        <v>788</v>
      </c>
    </row>
    <row r="1801" spans="2:3" x14ac:dyDescent="0.35">
      <c r="B1801" t="s">
        <v>787</v>
      </c>
      <c r="C1801" t="s">
        <v>788</v>
      </c>
    </row>
    <row r="1802" spans="2:3" x14ac:dyDescent="0.35">
      <c r="B1802" t="s">
        <v>517</v>
      </c>
      <c r="C1802" t="s">
        <v>518</v>
      </c>
    </row>
    <row r="1803" spans="2:3" x14ac:dyDescent="0.35">
      <c r="B1803" t="s">
        <v>787</v>
      </c>
      <c r="C1803" t="s">
        <v>788</v>
      </c>
    </row>
    <row r="1804" spans="2:3" x14ac:dyDescent="0.35">
      <c r="B1804" t="s">
        <v>787</v>
      </c>
      <c r="C1804" t="s">
        <v>788</v>
      </c>
    </row>
    <row r="1805" spans="2:3" x14ac:dyDescent="0.35">
      <c r="B1805" t="s">
        <v>802</v>
      </c>
      <c r="C1805" t="s">
        <v>803</v>
      </c>
    </row>
    <row r="1806" spans="2:3" x14ac:dyDescent="0.35">
      <c r="B1806" t="s">
        <v>358</v>
      </c>
      <c r="C1806" t="s">
        <v>359</v>
      </c>
    </row>
    <row r="1807" spans="2:3" x14ac:dyDescent="0.35">
      <c r="B1807" t="s">
        <v>1195</v>
      </c>
      <c r="C1807" t="s">
        <v>1195</v>
      </c>
    </row>
    <row r="1808" spans="2:3" x14ac:dyDescent="0.35">
      <c r="B1808" t="s">
        <v>531</v>
      </c>
      <c r="C1808" t="s">
        <v>532</v>
      </c>
    </row>
    <row r="1809" spans="2:3" x14ac:dyDescent="0.35">
      <c r="B1809" t="s">
        <v>293</v>
      </c>
      <c r="C1809" t="s">
        <v>294</v>
      </c>
    </row>
    <row r="1810" spans="2:3" x14ac:dyDescent="0.35">
      <c r="B1810" t="s">
        <v>219</v>
      </c>
      <c r="C1810" t="s">
        <v>220</v>
      </c>
    </row>
    <row r="1811" spans="2:3" x14ac:dyDescent="0.35">
      <c r="B1811" t="s">
        <v>533</v>
      </c>
      <c r="C1811" t="s">
        <v>534</v>
      </c>
    </row>
    <row r="1812" spans="2:3" x14ac:dyDescent="0.35">
      <c r="B1812" t="s">
        <v>787</v>
      </c>
      <c r="C1812" t="s">
        <v>788</v>
      </c>
    </row>
    <row r="1813" spans="2:3" x14ac:dyDescent="0.35">
      <c r="B1813" t="s">
        <v>787</v>
      </c>
      <c r="C1813" t="s">
        <v>788</v>
      </c>
    </row>
    <row r="1814" spans="2:3" x14ac:dyDescent="0.35">
      <c r="B1814" t="s">
        <v>529</v>
      </c>
      <c r="C1814" t="s">
        <v>530</v>
      </c>
    </row>
    <row r="1815" spans="2:3" x14ac:dyDescent="0.35">
      <c r="B1815" t="s">
        <v>652</v>
      </c>
      <c r="C1815" t="s">
        <v>653</v>
      </c>
    </row>
    <row r="1816" spans="2:3" x14ac:dyDescent="0.35">
      <c r="B1816" t="s">
        <v>963</v>
      </c>
      <c r="C1816" t="s">
        <v>964</v>
      </c>
    </row>
    <row r="1817" spans="2:3" x14ac:dyDescent="0.35">
      <c r="B1817" t="s">
        <v>874</v>
      </c>
      <c r="C1817" t="s">
        <v>875</v>
      </c>
    </row>
    <row r="1818" spans="2:3" x14ac:dyDescent="0.35">
      <c r="B1818" t="s">
        <v>208</v>
      </c>
      <c r="C1818" t="s">
        <v>209</v>
      </c>
    </row>
    <row r="1819" spans="2:3" x14ac:dyDescent="0.35">
      <c r="B1819" t="s">
        <v>208</v>
      </c>
      <c r="C1819" t="s">
        <v>209</v>
      </c>
    </row>
    <row r="1820" spans="2:3" x14ac:dyDescent="0.35">
      <c r="B1820" t="s">
        <v>465</v>
      </c>
      <c r="C1820" t="s">
        <v>466</v>
      </c>
    </row>
    <row r="1821" spans="2:3" x14ac:dyDescent="0.35">
      <c r="B1821" t="s">
        <v>208</v>
      </c>
      <c r="C1821" t="s">
        <v>209</v>
      </c>
    </row>
    <row r="1822" spans="2:3" x14ac:dyDescent="0.35">
      <c r="B1822" t="s">
        <v>787</v>
      </c>
      <c r="C1822" t="s">
        <v>788</v>
      </c>
    </row>
    <row r="1823" spans="2:3" x14ac:dyDescent="0.35">
      <c r="B1823" t="s">
        <v>1195</v>
      </c>
      <c r="C1823" t="s">
        <v>1195</v>
      </c>
    </row>
    <row r="1824" spans="2:3" x14ac:dyDescent="0.35">
      <c r="B1824" t="s">
        <v>787</v>
      </c>
      <c r="C1824" t="s">
        <v>788</v>
      </c>
    </row>
    <row r="1825" spans="2:3" x14ac:dyDescent="0.35">
      <c r="B1825" t="s">
        <v>531</v>
      </c>
      <c r="C1825" t="s">
        <v>532</v>
      </c>
    </row>
    <row r="1826" spans="2:3" x14ac:dyDescent="0.35">
      <c r="B1826" t="s">
        <v>529</v>
      </c>
      <c r="C1826" t="s">
        <v>530</v>
      </c>
    </row>
    <row r="1827" spans="2:3" x14ac:dyDescent="0.35">
      <c r="B1827" t="s">
        <v>664</v>
      </c>
      <c r="C1827" t="s">
        <v>665</v>
      </c>
    </row>
    <row r="1828" spans="2:3" x14ac:dyDescent="0.35">
      <c r="B1828" t="s">
        <v>787</v>
      </c>
      <c r="C1828" t="s">
        <v>788</v>
      </c>
    </row>
    <row r="1829" spans="2:3" x14ac:dyDescent="0.35">
      <c r="B1829" t="s">
        <v>475</v>
      </c>
      <c r="C1829" t="s">
        <v>476</v>
      </c>
    </row>
    <row r="1830" spans="2:3" x14ac:dyDescent="0.35">
      <c r="B1830" t="s">
        <v>650</v>
      </c>
      <c r="C1830" t="s">
        <v>651</v>
      </c>
    </row>
    <row r="1831" spans="2:3" x14ac:dyDescent="0.35">
      <c r="B1831" t="s">
        <v>529</v>
      </c>
      <c r="C1831" t="s">
        <v>530</v>
      </c>
    </row>
    <row r="1832" spans="2:3" x14ac:dyDescent="0.35">
      <c r="B1832" t="s">
        <v>208</v>
      </c>
      <c r="C1832" t="s">
        <v>209</v>
      </c>
    </row>
    <row r="1833" spans="2:3" x14ac:dyDescent="0.35">
      <c r="B1833" t="s">
        <v>559</v>
      </c>
      <c r="C1833" t="s">
        <v>560</v>
      </c>
    </row>
    <row r="1834" spans="2:3" x14ac:dyDescent="0.35">
      <c r="B1834" t="s">
        <v>787</v>
      </c>
      <c r="C1834" t="s">
        <v>788</v>
      </c>
    </row>
    <row r="1835" spans="2:3" x14ac:dyDescent="0.35">
      <c r="B1835" t="s">
        <v>787</v>
      </c>
      <c r="C1835" t="s">
        <v>788</v>
      </c>
    </row>
    <row r="1836" spans="2:3" x14ac:dyDescent="0.35">
      <c r="B1836" t="s">
        <v>202</v>
      </c>
      <c r="C1836" t="s">
        <v>203</v>
      </c>
    </row>
    <row r="1837" spans="2:3" x14ac:dyDescent="0.35">
      <c r="B1837" t="s">
        <v>437</v>
      </c>
      <c r="C1837" t="s">
        <v>438</v>
      </c>
    </row>
    <row r="1838" spans="2:3" x14ac:dyDescent="0.35">
      <c r="B1838" t="s">
        <v>384</v>
      </c>
      <c r="C1838" t="s">
        <v>385</v>
      </c>
    </row>
    <row r="1839" spans="2:3" x14ac:dyDescent="0.35">
      <c r="B1839" t="s">
        <v>384</v>
      </c>
      <c r="C1839" t="s">
        <v>385</v>
      </c>
    </row>
    <row r="1840" spans="2:3" x14ac:dyDescent="0.35">
      <c r="B1840" t="s">
        <v>208</v>
      </c>
      <c r="C1840" t="s">
        <v>209</v>
      </c>
    </row>
    <row r="1841" spans="2:3" x14ac:dyDescent="0.35">
      <c r="B1841" t="s">
        <v>787</v>
      </c>
      <c r="C1841" t="s">
        <v>788</v>
      </c>
    </row>
    <row r="1842" spans="2:3" x14ac:dyDescent="0.35">
      <c r="B1842" t="s">
        <v>1195</v>
      </c>
      <c r="C1842" t="s">
        <v>1195</v>
      </c>
    </row>
    <row r="1843" spans="2:3" x14ac:dyDescent="0.35">
      <c r="B1843" t="s">
        <v>787</v>
      </c>
      <c r="C1843" t="s">
        <v>788</v>
      </c>
    </row>
    <row r="1844" spans="2:3" x14ac:dyDescent="0.35">
      <c r="B1844" t="s">
        <v>787</v>
      </c>
      <c r="C1844" t="s">
        <v>788</v>
      </c>
    </row>
    <row r="1845" spans="2:3" x14ac:dyDescent="0.35">
      <c r="B1845" t="s">
        <v>537</v>
      </c>
      <c r="C1845" t="s">
        <v>538</v>
      </c>
    </row>
    <row r="1846" spans="2:3" x14ac:dyDescent="0.35">
      <c r="B1846" t="s">
        <v>577</v>
      </c>
      <c r="C1846" t="s">
        <v>578</v>
      </c>
    </row>
    <row r="1847" spans="2:3" x14ac:dyDescent="0.35">
      <c r="B1847" t="s">
        <v>260</v>
      </c>
      <c r="C1847" t="s">
        <v>261</v>
      </c>
    </row>
    <row r="1848" spans="2:3" x14ac:dyDescent="0.35">
      <c r="B1848" t="s">
        <v>577</v>
      </c>
      <c r="C1848" t="s">
        <v>578</v>
      </c>
    </row>
    <row r="1849" spans="2:3" x14ac:dyDescent="0.35">
      <c r="B1849" t="s">
        <v>105</v>
      </c>
      <c r="C1849" t="s">
        <v>106</v>
      </c>
    </row>
    <row r="1850" spans="2:3" x14ac:dyDescent="0.35">
      <c r="B1850" t="s">
        <v>652</v>
      </c>
      <c r="C1850" t="s">
        <v>653</v>
      </c>
    </row>
    <row r="1851" spans="2:3" x14ac:dyDescent="0.35">
      <c r="B1851" t="s">
        <v>316</v>
      </c>
      <c r="C1851" t="s">
        <v>317</v>
      </c>
    </row>
    <row r="1852" spans="2:3" x14ac:dyDescent="0.35">
      <c r="B1852" t="s">
        <v>90</v>
      </c>
      <c r="C1852" t="s">
        <v>91</v>
      </c>
    </row>
    <row r="1853" spans="2:3" x14ac:dyDescent="0.35">
      <c r="B1853" t="s">
        <v>202</v>
      </c>
      <c r="C1853" t="s">
        <v>203</v>
      </c>
    </row>
    <row r="1854" spans="2:3" x14ac:dyDescent="0.35">
      <c r="B1854" t="s">
        <v>787</v>
      </c>
      <c r="C1854" t="s">
        <v>788</v>
      </c>
    </row>
    <row r="1855" spans="2:3" x14ac:dyDescent="0.35">
      <c r="B1855" t="s">
        <v>787</v>
      </c>
      <c r="C1855" t="s">
        <v>788</v>
      </c>
    </row>
    <row r="1856" spans="2:3" x14ac:dyDescent="0.35">
      <c r="B1856" t="s">
        <v>1195</v>
      </c>
      <c r="C1856" t="s">
        <v>1195</v>
      </c>
    </row>
    <row r="1857" spans="2:3" x14ac:dyDescent="0.35">
      <c r="B1857" t="s">
        <v>1195</v>
      </c>
      <c r="C1857" t="s">
        <v>1195</v>
      </c>
    </row>
    <row r="1858" spans="2:3" x14ac:dyDescent="0.35">
      <c r="B1858" t="s">
        <v>1061</v>
      </c>
      <c r="C1858" t="s">
        <v>1062</v>
      </c>
    </row>
    <row r="1859" spans="2:3" x14ac:dyDescent="0.35">
      <c r="B1859" t="s">
        <v>787</v>
      </c>
      <c r="C1859" t="s">
        <v>788</v>
      </c>
    </row>
    <row r="1860" spans="2:3" x14ac:dyDescent="0.35">
      <c r="B1860" t="s">
        <v>787</v>
      </c>
      <c r="C1860" t="s">
        <v>788</v>
      </c>
    </row>
    <row r="1861" spans="2:3" x14ac:dyDescent="0.35">
      <c r="B1861" t="s">
        <v>1061</v>
      </c>
      <c r="C1861" t="s">
        <v>1062</v>
      </c>
    </row>
    <row r="1862" spans="2:3" x14ac:dyDescent="0.35">
      <c r="B1862" t="s">
        <v>1061</v>
      </c>
      <c r="C1862" t="s">
        <v>1062</v>
      </c>
    </row>
    <row r="1863" spans="2:3" x14ac:dyDescent="0.35">
      <c r="B1863" t="s">
        <v>378</v>
      </c>
      <c r="C1863" t="s">
        <v>379</v>
      </c>
    </row>
    <row r="1864" spans="2:3" x14ac:dyDescent="0.35">
      <c r="B1864" t="s">
        <v>291</v>
      </c>
      <c r="C1864" t="s">
        <v>292</v>
      </c>
    </row>
    <row r="1865" spans="2:3" x14ac:dyDescent="0.35">
      <c r="B1865" t="s">
        <v>787</v>
      </c>
      <c r="C1865" t="s">
        <v>788</v>
      </c>
    </row>
    <row r="1866" spans="2:3" x14ac:dyDescent="0.35">
      <c r="B1866" t="s">
        <v>787</v>
      </c>
      <c r="C1866" t="s">
        <v>788</v>
      </c>
    </row>
    <row r="1867" spans="2:3" x14ac:dyDescent="0.35">
      <c r="B1867" t="s">
        <v>84</v>
      </c>
      <c r="C1867" t="s">
        <v>85</v>
      </c>
    </row>
    <row r="1868" spans="2:3" x14ac:dyDescent="0.35">
      <c r="B1868" t="s">
        <v>122</v>
      </c>
      <c r="C1868" t="s">
        <v>123</v>
      </c>
    </row>
    <row r="1869" spans="2:3" x14ac:dyDescent="0.35">
      <c r="B1869" t="s">
        <v>575</v>
      </c>
      <c r="C1869" t="s">
        <v>576</v>
      </c>
    </row>
    <row r="1870" spans="2:3" x14ac:dyDescent="0.35">
      <c r="B1870" t="s">
        <v>787</v>
      </c>
      <c r="C1870" t="s">
        <v>788</v>
      </c>
    </row>
    <row r="1871" spans="2:3" x14ac:dyDescent="0.35">
      <c r="B1871" t="s">
        <v>694</v>
      </c>
      <c r="C1871" t="s">
        <v>695</v>
      </c>
    </row>
    <row r="1872" spans="2:3" x14ac:dyDescent="0.35">
      <c r="B1872" t="s">
        <v>489</v>
      </c>
      <c r="C1872" t="s">
        <v>490</v>
      </c>
    </row>
    <row r="1873" spans="2:3" x14ac:dyDescent="0.35">
      <c r="B1873" t="s">
        <v>283</v>
      </c>
      <c r="C1873" t="s">
        <v>284</v>
      </c>
    </row>
    <row r="1874" spans="2:3" x14ac:dyDescent="0.35">
      <c r="B1874" t="s">
        <v>200</v>
      </c>
      <c r="C1874" t="s">
        <v>201</v>
      </c>
    </row>
    <row r="1875" spans="2:3" x14ac:dyDescent="0.35">
      <c r="B1875" t="s">
        <v>537</v>
      </c>
      <c r="C1875" t="s">
        <v>538</v>
      </c>
    </row>
    <row r="1876" spans="2:3" x14ac:dyDescent="0.35">
      <c r="B1876" t="s">
        <v>787</v>
      </c>
      <c r="C1876" t="s">
        <v>788</v>
      </c>
    </row>
    <row r="1877" spans="2:3" x14ac:dyDescent="0.35">
      <c r="B1877" t="s">
        <v>122</v>
      </c>
      <c r="C1877" t="s">
        <v>123</v>
      </c>
    </row>
    <row r="1878" spans="2:3" x14ac:dyDescent="0.35">
      <c r="B1878" t="s">
        <v>595</v>
      </c>
      <c r="C1878" t="s">
        <v>596</v>
      </c>
    </row>
    <row r="1879" spans="2:3" x14ac:dyDescent="0.35">
      <c r="B1879" t="s">
        <v>950</v>
      </c>
      <c r="C1879" t="s">
        <v>951</v>
      </c>
    </row>
    <row r="1880" spans="2:3" x14ac:dyDescent="0.35">
      <c r="B1880" t="s">
        <v>56</v>
      </c>
      <c r="C1880" t="s">
        <v>57</v>
      </c>
    </row>
    <row r="1881" spans="2:3" x14ac:dyDescent="0.35">
      <c r="B1881" t="s">
        <v>295</v>
      </c>
      <c r="C1881" t="s">
        <v>296</v>
      </c>
    </row>
    <row r="1882" spans="2:3" x14ac:dyDescent="0.35">
      <c r="B1882" t="s">
        <v>787</v>
      </c>
      <c r="C1882" t="s">
        <v>788</v>
      </c>
    </row>
    <row r="1883" spans="2:3" x14ac:dyDescent="0.35">
      <c r="B1883" t="s">
        <v>90</v>
      </c>
      <c r="C1883" t="s">
        <v>91</v>
      </c>
    </row>
    <row r="1884" spans="2:3" x14ac:dyDescent="0.35">
      <c r="B1884" t="s">
        <v>200</v>
      </c>
      <c r="C1884" t="s">
        <v>201</v>
      </c>
    </row>
    <row r="1885" spans="2:3" x14ac:dyDescent="0.35">
      <c r="B1885" t="s">
        <v>787</v>
      </c>
      <c r="C1885" t="s">
        <v>788</v>
      </c>
    </row>
    <row r="1886" spans="2:3" x14ac:dyDescent="0.35">
      <c r="B1886" t="s">
        <v>694</v>
      </c>
      <c r="C1886" t="s">
        <v>695</v>
      </c>
    </row>
    <row r="1887" spans="2:3" x14ac:dyDescent="0.35">
      <c r="B1887" t="s">
        <v>210</v>
      </c>
      <c r="C1887" t="s">
        <v>211</v>
      </c>
    </row>
    <row r="1888" spans="2:3" x14ac:dyDescent="0.35">
      <c r="B1888" t="s">
        <v>497</v>
      </c>
      <c r="C1888" t="s">
        <v>498</v>
      </c>
    </row>
    <row r="1889" spans="2:3" x14ac:dyDescent="0.35">
      <c r="B1889" t="s">
        <v>787</v>
      </c>
      <c r="C1889" t="s">
        <v>788</v>
      </c>
    </row>
    <row r="1890" spans="2:3" x14ac:dyDescent="0.35">
      <c r="B1890" t="s">
        <v>874</v>
      </c>
      <c r="C1890" t="s">
        <v>875</v>
      </c>
    </row>
    <row r="1891" spans="2:3" x14ac:dyDescent="0.35">
      <c r="B1891" t="s">
        <v>624</v>
      </c>
      <c r="C1891" t="s">
        <v>625</v>
      </c>
    </row>
    <row r="1892" spans="2:3" x14ac:dyDescent="0.35">
      <c r="B1892" t="s">
        <v>212</v>
      </c>
      <c r="C1892" t="s">
        <v>213</v>
      </c>
    </row>
    <row r="1893" spans="2:3" x14ac:dyDescent="0.35">
      <c r="B1893" t="s">
        <v>787</v>
      </c>
      <c r="C1893" t="s">
        <v>788</v>
      </c>
    </row>
    <row r="1894" spans="2:3" x14ac:dyDescent="0.35">
      <c r="B1894" t="s">
        <v>658</v>
      </c>
      <c r="C1894" t="s">
        <v>659</v>
      </c>
    </row>
    <row r="1895" spans="2:3" x14ac:dyDescent="0.35">
      <c r="B1895" t="s">
        <v>529</v>
      </c>
      <c r="C1895" t="s">
        <v>530</v>
      </c>
    </row>
    <row r="1896" spans="2:3" x14ac:dyDescent="0.35">
      <c r="B1896" t="s">
        <v>90</v>
      </c>
      <c r="C1896" t="s">
        <v>91</v>
      </c>
    </row>
    <row r="1897" spans="2:3" x14ac:dyDescent="0.35">
      <c r="B1897" t="s">
        <v>787</v>
      </c>
      <c r="C1897" t="s">
        <v>788</v>
      </c>
    </row>
    <row r="1898" spans="2:3" x14ac:dyDescent="0.35">
      <c r="B1898" t="s">
        <v>787</v>
      </c>
      <c r="C1898" t="s">
        <v>788</v>
      </c>
    </row>
    <row r="1899" spans="2:3" x14ac:dyDescent="0.35">
      <c r="B1899" t="s">
        <v>787</v>
      </c>
      <c r="C1899" t="s">
        <v>788</v>
      </c>
    </row>
    <row r="1900" spans="2:3" x14ac:dyDescent="0.35">
      <c r="B1900" t="s">
        <v>787</v>
      </c>
      <c r="C1900" t="s">
        <v>788</v>
      </c>
    </row>
    <row r="1901" spans="2:3" x14ac:dyDescent="0.35">
      <c r="B1901" t="s">
        <v>1195</v>
      </c>
      <c r="C1901" t="s">
        <v>1195</v>
      </c>
    </row>
    <row r="1902" spans="2:3" x14ac:dyDescent="0.35">
      <c r="B1902" t="s">
        <v>571</v>
      </c>
      <c r="C1902" t="s">
        <v>572</v>
      </c>
    </row>
    <row r="1903" spans="2:3" x14ac:dyDescent="0.35">
      <c r="B1903" t="s">
        <v>273</v>
      </c>
      <c r="C1903" t="s">
        <v>274</v>
      </c>
    </row>
    <row r="1904" spans="2:3" x14ac:dyDescent="0.35">
      <c r="B1904" t="s">
        <v>787</v>
      </c>
      <c r="C1904" t="s">
        <v>788</v>
      </c>
    </row>
    <row r="1905" spans="2:3" x14ac:dyDescent="0.35">
      <c r="B1905" t="s">
        <v>322</v>
      </c>
      <c r="C1905" t="s">
        <v>323</v>
      </c>
    </row>
    <row r="1906" spans="2:3" x14ac:dyDescent="0.35">
      <c r="B1906" t="s">
        <v>202</v>
      </c>
      <c r="C1906" t="s">
        <v>203</v>
      </c>
    </row>
    <row r="1907" spans="2:3" x14ac:dyDescent="0.35">
      <c r="B1907" t="s">
        <v>297</v>
      </c>
      <c r="C1907" t="s">
        <v>298</v>
      </c>
    </row>
    <row r="1908" spans="2:3" x14ac:dyDescent="0.35">
      <c r="B1908" t="s">
        <v>384</v>
      </c>
      <c r="C1908" t="s">
        <v>385</v>
      </c>
    </row>
    <row r="1909" spans="2:3" x14ac:dyDescent="0.35">
      <c r="B1909" t="s">
        <v>787</v>
      </c>
      <c r="C1909" t="s">
        <v>788</v>
      </c>
    </row>
    <row r="1910" spans="2:3" x14ac:dyDescent="0.35">
      <c r="B1910" t="s">
        <v>676</v>
      </c>
      <c r="C1910" t="s">
        <v>677</v>
      </c>
    </row>
    <row r="1911" spans="2:3" x14ac:dyDescent="0.35">
      <c r="B1911" t="s">
        <v>658</v>
      </c>
      <c r="C1911" t="s">
        <v>659</v>
      </c>
    </row>
    <row r="1912" spans="2:3" x14ac:dyDescent="0.35">
      <c r="B1912" t="s">
        <v>557</v>
      </c>
      <c r="C1912" t="s">
        <v>558</v>
      </c>
    </row>
    <row r="1913" spans="2:3" x14ac:dyDescent="0.35">
      <c r="B1913" t="s">
        <v>787</v>
      </c>
      <c r="C1913" t="s">
        <v>788</v>
      </c>
    </row>
    <row r="1914" spans="2:3" x14ac:dyDescent="0.35">
      <c r="B1914" t="s">
        <v>787</v>
      </c>
      <c r="C1914" t="s">
        <v>788</v>
      </c>
    </row>
    <row r="1915" spans="2:3" x14ac:dyDescent="0.35">
      <c r="B1915" t="s">
        <v>787</v>
      </c>
      <c r="C1915" t="s">
        <v>788</v>
      </c>
    </row>
    <row r="1916" spans="2:3" x14ac:dyDescent="0.35">
      <c r="B1916" t="s">
        <v>208</v>
      </c>
      <c r="C1916" t="s">
        <v>209</v>
      </c>
    </row>
    <row r="1917" spans="2:3" x14ac:dyDescent="0.35">
      <c r="B1917" t="s">
        <v>344</v>
      </c>
      <c r="C1917" t="s">
        <v>345</v>
      </c>
    </row>
    <row r="1918" spans="2:3" x14ac:dyDescent="0.35">
      <c r="B1918" t="s">
        <v>537</v>
      </c>
      <c r="C1918" t="s">
        <v>538</v>
      </c>
    </row>
    <row r="1919" spans="2:3" x14ac:dyDescent="0.35">
      <c r="B1919" t="s">
        <v>787</v>
      </c>
      <c r="C1919" t="s">
        <v>788</v>
      </c>
    </row>
    <row r="1920" spans="2:3" x14ac:dyDescent="0.35">
      <c r="B1920" t="s">
        <v>559</v>
      </c>
      <c r="C1920" t="s">
        <v>560</v>
      </c>
    </row>
    <row r="1921" spans="2:3" x14ac:dyDescent="0.35">
      <c r="B1921" t="s">
        <v>463</v>
      </c>
      <c r="C1921" t="s">
        <v>464</v>
      </c>
    </row>
    <row r="1922" spans="2:3" x14ac:dyDescent="0.35">
      <c r="B1922" t="s">
        <v>208</v>
      </c>
      <c r="C1922" t="s">
        <v>209</v>
      </c>
    </row>
    <row r="1923" spans="2:3" x14ac:dyDescent="0.35">
      <c r="B1923" t="s">
        <v>787</v>
      </c>
      <c r="C1923" t="s">
        <v>788</v>
      </c>
    </row>
    <row r="1924" spans="2:3" x14ac:dyDescent="0.35">
      <c r="B1924" t="s">
        <v>787</v>
      </c>
      <c r="C1924" t="s">
        <v>788</v>
      </c>
    </row>
    <row r="1925" spans="2:3" x14ac:dyDescent="0.35">
      <c r="B1925" t="s">
        <v>787</v>
      </c>
      <c r="C1925" t="s">
        <v>788</v>
      </c>
    </row>
    <row r="1926" spans="2:3" x14ac:dyDescent="0.35">
      <c r="B1926" t="s">
        <v>212</v>
      </c>
      <c r="C1926" t="s">
        <v>213</v>
      </c>
    </row>
    <row r="1927" spans="2:3" x14ac:dyDescent="0.35">
      <c r="B1927" t="s">
        <v>178</v>
      </c>
      <c r="C1927" t="s">
        <v>179</v>
      </c>
    </row>
    <row r="1928" spans="2:3" x14ac:dyDescent="0.35">
      <c r="B1928" t="s">
        <v>537</v>
      </c>
      <c r="C1928" t="s">
        <v>538</v>
      </c>
    </row>
    <row r="1929" spans="2:3" x14ac:dyDescent="0.35">
      <c r="B1929" t="s">
        <v>787</v>
      </c>
      <c r="C1929" t="s">
        <v>788</v>
      </c>
    </row>
    <row r="1930" spans="2:3" x14ac:dyDescent="0.35">
      <c r="B1930" t="s">
        <v>131</v>
      </c>
      <c r="C1930" t="s">
        <v>132</v>
      </c>
    </row>
    <row r="1931" spans="2:3" x14ac:dyDescent="0.35">
      <c r="B1931" t="s">
        <v>648</v>
      </c>
      <c r="C1931" t="s">
        <v>649</v>
      </c>
    </row>
    <row r="1932" spans="2:3" x14ac:dyDescent="0.35">
      <c r="B1932" t="s">
        <v>787</v>
      </c>
      <c r="C1932" t="s">
        <v>788</v>
      </c>
    </row>
    <row r="1933" spans="2:3" x14ac:dyDescent="0.35">
      <c r="B1933" t="s">
        <v>232</v>
      </c>
      <c r="C1933" t="s">
        <v>233</v>
      </c>
    </row>
    <row r="1934" spans="2:3" x14ac:dyDescent="0.35">
      <c r="B1934" t="s">
        <v>700</v>
      </c>
      <c r="C1934" t="s">
        <v>701</v>
      </c>
    </row>
    <row r="1935" spans="2:3" x14ac:dyDescent="0.35">
      <c r="B1935" t="s">
        <v>547</v>
      </c>
      <c r="C1935" t="s">
        <v>548</v>
      </c>
    </row>
    <row r="1936" spans="2:3" x14ac:dyDescent="0.35">
      <c r="B1936" t="s">
        <v>174</v>
      </c>
      <c r="C1936" t="s">
        <v>175</v>
      </c>
    </row>
    <row r="1937" spans="2:3" x14ac:dyDescent="0.35">
      <c r="B1937" t="s">
        <v>1195</v>
      </c>
      <c r="C1937" t="s">
        <v>1195</v>
      </c>
    </row>
    <row r="1938" spans="2:3" x14ac:dyDescent="0.35">
      <c r="B1938" t="s">
        <v>787</v>
      </c>
      <c r="C1938" t="s">
        <v>788</v>
      </c>
    </row>
    <row r="1939" spans="2:3" x14ac:dyDescent="0.35">
      <c r="B1939" t="s">
        <v>787</v>
      </c>
      <c r="C1939" t="s">
        <v>788</v>
      </c>
    </row>
    <row r="1940" spans="2:3" x14ac:dyDescent="0.35">
      <c r="B1940" t="s">
        <v>174</v>
      </c>
      <c r="C1940" t="s">
        <v>175</v>
      </c>
    </row>
    <row r="1941" spans="2:3" x14ac:dyDescent="0.35">
      <c r="B1941" t="s">
        <v>531</v>
      </c>
      <c r="C1941" t="s">
        <v>532</v>
      </c>
    </row>
    <row r="1942" spans="2:3" x14ac:dyDescent="0.35">
      <c r="B1942" t="s">
        <v>200</v>
      </c>
      <c r="C1942" t="s">
        <v>201</v>
      </c>
    </row>
    <row r="1943" spans="2:3" x14ac:dyDescent="0.35">
      <c r="B1943" t="s">
        <v>1195</v>
      </c>
      <c r="C1943" t="s">
        <v>1195</v>
      </c>
    </row>
    <row r="1944" spans="2:3" x14ac:dyDescent="0.35">
      <c r="B1944" t="s">
        <v>378</v>
      </c>
      <c r="C1944" t="s">
        <v>379</v>
      </c>
    </row>
    <row r="1945" spans="2:3" x14ac:dyDescent="0.35">
      <c r="B1945" t="s">
        <v>527</v>
      </c>
      <c r="C1945" t="s">
        <v>528</v>
      </c>
    </row>
    <row r="1946" spans="2:3" x14ac:dyDescent="0.35">
      <c r="B1946" t="s">
        <v>787</v>
      </c>
      <c r="C1946" t="s">
        <v>788</v>
      </c>
    </row>
    <row r="1947" spans="2:3" x14ac:dyDescent="0.35">
      <c r="B1947" t="s">
        <v>384</v>
      </c>
      <c r="C1947" t="s">
        <v>385</v>
      </c>
    </row>
    <row r="1948" spans="2:3" x14ac:dyDescent="0.35">
      <c r="B1948" t="s">
        <v>258</v>
      </c>
      <c r="C1948" t="s">
        <v>259</v>
      </c>
    </row>
    <row r="1949" spans="2:3" x14ac:dyDescent="0.35">
      <c r="B1949" t="s">
        <v>700</v>
      </c>
      <c r="C1949" t="s">
        <v>701</v>
      </c>
    </row>
    <row r="1950" spans="2:3" x14ac:dyDescent="0.35">
      <c r="B1950" t="s">
        <v>583</v>
      </c>
      <c r="C1950" t="s">
        <v>584</v>
      </c>
    </row>
    <row r="1951" spans="2:3" x14ac:dyDescent="0.35">
      <c r="B1951" t="s">
        <v>295</v>
      </c>
      <c r="C1951" t="s">
        <v>296</v>
      </c>
    </row>
    <row r="1952" spans="2:3" x14ac:dyDescent="0.35">
      <c r="B1952" t="s">
        <v>200</v>
      </c>
      <c r="C1952" t="s">
        <v>201</v>
      </c>
    </row>
    <row r="1953" spans="2:3" x14ac:dyDescent="0.35">
      <c r="B1953" t="s">
        <v>1061</v>
      </c>
      <c r="C1953" t="s">
        <v>1062</v>
      </c>
    </row>
    <row r="1954" spans="2:3" x14ac:dyDescent="0.35">
      <c r="B1954" t="s">
        <v>963</v>
      </c>
      <c r="C1954" t="s">
        <v>964</v>
      </c>
    </row>
    <row r="1955" spans="2:3" x14ac:dyDescent="0.35">
      <c r="B1955" t="s">
        <v>537</v>
      </c>
      <c r="C1955" t="s">
        <v>538</v>
      </c>
    </row>
    <row r="1956" spans="2:3" x14ac:dyDescent="0.35">
      <c r="B1956" t="s">
        <v>105</v>
      </c>
      <c r="C1956" t="s">
        <v>106</v>
      </c>
    </row>
    <row r="1957" spans="2:3" x14ac:dyDescent="0.35">
      <c r="B1957" t="s">
        <v>787</v>
      </c>
      <c r="C1957" t="s">
        <v>788</v>
      </c>
    </row>
    <row r="1958" spans="2:3" x14ac:dyDescent="0.35">
      <c r="B1958" t="s">
        <v>618</v>
      </c>
      <c r="C1958" t="s">
        <v>619</v>
      </c>
    </row>
    <row r="1959" spans="2:3" x14ac:dyDescent="0.35">
      <c r="B1959" t="s">
        <v>640</v>
      </c>
      <c r="C1959" t="s">
        <v>641</v>
      </c>
    </row>
    <row r="1960" spans="2:3" x14ac:dyDescent="0.35">
      <c r="B1960" t="s">
        <v>210</v>
      </c>
      <c r="C1960" t="s">
        <v>211</v>
      </c>
    </row>
    <row r="1961" spans="2:3" x14ac:dyDescent="0.35">
      <c r="B1961" t="s">
        <v>963</v>
      </c>
      <c r="C1961" t="s">
        <v>964</v>
      </c>
    </row>
    <row r="1962" spans="2:3" x14ac:dyDescent="0.35">
      <c r="B1962" t="s">
        <v>208</v>
      </c>
      <c r="C1962" t="s">
        <v>209</v>
      </c>
    </row>
    <row r="1963" spans="2:3" x14ac:dyDescent="0.35">
      <c r="B1963" t="s">
        <v>90</v>
      </c>
      <c r="C1963" t="s">
        <v>91</v>
      </c>
    </row>
    <row r="1964" spans="2:3" x14ac:dyDescent="0.35">
      <c r="B1964" t="s">
        <v>163</v>
      </c>
      <c r="C1964" t="s">
        <v>164</v>
      </c>
    </row>
    <row r="1965" spans="2:3" x14ac:dyDescent="0.35">
      <c r="B1965" t="s">
        <v>674</v>
      </c>
      <c r="C1965" t="s">
        <v>675</v>
      </c>
    </row>
    <row r="1966" spans="2:3" x14ac:dyDescent="0.35">
      <c r="B1966" t="s">
        <v>232</v>
      </c>
      <c r="C1966" t="s">
        <v>233</v>
      </c>
    </row>
    <row r="1967" spans="2:3" x14ac:dyDescent="0.35">
      <c r="B1967" t="s">
        <v>658</v>
      </c>
      <c r="C1967" t="s">
        <v>659</v>
      </c>
    </row>
    <row r="1968" spans="2:3" x14ac:dyDescent="0.35">
      <c r="B1968" t="s">
        <v>232</v>
      </c>
      <c r="C1968" t="s">
        <v>233</v>
      </c>
    </row>
    <row r="1969" spans="2:3" x14ac:dyDescent="0.35">
      <c r="B1969" t="s">
        <v>295</v>
      </c>
      <c r="C1969" t="s">
        <v>296</v>
      </c>
    </row>
    <row r="1970" spans="2:3" x14ac:dyDescent="0.35">
      <c r="B1970" t="s">
        <v>593</v>
      </c>
      <c r="C1970" t="s">
        <v>594</v>
      </c>
    </row>
    <row r="1971" spans="2:3" x14ac:dyDescent="0.35">
      <c r="B1971" t="s">
        <v>437</v>
      </c>
      <c r="C1971" t="s">
        <v>438</v>
      </c>
    </row>
    <row r="1972" spans="2:3" x14ac:dyDescent="0.35">
      <c r="B1972" t="s">
        <v>787</v>
      </c>
      <c r="C1972" t="s">
        <v>788</v>
      </c>
    </row>
    <row r="1973" spans="2:3" x14ac:dyDescent="0.35">
      <c r="B1973" t="s">
        <v>866</v>
      </c>
      <c r="C1973" t="s">
        <v>867</v>
      </c>
    </row>
    <row r="1974" spans="2:3" x14ac:dyDescent="0.35">
      <c r="B1974" t="s">
        <v>787</v>
      </c>
      <c r="C1974" t="s">
        <v>788</v>
      </c>
    </row>
    <row r="1975" spans="2:3" x14ac:dyDescent="0.35">
      <c r="B1975" t="s">
        <v>787</v>
      </c>
      <c r="C1975" t="s">
        <v>788</v>
      </c>
    </row>
    <row r="1976" spans="2:3" x14ac:dyDescent="0.35">
      <c r="B1976" t="s">
        <v>787</v>
      </c>
      <c r="C1976" t="s">
        <v>788</v>
      </c>
    </row>
    <row r="1977" spans="2:3" x14ac:dyDescent="0.35">
      <c r="B1977" t="s">
        <v>787</v>
      </c>
      <c r="C1977" t="s">
        <v>788</v>
      </c>
    </row>
    <row r="1978" spans="2:3" x14ac:dyDescent="0.35">
      <c r="B1978" t="s">
        <v>208</v>
      </c>
      <c r="C1978" t="s">
        <v>209</v>
      </c>
    </row>
    <row r="1979" spans="2:3" x14ac:dyDescent="0.35">
      <c r="B1979" t="s">
        <v>787</v>
      </c>
      <c r="C1979" t="s">
        <v>788</v>
      </c>
    </row>
    <row r="1980" spans="2:3" x14ac:dyDescent="0.35">
      <c r="B1980" t="s">
        <v>787</v>
      </c>
      <c r="C1980" t="s">
        <v>788</v>
      </c>
    </row>
    <row r="1981" spans="2:3" x14ac:dyDescent="0.35">
      <c r="B1981" t="s">
        <v>787</v>
      </c>
      <c r="C1981" t="s">
        <v>788</v>
      </c>
    </row>
    <row r="1982" spans="2:3" x14ac:dyDescent="0.35">
      <c r="B1982" t="s">
        <v>84</v>
      </c>
      <c r="C1982" t="s">
        <v>85</v>
      </c>
    </row>
    <row r="1983" spans="2:3" x14ac:dyDescent="0.35">
      <c r="B1983" t="s">
        <v>549</v>
      </c>
      <c r="C1983" t="s">
        <v>550</v>
      </c>
    </row>
    <row r="1984" spans="2:3" x14ac:dyDescent="0.35">
      <c r="B1984" t="s">
        <v>961</v>
      </c>
      <c r="C1984" t="s">
        <v>962</v>
      </c>
    </row>
    <row r="1985" spans="2:3" x14ac:dyDescent="0.35">
      <c r="B1985" t="s">
        <v>1061</v>
      </c>
      <c r="C1985" t="s">
        <v>1062</v>
      </c>
    </row>
    <row r="1986" spans="2:3" x14ac:dyDescent="0.35">
      <c r="B1986" t="s">
        <v>595</v>
      </c>
      <c r="C1986" t="s">
        <v>596</v>
      </c>
    </row>
    <row r="1987" spans="2:3" x14ac:dyDescent="0.35">
      <c r="B1987" t="s">
        <v>700</v>
      </c>
      <c r="C1987" t="s">
        <v>701</v>
      </c>
    </row>
    <row r="1988" spans="2:3" x14ac:dyDescent="0.35">
      <c r="B1988" t="s">
        <v>601</v>
      </c>
      <c r="C1988" t="s">
        <v>602</v>
      </c>
    </row>
    <row r="1989" spans="2:3" x14ac:dyDescent="0.35">
      <c r="B1989" t="s">
        <v>559</v>
      </c>
      <c r="C1989" t="s">
        <v>560</v>
      </c>
    </row>
    <row r="1990" spans="2:3" x14ac:dyDescent="0.35">
      <c r="B1990" t="s">
        <v>559</v>
      </c>
      <c r="C1990" t="s">
        <v>560</v>
      </c>
    </row>
    <row r="1991" spans="2:3" x14ac:dyDescent="0.35">
      <c r="B1991" t="s">
        <v>1195</v>
      </c>
      <c r="C1991" t="s">
        <v>1195</v>
      </c>
    </row>
    <row r="1992" spans="2:3" x14ac:dyDescent="0.35">
      <c r="B1992" t="s">
        <v>700</v>
      </c>
      <c r="C1992" t="s">
        <v>701</v>
      </c>
    </row>
    <row r="1993" spans="2:3" x14ac:dyDescent="0.35">
      <c r="B1993" t="s">
        <v>176</v>
      </c>
      <c r="C1993" t="s">
        <v>177</v>
      </c>
    </row>
    <row r="1994" spans="2:3" x14ac:dyDescent="0.35">
      <c r="B1994" t="s">
        <v>642</v>
      </c>
      <c r="C1994" t="s">
        <v>643</v>
      </c>
    </row>
    <row r="1995" spans="2:3" x14ac:dyDescent="0.35">
      <c r="B1995" t="s">
        <v>1061</v>
      </c>
      <c r="C1995" t="s">
        <v>1062</v>
      </c>
    </row>
    <row r="1996" spans="2:3" x14ac:dyDescent="0.35">
      <c r="B1996" t="s">
        <v>787</v>
      </c>
      <c r="C1996" t="s">
        <v>788</v>
      </c>
    </row>
    <row r="1997" spans="2:3" x14ac:dyDescent="0.35">
      <c r="B1997" t="s">
        <v>787</v>
      </c>
      <c r="C1997" t="s">
        <v>788</v>
      </c>
    </row>
    <row r="1998" spans="2:3" x14ac:dyDescent="0.35">
      <c r="B1998" t="s">
        <v>694</v>
      </c>
      <c r="C1998" t="s">
        <v>695</v>
      </c>
    </row>
    <row r="1999" spans="2:3" x14ac:dyDescent="0.35">
      <c r="B1999" t="s">
        <v>437</v>
      </c>
      <c r="C1999" t="s">
        <v>438</v>
      </c>
    </row>
    <row r="2000" spans="2:3" x14ac:dyDescent="0.35">
      <c r="B2000" t="s">
        <v>622</v>
      </c>
      <c r="C2000" t="s">
        <v>623</v>
      </c>
    </row>
    <row r="2001" spans="2:3" x14ac:dyDescent="0.35">
      <c r="B2001" t="s">
        <v>202</v>
      </c>
      <c r="C2001" t="s">
        <v>203</v>
      </c>
    </row>
    <row r="2002" spans="2:3" x14ac:dyDescent="0.35">
      <c r="B2002" t="s">
        <v>122</v>
      </c>
      <c r="C2002" t="s">
        <v>123</v>
      </c>
    </row>
    <row r="2003" spans="2:3" x14ac:dyDescent="0.35">
      <c r="B2003" t="s">
        <v>212</v>
      </c>
      <c r="C2003" t="s">
        <v>213</v>
      </c>
    </row>
    <row r="2004" spans="2:3" x14ac:dyDescent="0.35">
      <c r="B2004" t="s">
        <v>787</v>
      </c>
      <c r="C2004" t="s">
        <v>788</v>
      </c>
    </row>
    <row r="2005" spans="2:3" x14ac:dyDescent="0.35">
      <c r="B2005" t="s">
        <v>787</v>
      </c>
      <c r="C2005" t="s">
        <v>788</v>
      </c>
    </row>
    <row r="2006" spans="2:3" x14ac:dyDescent="0.35">
      <c r="B2006" t="s">
        <v>787</v>
      </c>
      <c r="C2006" t="s">
        <v>788</v>
      </c>
    </row>
    <row r="2007" spans="2:3" x14ac:dyDescent="0.35">
      <c r="B2007" t="s">
        <v>787</v>
      </c>
      <c r="C2007" t="s">
        <v>788</v>
      </c>
    </row>
    <row r="2008" spans="2:3" x14ac:dyDescent="0.35">
      <c r="B2008" t="s">
        <v>804</v>
      </c>
      <c r="C2008" t="s">
        <v>805</v>
      </c>
    </row>
    <row r="2009" spans="2:3" x14ac:dyDescent="0.35">
      <c r="B2009" t="s">
        <v>787</v>
      </c>
      <c r="C2009" t="s">
        <v>788</v>
      </c>
    </row>
    <row r="2010" spans="2:3" x14ac:dyDescent="0.35">
      <c r="B2010" t="s">
        <v>1195</v>
      </c>
      <c r="C2010" t="s">
        <v>1195</v>
      </c>
    </row>
    <row r="2011" spans="2:3" x14ac:dyDescent="0.35">
      <c r="B2011" t="s">
        <v>545</v>
      </c>
      <c r="C2011" t="s">
        <v>546</v>
      </c>
    </row>
    <row r="2012" spans="2:3" x14ac:dyDescent="0.35">
      <c r="B2012" t="s">
        <v>208</v>
      </c>
      <c r="C2012" t="s">
        <v>209</v>
      </c>
    </row>
    <row r="2013" spans="2:3" x14ac:dyDescent="0.35">
      <c r="B2013" t="s">
        <v>591</v>
      </c>
      <c r="C2013" t="s">
        <v>592</v>
      </c>
    </row>
    <row r="2014" spans="2:3" x14ac:dyDescent="0.35">
      <c r="B2014" t="s">
        <v>662</v>
      </c>
      <c r="C2014" t="s">
        <v>663</v>
      </c>
    </row>
    <row r="2015" spans="2:3" x14ac:dyDescent="0.35">
      <c r="B2015" t="s">
        <v>378</v>
      </c>
      <c r="C2015" t="s">
        <v>379</v>
      </c>
    </row>
    <row r="2016" spans="2:3" x14ac:dyDescent="0.35">
      <c r="B2016" t="s">
        <v>200</v>
      </c>
      <c r="C2016" t="s">
        <v>201</v>
      </c>
    </row>
    <row r="2017" spans="2:3" x14ac:dyDescent="0.35">
      <c r="B2017" t="s">
        <v>787</v>
      </c>
      <c r="C2017" t="s">
        <v>788</v>
      </c>
    </row>
    <row r="2018" spans="2:3" x14ac:dyDescent="0.35">
      <c r="B2018" t="s">
        <v>537</v>
      </c>
      <c r="C2018" t="s">
        <v>538</v>
      </c>
    </row>
    <row r="2019" spans="2:3" x14ac:dyDescent="0.35">
      <c r="B2019" t="s">
        <v>692</v>
      </c>
      <c r="C2019" t="s">
        <v>693</v>
      </c>
    </row>
    <row r="2020" spans="2:3" x14ac:dyDescent="0.35">
      <c r="B2020" t="s">
        <v>254</v>
      </c>
      <c r="C2020" t="s">
        <v>255</v>
      </c>
    </row>
    <row r="2021" spans="2:3" x14ac:dyDescent="0.35">
      <c r="B2021" t="s">
        <v>963</v>
      </c>
      <c r="C2021" t="s">
        <v>964</v>
      </c>
    </row>
    <row r="2022" spans="2:3" x14ac:dyDescent="0.35">
      <c r="B2022" t="s">
        <v>529</v>
      </c>
      <c r="C2022" t="s">
        <v>530</v>
      </c>
    </row>
    <row r="2023" spans="2:3" x14ac:dyDescent="0.35">
      <c r="B2023" t="s">
        <v>291</v>
      </c>
      <c r="C2023" t="s">
        <v>292</v>
      </c>
    </row>
    <row r="2024" spans="2:3" x14ac:dyDescent="0.35">
      <c r="B2024" t="s">
        <v>299</v>
      </c>
      <c r="C2024" t="s">
        <v>300</v>
      </c>
    </row>
    <row r="2025" spans="2:3" x14ac:dyDescent="0.35">
      <c r="B2025" t="s">
        <v>455</v>
      </c>
      <c r="C2025" t="s">
        <v>456</v>
      </c>
    </row>
    <row r="2026" spans="2:3" x14ac:dyDescent="0.35">
      <c r="B2026" t="s">
        <v>453</v>
      </c>
      <c r="C2026" t="s">
        <v>454</v>
      </c>
    </row>
    <row r="2027" spans="2:3" x14ac:dyDescent="0.35">
      <c r="B2027" t="s">
        <v>787</v>
      </c>
      <c r="C2027" t="s">
        <v>788</v>
      </c>
    </row>
    <row r="2028" spans="2:3" x14ac:dyDescent="0.35">
      <c r="B2028" t="s">
        <v>571</v>
      </c>
      <c r="C2028" t="s">
        <v>572</v>
      </c>
    </row>
    <row r="2029" spans="2:3" x14ac:dyDescent="0.35">
      <c r="B2029" t="s">
        <v>700</v>
      </c>
      <c r="C2029" t="s">
        <v>701</v>
      </c>
    </row>
    <row r="2030" spans="2:3" x14ac:dyDescent="0.35">
      <c r="B2030" t="s">
        <v>90</v>
      </c>
      <c r="C2030" t="s">
        <v>91</v>
      </c>
    </row>
    <row r="2031" spans="2:3" x14ac:dyDescent="0.35">
      <c r="B2031" t="s">
        <v>543</v>
      </c>
      <c r="C2031" t="s">
        <v>544</v>
      </c>
    </row>
    <row r="2032" spans="2:3" x14ac:dyDescent="0.35">
      <c r="B2032" t="s">
        <v>787</v>
      </c>
      <c r="C2032" t="s">
        <v>788</v>
      </c>
    </row>
    <row r="2033" spans="2:3" x14ac:dyDescent="0.35">
      <c r="B2033" t="s">
        <v>787</v>
      </c>
      <c r="C2033" t="s">
        <v>788</v>
      </c>
    </row>
    <row r="2034" spans="2:3" x14ac:dyDescent="0.35">
      <c r="B2034" t="s">
        <v>787</v>
      </c>
      <c r="C2034" t="s">
        <v>788</v>
      </c>
    </row>
    <row r="2035" spans="2:3" x14ac:dyDescent="0.35">
      <c r="B2035" t="s">
        <v>787</v>
      </c>
      <c r="C2035" t="s">
        <v>788</v>
      </c>
    </row>
    <row r="2036" spans="2:3" x14ac:dyDescent="0.35">
      <c r="B2036" t="s">
        <v>577</v>
      </c>
      <c r="C2036" t="s">
        <v>578</v>
      </c>
    </row>
    <row r="2037" spans="2:3" x14ac:dyDescent="0.35">
      <c r="B2037" t="s">
        <v>787</v>
      </c>
      <c r="C2037" t="s">
        <v>788</v>
      </c>
    </row>
    <row r="2038" spans="2:3" x14ac:dyDescent="0.35">
      <c r="B2038" t="s">
        <v>650</v>
      </c>
      <c r="C2038" t="s">
        <v>651</v>
      </c>
    </row>
    <row r="2039" spans="2:3" x14ac:dyDescent="0.35">
      <c r="B2039" t="s">
        <v>642</v>
      </c>
      <c r="C2039" t="s">
        <v>643</v>
      </c>
    </row>
    <row r="2040" spans="2:3" x14ac:dyDescent="0.35">
      <c r="B2040" t="s">
        <v>587</v>
      </c>
      <c r="C2040" t="s">
        <v>588</v>
      </c>
    </row>
    <row r="2041" spans="2:3" x14ac:dyDescent="0.35">
      <c r="B2041" t="s">
        <v>787</v>
      </c>
      <c r="C2041" t="s">
        <v>788</v>
      </c>
    </row>
    <row r="2042" spans="2:3" x14ac:dyDescent="0.35">
      <c r="B2042" t="s">
        <v>84</v>
      </c>
      <c r="C2042" t="s">
        <v>85</v>
      </c>
    </row>
    <row r="2043" spans="2:3" x14ac:dyDescent="0.35">
      <c r="B2043" t="s">
        <v>694</v>
      </c>
      <c r="C2043" t="s">
        <v>695</v>
      </c>
    </row>
    <row r="2044" spans="2:3" x14ac:dyDescent="0.35">
      <c r="B2044" t="s">
        <v>618</v>
      </c>
      <c r="C2044" t="s">
        <v>619</v>
      </c>
    </row>
    <row r="2045" spans="2:3" x14ac:dyDescent="0.35">
      <c r="B2045" t="s">
        <v>963</v>
      </c>
      <c r="C2045" t="s">
        <v>964</v>
      </c>
    </row>
    <row r="2046" spans="2:3" x14ac:dyDescent="0.35">
      <c r="B2046" t="s">
        <v>384</v>
      </c>
      <c r="C2046" t="s">
        <v>385</v>
      </c>
    </row>
    <row r="2047" spans="2:3" x14ac:dyDescent="0.35">
      <c r="B2047" t="s">
        <v>787</v>
      </c>
      <c r="C2047" t="s">
        <v>788</v>
      </c>
    </row>
    <row r="2048" spans="2:3" x14ac:dyDescent="0.35">
      <c r="B2048" t="s">
        <v>787</v>
      </c>
      <c r="C2048" t="s">
        <v>788</v>
      </c>
    </row>
    <row r="2049" spans="2:3" x14ac:dyDescent="0.35">
      <c r="B2049" t="s">
        <v>503</v>
      </c>
      <c r="C2049" t="s">
        <v>504</v>
      </c>
    </row>
    <row r="2050" spans="2:3" x14ac:dyDescent="0.35">
      <c r="B2050" t="s">
        <v>46</v>
      </c>
      <c r="C2050" t="s">
        <v>47</v>
      </c>
    </row>
    <row r="2051" spans="2:3" x14ac:dyDescent="0.35">
      <c r="B2051" t="s">
        <v>787</v>
      </c>
      <c r="C2051" t="s">
        <v>788</v>
      </c>
    </row>
    <row r="2052" spans="2:3" x14ac:dyDescent="0.35">
      <c r="B2052" t="s">
        <v>700</v>
      </c>
      <c r="C2052" t="s">
        <v>701</v>
      </c>
    </row>
    <row r="2053" spans="2:3" x14ac:dyDescent="0.35">
      <c r="B2053" t="s">
        <v>787</v>
      </c>
      <c r="C2053" t="s">
        <v>788</v>
      </c>
    </row>
    <row r="2054" spans="2:3" x14ac:dyDescent="0.35">
      <c r="B2054" t="s">
        <v>467</v>
      </c>
      <c r="C2054" t="s">
        <v>468</v>
      </c>
    </row>
    <row r="2055" spans="2:3" x14ac:dyDescent="0.35">
      <c r="B2055" t="s">
        <v>642</v>
      </c>
      <c r="C2055" t="s">
        <v>643</v>
      </c>
    </row>
    <row r="2056" spans="2:3" x14ac:dyDescent="0.35">
      <c r="B2056" t="s">
        <v>648</v>
      </c>
      <c r="C2056" t="s">
        <v>649</v>
      </c>
    </row>
    <row r="2057" spans="2:3" x14ac:dyDescent="0.35">
      <c r="B2057" t="s">
        <v>577</v>
      </c>
      <c r="C2057" t="s">
        <v>578</v>
      </c>
    </row>
    <row r="2058" spans="2:3" x14ac:dyDescent="0.35">
      <c r="B2058" t="s">
        <v>523</v>
      </c>
      <c r="C2058" t="s">
        <v>524</v>
      </c>
    </row>
    <row r="2059" spans="2:3" x14ac:dyDescent="0.35">
      <c r="B2059" t="s">
        <v>1079</v>
      </c>
      <c r="C2059" t="s">
        <v>1080</v>
      </c>
    </row>
    <row r="2060" spans="2:3" x14ac:dyDescent="0.35">
      <c r="B2060" t="s">
        <v>870</v>
      </c>
      <c r="C2060" t="s">
        <v>871</v>
      </c>
    </row>
    <row r="2061" spans="2:3" x14ac:dyDescent="0.35">
      <c r="B2061" t="s">
        <v>64</v>
      </c>
      <c r="C2061" t="s">
        <v>65</v>
      </c>
    </row>
    <row r="2062" spans="2:3" x14ac:dyDescent="0.35">
      <c r="B2062" t="s">
        <v>174</v>
      </c>
      <c r="C2062" t="s">
        <v>175</v>
      </c>
    </row>
    <row r="2063" spans="2:3" x14ac:dyDescent="0.35">
      <c r="B2063" t="s">
        <v>577</v>
      </c>
      <c r="C2063" t="s">
        <v>578</v>
      </c>
    </row>
    <row r="2064" spans="2:3" x14ac:dyDescent="0.35">
      <c r="B2064" t="s">
        <v>283</v>
      </c>
      <c r="C2064" t="s">
        <v>284</v>
      </c>
    </row>
    <row r="2065" spans="2:3" x14ac:dyDescent="0.35">
      <c r="B2065" t="s">
        <v>958</v>
      </c>
      <c r="C2065" t="s">
        <v>959</v>
      </c>
    </row>
    <row r="2066" spans="2:3" x14ac:dyDescent="0.35">
      <c r="B2066" t="s">
        <v>787</v>
      </c>
      <c r="C2066" t="s">
        <v>788</v>
      </c>
    </row>
    <row r="2067" spans="2:3" x14ac:dyDescent="0.35">
      <c r="B2067" t="s">
        <v>787</v>
      </c>
      <c r="C2067" t="s">
        <v>788</v>
      </c>
    </row>
    <row r="2068" spans="2:3" x14ac:dyDescent="0.35">
      <c r="B2068" t="s">
        <v>557</v>
      </c>
      <c r="C2068" t="s">
        <v>558</v>
      </c>
    </row>
    <row r="2069" spans="2:3" x14ac:dyDescent="0.35">
      <c r="B2069" t="s">
        <v>787</v>
      </c>
      <c r="C2069" t="s">
        <v>788</v>
      </c>
    </row>
    <row r="2070" spans="2:3" x14ac:dyDescent="0.35">
      <c r="B2070" t="s">
        <v>787</v>
      </c>
      <c r="C2070" t="s">
        <v>788</v>
      </c>
    </row>
    <row r="2071" spans="2:3" x14ac:dyDescent="0.35">
      <c r="B2071" t="s">
        <v>529</v>
      </c>
      <c r="C2071" t="s">
        <v>530</v>
      </c>
    </row>
    <row r="2072" spans="2:3" x14ac:dyDescent="0.35">
      <c r="B2072" t="s">
        <v>666</v>
      </c>
      <c r="C2072" t="s">
        <v>667</v>
      </c>
    </row>
    <row r="2073" spans="2:3" x14ac:dyDescent="0.35">
      <c r="B2073" t="s">
        <v>787</v>
      </c>
      <c r="C2073" t="s">
        <v>788</v>
      </c>
    </row>
    <row r="2074" spans="2:3" x14ac:dyDescent="0.35">
      <c r="B2074" t="s">
        <v>664</v>
      </c>
      <c r="C2074" t="s">
        <v>665</v>
      </c>
    </row>
    <row r="2075" spans="2:3" x14ac:dyDescent="0.35">
      <c r="B2075" t="s">
        <v>210</v>
      </c>
      <c r="C2075" t="s">
        <v>211</v>
      </c>
    </row>
    <row r="2076" spans="2:3" x14ac:dyDescent="0.35">
      <c r="B2076" t="s">
        <v>105</v>
      </c>
      <c r="C2076" t="s">
        <v>106</v>
      </c>
    </row>
    <row r="2077" spans="2:3" x14ac:dyDescent="0.35">
      <c r="B2077" t="s">
        <v>1061</v>
      </c>
      <c r="C2077" t="s">
        <v>1062</v>
      </c>
    </row>
    <row r="2078" spans="2:3" x14ac:dyDescent="0.35">
      <c r="B2078" t="s">
        <v>787</v>
      </c>
      <c r="C2078" t="s">
        <v>788</v>
      </c>
    </row>
    <row r="2079" spans="2:3" x14ac:dyDescent="0.35">
      <c r="B2079" t="s">
        <v>453</v>
      </c>
      <c r="C2079" t="s">
        <v>454</v>
      </c>
    </row>
    <row r="2080" spans="2:3" x14ac:dyDescent="0.35">
      <c r="B2080" t="s">
        <v>1061</v>
      </c>
      <c r="C2080" t="s">
        <v>1062</v>
      </c>
    </row>
    <row r="2081" spans="2:3" x14ac:dyDescent="0.35">
      <c r="B2081" t="s">
        <v>254</v>
      </c>
      <c r="C2081" t="s">
        <v>255</v>
      </c>
    </row>
    <row r="2082" spans="2:3" x14ac:dyDescent="0.35">
      <c r="B2082" t="s">
        <v>465</v>
      </c>
      <c r="C2082" t="s">
        <v>466</v>
      </c>
    </row>
    <row r="2083" spans="2:3" x14ac:dyDescent="0.35">
      <c r="B2083" t="s">
        <v>662</v>
      </c>
      <c r="C2083" t="s">
        <v>663</v>
      </c>
    </row>
    <row r="2084" spans="2:3" x14ac:dyDescent="0.35">
      <c r="B2084" t="s">
        <v>64</v>
      </c>
      <c r="C2084" t="s">
        <v>65</v>
      </c>
    </row>
    <row r="2085" spans="2:3" x14ac:dyDescent="0.35">
      <c r="B2085" t="s">
        <v>260</v>
      </c>
      <c r="C2085" t="s">
        <v>261</v>
      </c>
    </row>
    <row r="2086" spans="2:3" x14ac:dyDescent="0.35">
      <c r="B2086" t="s">
        <v>1195</v>
      </c>
      <c r="C2086" t="s">
        <v>1195</v>
      </c>
    </row>
    <row r="2087" spans="2:3" x14ac:dyDescent="0.35">
      <c r="B2087" t="s">
        <v>174</v>
      </c>
      <c r="C2087" t="s">
        <v>175</v>
      </c>
    </row>
    <row r="2088" spans="2:3" x14ac:dyDescent="0.35">
      <c r="B2088" t="s">
        <v>254</v>
      </c>
      <c r="C2088" t="s">
        <v>255</v>
      </c>
    </row>
    <row r="2089" spans="2:3" x14ac:dyDescent="0.35">
      <c r="B2089" t="s">
        <v>56</v>
      </c>
      <c r="C2089" t="s">
        <v>57</v>
      </c>
    </row>
    <row r="2090" spans="2:3" x14ac:dyDescent="0.35">
      <c r="B2090" t="s">
        <v>559</v>
      </c>
      <c r="C2090" t="s">
        <v>560</v>
      </c>
    </row>
    <row r="2091" spans="2:3" x14ac:dyDescent="0.35">
      <c r="B2091" t="s">
        <v>652</v>
      </c>
      <c r="C2091" t="s">
        <v>653</v>
      </c>
    </row>
    <row r="2092" spans="2:3" x14ac:dyDescent="0.35">
      <c r="B2092" t="s">
        <v>497</v>
      </c>
      <c r="C2092" t="s">
        <v>498</v>
      </c>
    </row>
    <row r="2093" spans="2:3" x14ac:dyDescent="0.35">
      <c r="B2093" t="s">
        <v>694</v>
      </c>
      <c r="C2093" t="s">
        <v>695</v>
      </c>
    </row>
    <row r="2094" spans="2:3" x14ac:dyDescent="0.35">
      <c r="B2094" t="s">
        <v>787</v>
      </c>
      <c r="C2094" t="s">
        <v>788</v>
      </c>
    </row>
    <row r="2095" spans="2:3" x14ac:dyDescent="0.35">
      <c r="B2095" t="s">
        <v>963</v>
      </c>
      <c r="C2095" t="s">
        <v>964</v>
      </c>
    </row>
    <row r="2096" spans="2:3" x14ac:dyDescent="0.35">
      <c r="B2096" t="s">
        <v>656</v>
      </c>
      <c r="C2096" t="s">
        <v>657</v>
      </c>
    </row>
    <row r="2097" spans="2:3" x14ac:dyDescent="0.35">
      <c r="B2097" t="s">
        <v>559</v>
      </c>
      <c r="C2097" t="s">
        <v>560</v>
      </c>
    </row>
    <row r="2098" spans="2:3" x14ac:dyDescent="0.35">
      <c r="B2098" t="s">
        <v>787</v>
      </c>
      <c r="C2098" t="s">
        <v>788</v>
      </c>
    </row>
    <row r="2099" spans="2:3" x14ac:dyDescent="0.35">
      <c r="B2099" t="s">
        <v>958</v>
      </c>
      <c r="C2099" t="s">
        <v>959</v>
      </c>
    </row>
    <row r="2100" spans="2:3" x14ac:dyDescent="0.35">
      <c r="B2100" t="s">
        <v>787</v>
      </c>
      <c r="C2100" t="s">
        <v>788</v>
      </c>
    </row>
    <row r="2101" spans="2:3" x14ac:dyDescent="0.35">
      <c r="B2101" t="s">
        <v>694</v>
      </c>
      <c r="C2101" t="s">
        <v>695</v>
      </c>
    </row>
    <row r="2102" spans="2:3" x14ac:dyDescent="0.35">
      <c r="B2102" t="s">
        <v>527</v>
      </c>
      <c r="C2102" t="s">
        <v>528</v>
      </c>
    </row>
    <row r="2103" spans="2:3" x14ac:dyDescent="0.35">
      <c r="B2103" t="s">
        <v>694</v>
      </c>
      <c r="C2103" t="s">
        <v>695</v>
      </c>
    </row>
    <row r="2104" spans="2:3" x14ac:dyDescent="0.35">
      <c r="B2104" t="s">
        <v>658</v>
      </c>
      <c r="C2104" t="s">
        <v>659</v>
      </c>
    </row>
    <row r="2105" spans="2:3" x14ac:dyDescent="0.35">
      <c r="B2105" t="s">
        <v>252</v>
      </c>
      <c r="C2105" t="s">
        <v>253</v>
      </c>
    </row>
    <row r="2106" spans="2:3" x14ac:dyDescent="0.35">
      <c r="B2106" t="s">
        <v>378</v>
      </c>
      <c r="C2106" t="s">
        <v>379</v>
      </c>
    </row>
    <row r="2107" spans="2:3" x14ac:dyDescent="0.35">
      <c r="B2107" t="s">
        <v>163</v>
      </c>
      <c r="C2107" t="s">
        <v>164</v>
      </c>
    </row>
    <row r="2108" spans="2:3" x14ac:dyDescent="0.35">
      <c r="B2108" t="s">
        <v>1061</v>
      </c>
      <c r="C2108" t="s">
        <v>1062</v>
      </c>
    </row>
    <row r="2109" spans="2:3" x14ac:dyDescent="0.35">
      <c r="B2109" t="s">
        <v>692</v>
      </c>
      <c r="C2109" t="s">
        <v>693</v>
      </c>
    </row>
    <row r="2110" spans="2:3" x14ac:dyDescent="0.35">
      <c r="B2110" t="s">
        <v>557</v>
      </c>
      <c r="C2110" t="s">
        <v>558</v>
      </c>
    </row>
    <row r="2111" spans="2:3" x14ac:dyDescent="0.35">
      <c r="B2111" t="s">
        <v>694</v>
      </c>
      <c r="C2111" t="s">
        <v>695</v>
      </c>
    </row>
    <row r="2112" spans="2:3" x14ac:dyDescent="0.35">
      <c r="B2112" t="s">
        <v>545</v>
      </c>
      <c r="C2112" t="s">
        <v>546</v>
      </c>
    </row>
    <row r="2113" spans="2:3" x14ac:dyDescent="0.35">
      <c r="B2113" t="s">
        <v>787</v>
      </c>
      <c r="C2113" t="s">
        <v>788</v>
      </c>
    </row>
    <row r="2114" spans="2:3" x14ac:dyDescent="0.35">
      <c r="B2114" t="s">
        <v>787</v>
      </c>
      <c r="C2114" t="s">
        <v>788</v>
      </c>
    </row>
    <row r="2115" spans="2:3" x14ac:dyDescent="0.35">
      <c r="B2115" t="s">
        <v>202</v>
      </c>
      <c r="C2115" t="s">
        <v>203</v>
      </c>
    </row>
    <row r="2116" spans="2:3" x14ac:dyDescent="0.35">
      <c r="B2116" t="s">
        <v>787</v>
      </c>
      <c r="C2116" t="s">
        <v>788</v>
      </c>
    </row>
    <row r="2117" spans="2:3" x14ac:dyDescent="0.35">
      <c r="B2117" t="s">
        <v>787</v>
      </c>
      <c r="C2117" t="s">
        <v>788</v>
      </c>
    </row>
    <row r="2118" spans="2:3" x14ac:dyDescent="0.35">
      <c r="B2118" t="s">
        <v>56</v>
      </c>
      <c r="C2118" t="s">
        <v>57</v>
      </c>
    </row>
    <row r="2119" spans="2:3" x14ac:dyDescent="0.35">
      <c r="B2119" t="s">
        <v>549</v>
      </c>
      <c r="C2119" t="s">
        <v>550</v>
      </c>
    </row>
    <row r="2120" spans="2:3" x14ac:dyDescent="0.35">
      <c r="B2120" t="s">
        <v>700</v>
      </c>
      <c r="C2120" t="s">
        <v>701</v>
      </c>
    </row>
    <row r="2121" spans="2:3" x14ac:dyDescent="0.35">
      <c r="B2121" t="s">
        <v>202</v>
      </c>
      <c r="C2121" t="s">
        <v>203</v>
      </c>
    </row>
    <row r="2122" spans="2:3" x14ac:dyDescent="0.35">
      <c r="B2122" t="s">
        <v>874</v>
      </c>
      <c r="C2122" t="s">
        <v>875</v>
      </c>
    </row>
    <row r="2123" spans="2:3" x14ac:dyDescent="0.35">
      <c r="B2123" t="s">
        <v>505</v>
      </c>
      <c r="C2123" t="s">
        <v>506</v>
      </c>
    </row>
    <row r="2124" spans="2:3" x14ac:dyDescent="0.35">
      <c r="B2124" t="s">
        <v>787</v>
      </c>
      <c r="C2124" t="s">
        <v>788</v>
      </c>
    </row>
    <row r="2125" spans="2:3" x14ac:dyDescent="0.35">
      <c r="B2125" t="s">
        <v>84</v>
      </c>
      <c r="C2125" t="s">
        <v>85</v>
      </c>
    </row>
    <row r="2126" spans="2:3" x14ac:dyDescent="0.35">
      <c r="B2126" t="s">
        <v>559</v>
      </c>
      <c r="C2126" t="s">
        <v>560</v>
      </c>
    </row>
    <row r="2127" spans="2:3" x14ac:dyDescent="0.35">
      <c r="B2127" t="s">
        <v>260</v>
      </c>
      <c r="C2127" t="s">
        <v>261</v>
      </c>
    </row>
    <row r="2128" spans="2:3" x14ac:dyDescent="0.35">
      <c r="B2128" t="s">
        <v>485</v>
      </c>
      <c r="C2128" t="s">
        <v>486</v>
      </c>
    </row>
    <row r="2129" spans="2:3" x14ac:dyDescent="0.35">
      <c r="B2129" t="s">
        <v>58</v>
      </c>
      <c r="C2129" t="s">
        <v>59</v>
      </c>
    </row>
    <row r="2130" spans="2:3" x14ac:dyDescent="0.35">
      <c r="B2130" t="s">
        <v>642</v>
      </c>
      <c r="C2130" t="s">
        <v>643</v>
      </c>
    </row>
    <row r="2131" spans="2:3" x14ac:dyDescent="0.35">
      <c r="B2131" t="s">
        <v>376</v>
      </c>
      <c r="C2131" t="s">
        <v>377</v>
      </c>
    </row>
    <row r="2132" spans="2:3" x14ac:dyDescent="0.35">
      <c r="B2132" t="s">
        <v>950</v>
      </c>
      <c r="C2132" t="s">
        <v>951</v>
      </c>
    </row>
    <row r="2133" spans="2:3" x14ac:dyDescent="0.35">
      <c r="B2133" t="s">
        <v>465</v>
      </c>
      <c r="C2133" t="s">
        <v>466</v>
      </c>
    </row>
    <row r="2134" spans="2:3" x14ac:dyDescent="0.35">
      <c r="B2134" t="s">
        <v>393</v>
      </c>
      <c r="C2134" t="s">
        <v>394</v>
      </c>
    </row>
    <row r="2135" spans="2:3" x14ac:dyDescent="0.35">
      <c r="B2135" t="s">
        <v>163</v>
      </c>
      <c r="C2135" t="s">
        <v>164</v>
      </c>
    </row>
    <row r="2136" spans="2:3" x14ac:dyDescent="0.35">
      <c r="B2136" t="s">
        <v>174</v>
      </c>
      <c r="C2136" t="s">
        <v>175</v>
      </c>
    </row>
    <row r="2137" spans="2:3" x14ac:dyDescent="0.35">
      <c r="B2137" t="s">
        <v>963</v>
      </c>
      <c r="C2137" t="s">
        <v>964</v>
      </c>
    </row>
    <row r="2138" spans="2:3" x14ac:dyDescent="0.35">
      <c r="B2138" t="s">
        <v>610</v>
      </c>
      <c r="C2138" t="s">
        <v>611</v>
      </c>
    </row>
    <row r="2139" spans="2:3" x14ac:dyDescent="0.35">
      <c r="B2139" t="s">
        <v>559</v>
      </c>
      <c r="C2139" t="s">
        <v>560</v>
      </c>
    </row>
    <row r="2140" spans="2:3" x14ac:dyDescent="0.35">
      <c r="B2140" t="s">
        <v>787</v>
      </c>
      <c r="C2140" t="s">
        <v>788</v>
      </c>
    </row>
    <row r="2141" spans="2:3" x14ac:dyDescent="0.35">
      <c r="B2141" t="s">
        <v>254</v>
      </c>
      <c r="C2141" t="s">
        <v>255</v>
      </c>
    </row>
    <row r="2142" spans="2:3" x14ac:dyDescent="0.35">
      <c r="B2142" t="s">
        <v>787</v>
      </c>
      <c r="C2142" t="s">
        <v>788</v>
      </c>
    </row>
    <row r="2143" spans="2:3" x14ac:dyDescent="0.35">
      <c r="B2143" t="s">
        <v>230</v>
      </c>
      <c r="C2143" t="s">
        <v>231</v>
      </c>
    </row>
    <row r="2144" spans="2:3" x14ac:dyDescent="0.35">
      <c r="B2144" t="s">
        <v>110</v>
      </c>
      <c r="C2144" t="s">
        <v>111</v>
      </c>
    </row>
    <row r="2145" spans="2:3" x14ac:dyDescent="0.35">
      <c r="B2145" t="s">
        <v>350</v>
      </c>
      <c r="C2145" t="s">
        <v>351</v>
      </c>
    </row>
    <row r="2146" spans="2:3" x14ac:dyDescent="0.35">
      <c r="B2146" t="s">
        <v>260</v>
      </c>
      <c r="C2146" t="s">
        <v>261</v>
      </c>
    </row>
    <row r="2147" spans="2:3" x14ac:dyDescent="0.35">
      <c r="B2147" t="s">
        <v>485</v>
      </c>
      <c r="C2147" t="s">
        <v>486</v>
      </c>
    </row>
    <row r="2148" spans="2:3" x14ac:dyDescent="0.35">
      <c r="B2148" t="s">
        <v>260</v>
      </c>
      <c r="C2148" t="s">
        <v>261</v>
      </c>
    </row>
    <row r="2149" spans="2:3" x14ac:dyDescent="0.35">
      <c r="B2149" t="s">
        <v>787</v>
      </c>
      <c r="C2149" t="s">
        <v>788</v>
      </c>
    </row>
    <row r="2150" spans="2:3" x14ac:dyDescent="0.35">
      <c r="B2150" t="s">
        <v>527</v>
      </c>
      <c r="C2150" t="s">
        <v>528</v>
      </c>
    </row>
    <row r="2151" spans="2:3" x14ac:dyDescent="0.35">
      <c r="B2151" t="s">
        <v>787</v>
      </c>
      <c r="C2151" t="s">
        <v>788</v>
      </c>
    </row>
    <row r="2152" spans="2:3" x14ac:dyDescent="0.35">
      <c r="B2152" t="s">
        <v>700</v>
      </c>
      <c r="C2152" t="s">
        <v>701</v>
      </c>
    </row>
    <row r="2153" spans="2:3" x14ac:dyDescent="0.35">
      <c r="B2153" t="s">
        <v>529</v>
      </c>
      <c r="C2153" t="s">
        <v>530</v>
      </c>
    </row>
    <row r="2154" spans="2:3" x14ac:dyDescent="0.35">
      <c r="B2154" t="s">
        <v>219</v>
      </c>
      <c r="C2154" t="s">
        <v>220</v>
      </c>
    </row>
    <row r="2155" spans="2:3" x14ac:dyDescent="0.35">
      <c r="B2155" t="s">
        <v>105</v>
      </c>
      <c r="C2155" t="s">
        <v>106</v>
      </c>
    </row>
    <row r="2156" spans="2:3" x14ac:dyDescent="0.35">
      <c r="B2156" t="s">
        <v>230</v>
      </c>
      <c r="C2156" t="s">
        <v>231</v>
      </c>
    </row>
    <row r="2157" spans="2:3" x14ac:dyDescent="0.35">
      <c r="B2157" t="s">
        <v>378</v>
      </c>
      <c r="C2157" t="s">
        <v>379</v>
      </c>
    </row>
    <row r="2158" spans="2:3" x14ac:dyDescent="0.35">
      <c r="B2158" t="s">
        <v>787</v>
      </c>
      <c r="C2158" t="s">
        <v>788</v>
      </c>
    </row>
    <row r="2159" spans="2:3" x14ac:dyDescent="0.35">
      <c r="B2159" t="s">
        <v>393</v>
      </c>
      <c r="C2159" t="s">
        <v>394</v>
      </c>
    </row>
    <row r="2160" spans="2:3" x14ac:dyDescent="0.35">
      <c r="B2160" t="s">
        <v>656</v>
      </c>
      <c r="C2160" t="s">
        <v>657</v>
      </c>
    </row>
    <row r="2161" spans="2:3" x14ac:dyDescent="0.35">
      <c r="B2161" t="s">
        <v>74</v>
      </c>
      <c r="C2161" t="s">
        <v>75</v>
      </c>
    </row>
    <row r="2162" spans="2:3" x14ac:dyDescent="0.35">
      <c r="B2162" t="s">
        <v>666</v>
      </c>
      <c r="C2162" t="s">
        <v>667</v>
      </c>
    </row>
    <row r="2163" spans="2:3" x14ac:dyDescent="0.35">
      <c r="B2163" t="s">
        <v>358</v>
      </c>
      <c r="C2163" t="s">
        <v>359</v>
      </c>
    </row>
    <row r="2164" spans="2:3" x14ac:dyDescent="0.35">
      <c r="B2164" t="s">
        <v>640</v>
      </c>
      <c r="C2164" t="s">
        <v>641</v>
      </c>
    </row>
    <row r="2165" spans="2:3" x14ac:dyDescent="0.35">
      <c r="B2165" t="s">
        <v>56</v>
      </c>
      <c r="C2165" t="s">
        <v>57</v>
      </c>
    </row>
    <row r="2166" spans="2:3" x14ac:dyDescent="0.35">
      <c r="B2166" t="s">
        <v>541</v>
      </c>
      <c r="C2166" t="s">
        <v>542</v>
      </c>
    </row>
    <row r="2167" spans="2:3" x14ac:dyDescent="0.35">
      <c r="B2167" t="s">
        <v>664</v>
      </c>
      <c r="C2167" t="s">
        <v>665</v>
      </c>
    </row>
    <row r="2168" spans="2:3" x14ac:dyDescent="0.35">
      <c r="B2168" t="s">
        <v>787</v>
      </c>
      <c r="C2168" t="s">
        <v>788</v>
      </c>
    </row>
    <row r="2169" spans="2:3" x14ac:dyDescent="0.35">
      <c r="B2169" t="s">
        <v>545</v>
      </c>
      <c r="C2169" t="s">
        <v>546</v>
      </c>
    </row>
    <row r="2170" spans="2:3" x14ac:dyDescent="0.35">
      <c r="B2170" t="s">
        <v>571</v>
      </c>
      <c r="C2170" t="s">
        <v>572</v>
      </c>
    </row>
    <row r="2171" spans="2:3" x14ac:dyDescent="0.35">
      <c r="B2171" t="s">
        <v>870</v>
      </c>
      <c r="C2171" t="s">
        <v>871</v>
      </c>
    </row>
    <row r="2172" spans="2:3" x14ac:dyDescent="0.35">
      <c r="B2172" t="s">
        <v>870</v>
      </c>
      <c r="C2172" t="s">
        <v>871</v>
      </c>
    </row>
    <row r="2173" spans="2:3" x14ac:dyDescent="0.35">
      <c r="B2173" t="s">
        <v>859</v>
      </c>
      <c r="C2173" t="s">
        <v>860</v>
      </c>
    </row>
    <row r="2174" spans="2:3" x14ac:dyDescent="0.35">
      <c r="B2174" t="s">
        <v>787</v>
      </c>
      <c r="C2174" t="s">
        <v>788</v>
      </c>
    </row>
    <row r="2175" spans="2:3" x14ac:dyDescent="0.35">
      <c r="B2175" t="s">
        <v>868</v>
      </c>
      <c r="C2175" t="s">
        <v>869</v>
      </c>
    </row>
    <row r="2176" spans="2:3" x14ac:dyDescent="0.35">
      <c r="B2176" t="s">
        <v>128</v>
      </c>
      <c r="C2176" t="s">
        <v>129</v>
      </c>
    </row>
    <row r="2177" spans="2:3" x14ac:dyDescent="0.35">
      <c r="B2177" t="s">
        <v>618</v>
      </c>
      <c r="C2177" t="s">
        <v>619</v>
      </c>
    </row>
    <row r="2178" spans="2:3" x14ac:dyDescent="0.35">
      <c r="B2178" t="s">
        <v>465</v>
      </c>
      <c r="C2178" t="s">
        <v>466</v>
      </c>
    </row>
    <row r="2179" spans="2:3" x14ac:dyDescent="0.35">
      <c r="B2179" t="s">
        <v>465</v>
      </c>
      <c r="C2179" t="s">
        <v>466</v>
      </c>
    </row>
    <row r="2180" spans="2:3" x14ac:dyDescent="0.35">
      <c r="B2180" t="s">
        <v>208</v>
      </c>
      <c r="C2180" t="s">
        <v>209</v>
      </c>
    </row>
    <row r="2181" spans="2:3" x14ac:dyDescent="0.35">
      <c r="B2181" t="s">
        <v>254</v>
      </c>
      <c r="C2181" t="s">
        <v>255</v>
      </c>
    </row>
    <row r="2182" spans="2:3" x14ac:dyDescent="0.35">
      <c r="B2182" t="s">
        <v>787</v>
      </c>
      <c r="C2182" t="s">
        <v>788</v>
      </c>
    </row>
    <row r="2183" spans="2:3" x14ac:dyDescent="0.35">
      <c r="B2183" t="s">
        <v>787</v>
      </c>
      <c r="C2183" t="s">
        <v>788</v>
      </c>
    </row>
    <row r="2184" spans="2:3" x14ac:dyDescent="0.35">
      <c r="B2184" t="s">
        <v>545</v>
      </c>
      <c r="C2184" t="s">
        <v>546</v>
      </c>
    </row>
    <row r="2185" spans="2:3" x14ac:dyDescent="0.35">
      <c r="B2185" t="s">
        <v>208</v>
      </c>
      <c r="C2185" t="s">
        <v>209</v>
      </c>
    </row>
    <row r="2186" spans="2:3" x14ac:dyDescent="0.35">
      <c r="B2186" t="s">
        <v>656</v>
      </c>
      <c r="C2186" t="s">
        <v>657</v>
      </c>
    </row>
    <row r="2187" spans="2:3" x14ac:dyDescent="0.35">
      <c r="B2187" t="s">
        <v>72</v>
      </c>
      <c r="C2187" t="s">
        <v>73</v>
      </c>
    </row>
    <row r="2188" spans="2:3" x14ac:dyDescent="0.35">
      <c r="B2188" t="s">
        <v>658</v>
      </c>
      <c r="C2188" t="s">
        <v>659</v>
      </c>
    </row>
    <row r="2189" spans="2:3" x14ac:dyDescent="0.35">
      <c r="B2189" t="s">
        <v>163</v>
      </c>
      <c r="C2189" t="s">
        <v>164</v>
      </c>
    </row>
    <row r="2190" spans="2:3" x14ac:dyDescent="0.35">
      <c r="B2190" t="s">
        <v>595</v>
      </c>
      <c r="C2190" t="s">
        <v>596</v>
      </c>
    </row>
    <row r="2191" spans="2:3" x14ac:dyDescent="0.35">
      <c r="B2191" t="s">
        <v>46</v>
      </c>
      <c r="C2191" t="s">
        <v>47</v>
      </c>
    </row>
    <row r="2192" spans="2:3" x14ac:dyDescent="0.35">
      <c r="B2192" t="s">
        <v>202</v>
      </c>
      <c r="C2192" t="s">
        <v>203</v>
      </c>
    </row>
    <row r="2193" spans="2:3" x14ac:dyDescent="0.35">
      <c r="B2193" t="s">
        <v>559</v>
      </c>
      <c r="C2193" t="s">
        <v>560</v>
      </c>
    </row>
    <row r="2194" spans="2:3" x14ac:dyDescent="0.35">
      <c r="B2194" t="s">
        <v>163</v>
      </c>
      <c r="C2194" t="s">
        <v>164</v>
      </c>
    </row>
    <row r="2195" spans="2:3" x14ac:dyDescent="0.35">
      <c r="B2195" t="s">
        <v>378</v>
      </c>
      <c r="C2195" t="s">
        <v>379</v>
      </c>
    </row>
    <row r="2196" spans="2:3" x14ac:dyDescent="0.35">
      <c r="B2196" t="s">
        <v>787</v>
      </c>
      <c r="C2196" t="s">
        <v>788</v>
      </c>
    </row>
    <row r="2197" spans="2:3" x14ac:dyDescent="0.35">
      <c r="B2197" t="s">
        <v>674</v>
      </c>
      <c r="C2197" t="s">
        <v>675</v>
      </c>
    </row>
    <row r="2198" spans="2:3" x14ac:dyDescent="0.35">
      <c r="B2198" t="s">
        <v>605</v>
      </c>
      <c r="C2198" t="s">
        <v>606</v>
      </c>
    </row>
    <row r="2199" spans="2:3" x14ac:dyDescent="0.35">
      <c r="B2199" t="s">
        <v>219</v>
      </c>
      <c r="C2199" t="s">
        <v>220</v>
      </c>
    </row>
    <row r="2200" spans="2:3" x14ac:dyDescent="0.35">
      <c r="B2200" t="s">
        <v>804</v>
      </c>
      <c r="C2200" t="s">
        <v>805</v>
      </c>
    </row>
    <row r="2201" spans="2:3" x14ac:dyDescent="0.35">
      <c r="B2201" t="s">
        <v>82</v>
      </c>
      <c r="C2201" t="s">
        <v>83</v>
      </c>
    </row>
    <row r="2202" spans="2:3" x14ac:dyDescent="0.35">
      <c r="B2202" t="s">
        <v>322</v>
      </c>
      <c r="C2202" t="s">
        <v>323</v>
      </c>
    </row>
    <row r="2203" spans="2:3" x14ac:dyDescent="0.35">
      <c r="B2203" t="s">
        <v>378</v>
      </c>
      <c r="C2203" t="s">
        <v>379</v>
      </c>
    </row>
    <row r="2204" spans="2:3" x14ac:dyDescent="0.35">
      <c r="B2204" t="s">
        <v>495</v>
      </c>
      <c r="C2204" t="s">
        <v>496</v>
      </c>
    </row>
    <row r="2205" spans="2:3" x14ac:dyDescent="0.35">
      <c r="B2205" t="s">
        <v>64</v>
      </c>
      <c r="C2205" t="s">
        <v>65</v>
      </c>
    </row>
    <row r="2206" spans="2:3" x14ac:dyDescent="0.35">
      <c r="B2206" t="s">
        <v>376</v>
      </c>
      <c r="C2206" t="s">
        <v>377</v>
      </c>
    </row>
    <row r="2207" spans="2:3" x14ac:dyDescent="0.35">
      <c r="B2207" t="s">
        <v>545</v>
      </c>
      <c r="C2207" t="s">
        <v>546</v>
      </c>
    </row>
    <row r="2208" spans="2:3" x14ac:dyDescent="0.35">
      <c r="B2208" t="s">
        <v>178</v>
      </c>
      <c r="C2208" t="s">
        <v>179</v>
      </c>
    </row>
    <row r="2209" spans="2:3" x14ac:dyDescent="0.35">
      <c r="B2209" t="s">
        <v>82</v>
      </c>
      <c r="C2209" t="s">
        <v>83</v>
      </c>
    </row>
    <row r="2210" spans="2:3" x14ac:dyDescent="0.35">
      <c r="B2210" t="s">
        <v>358</v>
      </c>
      <c r="C2210" t="s">
        <v>359</v>
      </c>
    </row>
    <row r="2211" spans="2:3" x14ac:dyDescent="0.35">
      <c r="B2211" t="s">
        <v>90</v>
      </c>
      <c r="C2211" t="s">
        <v>91</v>
      </c>
    </row>
    <row r="2212" spans="2:3" x14ac:dyDescent="0.35">
      <c r="B2212" t="s">
        <v>804</v>
      </c>
      <c r="C2212" t="s">
        <v>805</v>
      </c>
    </row>
    <row r="2213" spans="2:3" x14ac:dyDescent="0.35">
      <c r="B2213" t="s">
        <v>658</v>
      </c>
      <c r="C2213" t="s">
        <v>659</v>
      </c>
    </row>
    <row r="2214" spans="2:3" x14ac:dyDescent="0.35">
      <c r="B2214" t="s">
        <v>128</v>
      </c>
      <c r="C2214" t="s">
        <v>129</v>
      </c>
    </row>
    <row r="2215" spans="2:3" x14ac:dyDescent="0.35">
      <c r="B2215" t="s">
        <v>787</v>
      </c>
      <c r="C2215" t="s">
        <v>788</v>
      </c>
    </row>
    <row r="2216" spans="2:3" x14ac:dyDescent="0.35">
      <c r="B2216" t="s">
        <v>531</v>
      </c>
      <c r="C2216" t="s">
        <v>532</v>
      </c>
    </row>
    <row r="2217" spans="2:3" x14ac:dyDescent="0.35">
      <c r="B2217" t="s">
        <v>537</v>
      </c>
      <c r="C2217" t="s">
        <v>538</v>
      </c>
    </row>
    <row r="2218" spans="2:3" x14ac:dyDescent="0.35">
      <c r="B2218" t="s">
        <v>874</v>
      </c>
      <c r="C2218" t="s">
        <v>875</v>
      </c>
    </row>
    <row r="2219" spans="2:3" x14ac:dyDescent="0.35">
      <c r="B2219" t="s">
        <v>958</v>
      </c>
      <c r="C2219" t="s">
        <v>959</v>
      </c>
    </row>
    <row r="2220" spans="2:3" x14ac:dyDescent="0.35">
      <c r="B2220" t="s">
        <v>465</v>
      </c>
      <c r="C2220" t="s">
        <v>466</v>
      </c>
    </row>
    <row r="2221" spans="2:3" x14ac:dyDescent="0.35">
      <c r="B2221" t="s">
        <v>90</v>
      </c>
      <c r="C2221" t="s">
        <v>91</v>
      </c>
    </row>
    <row r="2222" spans="2:3" x14ac:dyDescent="0.35">
      <c r="B2222" t="s">
        <v>593</v>
      </c>
      <c r="C2222" t="s">
        <v>594</v>
      </c>
    </row>
    <row r="2223" spans="2:3" x14ac:dyDescent="0.35">
      <c r="B2223" t="s">
        <v>107</v>
      </c>
      <c r="C2223" t="s">
        <v>108</v>
      </c>
    </row>
    <row r="2224" spans="2:3" x14ac:dyDescent="0.35">
      <c r="B2224" t="s">
        <v>393</v>
      </c>
      <c r="C2224" t="s">
        <v>394</v>
      </c>
    </row>
    <row r="2225" spans="2:3" x14ac:dyDescent="0.35">
      <c r="B2225" t="s">
        <v>787</v>
      </c>
      <c r="C2225" t="s">
        <v>788</v>
      </c>
    </row>
    <row r="2226" spans="2:3" x14ac:dyDescent="0.35">
      <c r="B2226" t="s">
        <v>283</v>
      </c>
      <c r="C2226" t="s">
        <v>284</v>
      </c>
    </row>
    <row r="2227" spans="2:3" x14ac:dyDescent="0.35">
      <c r="B2227" t="s">
        <v>105</v>
      </c>
      <c r="C2227" t="s">
        <v>106</v>
      </c>
    </row>
    <row r="2228" spans="2:3" x14ac:dyDescent="0.35">
      <c r="B2228" t="s">
        <v>346</v>
      </c>
      <c r="C2228" t="s">
        <v>347</v>
      </c>
    </row>
    <row r="2229" spans="2:3" x14ac:dyDescent="0.35">
      <c r="B2229" t="s">
        <v>232</v>
      </c>
      <c r="C2229" t="s">
        <v>233</v>
      </c>
    </row>
    <row r="2230" spans="2:3" x14ac:dyDescent="0.35">
      <c r="B2230" t="s">
        <v>787</v>
      </c>
      <c r="C2230" t="s">
        <v>788</v>
      </c>
    </row>
    <row r="2231" spans="2:3" x14ac:dyDescent="0.35">
      <c r="B2231" t="s">
        <v>1195</v>
      </c>
      <c r="C2231" t="s">
        <v>1195</v>
      </c>
    </row>
    <row r="2232" spans="2:3" x14ac:dyDescent="0.35">
      <c r="B2232" t="s">
        <v>174</v>
      </c>
      <c r="C2232" t="s">
        <v>175</v>
      </c>
    </row>
    <row r="2233" spans="2:3" x14ac:dyDescent="0.35">
      <c r="B2233" t="s">
        <v>787</v>
      </c>
      <c r="C2233" t="s">
        <v>788</v>
      </c>
    </row>
    <row r="2234" spans="2:3" x14ac:dyDescent="0.35">
      <c r="B2234" t="s">
        <v>787</v>
      </c>
      <c r="C2234" t="s">
        <v>788</v>
      </c>
    </row>
    <row r="2235" spans="2:3" x14ac:dyDescent="0.35">
      <c r="B2235" t="s">
        <v>465</v>
      </c>
      <c r="C2235" t="s">
        <v>466</v>
      </c>
    </row>
    <row r="2236" spans="2:3" x14ac:dyDescent="0.35">
      <c r="B2236" t="s">
        <v>210</v>
      </c>
      <c r="C2236" t="s">
        <v>211</v>
      </c>
    </row>
    <row r="2237" spans="2:3" x14ac:dyDescent="0.35">
      <c r="B2237" t="s">
        <v>870</v>
      </c>
      <c r="C2237" t="s">
        <v>871</v>
      </c>
    </row>
    <row r="2238" spans="2:3" x14ac:dyDescent="0.35">
      <c r="B2238" t="s">
        <v>430</v>
      </c>
      <c r="C2238" t="s">
        <v>431</v>
      </c>
    </row>
    <row r="2239" spans="2:3" x14ac:dyDescent="0.35">
      <c r="B2239" t="s">
        <v>674</v>
      </c>
      <c r="C2239" t="s">
        <v>675</v>
      </c>
    </row>
    <row r="2240" spans="2:3" x14ac:dyDescent="0.35">
      <c r="B2240" t="s">
        <v>787</v>
      </c>
      <c r="C2240" t="s">
        <v>788</v>
      </c>
    </row>
    <row r="2241" spans="2:3" x14ac:dyDescent="0.35">
      <c r="B2241" t="s">
        <v>485</v>
      </c>
      <c r="C2241" t="s">
        <v>486</v>
      </c>
    </row>
    <row r="2242" spans="2:3" x14ac:dyDescent="0.35">
      <c r="B2242" t="s">
        <v>1195</v>
      </c>
      <c r="C2242" t="s">
        <v>1195</v>
      </c>
    </row>
    <row r="2243" spans="2:3" x14ac:dyDescent="0.35">
      <c r="B2243" t="s">
        <v>787</v>
      </c>
      <c r="C2243" t="s">
        <v>788</v>
      </c>
    </row>
    <row r="2244" spans="2:3" x14ac:dyDescent="0.35">
      <c r="B2244" t="s">
        <v>958</v>
      </c>
      <c r="C2244" t="s">
        <v>959</v>
      </c>
    </row>
    <row r="2245" spans="2:3" x14ac:dyDescent="0.35">
      <c r="B2245" t="s">
        <v>495</v>
      </c>
      <c r="C2245" t="s">
        <v>496</v>
      </c>
    </row>
    <row r="2246" spans="2:3" x14ac:dyDescent="0.35">
      <c r="B2246" t="s">
        <v>963</v>
      </c>
      <c r="C2246" t="s">
        <v>964</v>
      </c>
    </row>
    <row r="2247" spans="2:3" x14ac:dyDescent="0.35">
      <c r="B2247" t="s">
        <v>543</v>
      </c>
      <c r="C2247" t="s">
        <v>544</v>
      </c>
    </row>
    <row r="2248" spans="2:3" x14ac:dyDescent="0.35">
      <c r="B2248" t="s">
        <v>787</v>
      </c>
      <c r="C2248" t="s">
        <v>788</v>
      </c>
    </row>
    <row r="2249" spans="2:3" x14ac:dyDescent="0.35">
      <c r="B2249" t="s">
        <v>1061</v>
      </c>
      <c r="C2249" t="s">
        <v>1062</v>
      </c>
    </row>
    <row r="2250" spans="2:3" x14ac:dyDescent="0.35">
      <c r="B2250" t="s">
        <v>254</v>
      </c>
      <c r="C2250" t="s">
        <v>255</v>
      </c>
    </row>
    <row r="2251" spans="2:3" x14ac:dyDescent="0.35">
      <c r="B2251" t="s">
        <v>531</v>
      </c>
      <c r="C2251" t="s">
        <v>532</v>
      </c>
    </row>
    <row r="2252" spans="2:3" x14ac:dyDescent="0.35">
      <c r="B2252" t="s">
        <v>437</v>
      </c>
      <c r="C2252" t="s">
        <v>438</v>
      </c>
    </row>
    <row r="2253" spans="2:3" x14ac:dyDescent="0.35">
      <c r="B2253" t="s">
        <v>640</v>
      </c>
      <c r="C2253" t="s">
        <v>641</v>
      </c>
    </row>
    <row r="2254" spans="2:3" x14ac:dyDescent="0.35">
      <c r="B2254" t="s">
        <v>589</v>
      </c>
      <c r="C2254" t="s">
        <v>590</v>
      </c>
    </row>
    <row r="2255" spans="2:3" x14ac:dyDescent="0.35">
      <c r="B2255" t="s">
        <v>868</v>
      </c>
      <c r="C2255" t="s">
        <v>869</v>
      </c>
    </row>
    <row r="2256" spans="2:3" x14ac:dyDescent="0.35">
      <c r="B2256" t="s">
        <v>122</v>
      </c>
      <c r="C2256" t="s">
        <v>123</v>
      </c>
    </row>
    <row r="2257" spans="2:3" x14ac:dyDescent="0.35">
      <c r="B2257" t="s">
        <v>90</v>
      </c>
      <c r="C2257" t="s">
        <v>91</v>
      </c>
    </row>
    <row r="2258" spans="2:3" x14ac:dyDescent="0.35">
      <c r="B2258" t="s">
        <v>107</v>
      </c>
      <c r="C2258" t="s">
        <v>108</v>
      </c>
    </row>
    <row r="2259" spans="2:3" x14ac:dyDescent="0.35">
      <c r="B2259" t="s">
        <v>692</v>
      </c>
      <c r="C2259" t="s">
        <v>693</v>
      </c>
    </row>
    <row r="2260" spans="2:3" x14ac:dyDescent="0.35">
      <c r="B2260" t="s">
        <v>787</v>
      </c>
      <c r="C2260" t="s">
        <v>788</v>
      </c>
    </row>
    <row r="2261" spans="2:3" x14ac:dyDescent="0.35">
      <c r="B2261" t="s">
        <v>642</v>
      </c>
      <c r="C2261" t="s">
        <v>643</v>
      </c>
    </row>
    <row r="2262" spans="2:3" x14ac:dyDescent="0.35">
      <c r="B2262" t="s">
        <v>378</v>
      </c>
      <c r="C2262" t="s">
        <v>379</v>
      </c>
    </row>
    <row r="2263" spans="2:3" x14ac:dyDescent="0.35">
      <c r="B2263" t="s">
        <v>961</v>
      </c>
      <c r="C2263" t="s">
        <v>962</v>
      </c>
    </row>
    <row r="2264" spans="2:3" x14ac:dyDescent="0.35">
      <c r="B2264" t="s">
        <v>787</v>
      </c>
      <c r="C2264" t="s">
        <v>788</v>
      </c>
    </row>
    <row r="2265" spans="2:3" x14ac:dyDescent="0.35">
      <c r="B2265" t="s">
        <v>72</v>
      </c>
      <c r="C2265" t="s">
        <v>73</v>
      </c>
    </row>
    <row r="2266" spans="2:3" x14ac:dyDescent="0.35">
      <c r="B2266" t="s">
        <v>527</v>
      </c>
      <c r="C2266" t="s">
        <v>528</v>
      </c>
    </row>
    <row r="2267" spans="2:3" x14ac:dyDescent="0.35">
      <c r="B2267" t="s">
        <v>787</v>
      </c>
      <c r="C2267" t="s">
        <v>788</v>
      </c>
    </row>
    <row r="2268" spans="2:3" x14ac:dyDescent="0.35">
      <c r="B2268" t="s">
        <v>787</v>
      </c>
      <c r="C2268" t="s">
        <v>788</v>
      </c>
    </row>
    <row r="2269" spans="2:3" x14ac:dyDescent="0.35">
      <c r="B2269" t="s">
        <v>950</v>
      </c>
      <c r="C2269" t="s">
        <v>951</v>
      </c>
    </row>
    <row r="2270" spans="2:3" x14ac:dyDescent="0.35">
      <c r="B2270" t="s">
        <v>58</v>
      </c>
      <c r="C2270" t="s">
        <v>59</v>
      </c>
    </row>
    <row r="2271" spans="2:3" x14ac:dyDescent="0.35">
      <c r="B2271" t="s">
        <v>395</v>
      </c>
      <c r="C2271" t="s">
        <v>396</v>
      </c>
    </row>
    <row r="2272" spans="2:3" x14ac:dyDescent="0.35">
      <c r="B2272" t="s">
        <v>700</v>
      </c>
      <c r="C2272" t="s">
        <v>701</v>
      </c>
    </row>
    <row r="2273" spans="2:3" x14ac:dyDescent="0.35">
      <c r="B2273" t="s">
        <v>283</v>
      </c>
      <c r="C2273" t="s">
        <v>284</v>
      </c>
    </row>
    <row r="2274" spans="2:3" x14ac:dyDescent="0.35">
      <c r="B2274" t="s">
        <v>208</v>
      </c>
      <c r="C2274" t="s">
        <v>209</v>
      </c>
    </row>
    <row r="2275" spans="2:3" x14ac:dyDescent="0.35">
      <c r="B2275" t="s">
        <v>176</v>
      </c>
      <c r="C2275" t="s">
        <v>177</v>
      </c>
    </row>
    <row r="2276" spans="2:3" x14ac:dyDescent="0.35">
      <c r="B2276" t="s">
        <v>387</v>
      </c>
      <c r="C2276" t="s">
        <v>388</v>
      </c>
    </row>
    <row r="2277" spans="2:3" x14ac:dyDescent="0.35">
      <c r="B2277" t="s">
        <v>465</v>
      </c>
      <c r="C2277" t="s">
        <v>466</v>
      </c>
    </row>
    <row r="2278" spans="2:3" x14ac:dyDescent="0.35">
      <c r="B2278" t="s">
        <v>202</v>
      </c>
      <c r="C2278" t="s">
        <v>203</v>
      </c>
    </row>
    <row r="2279" spans="2:3" x14ac:dyDescent="0.35">
      <c r="B2279" t="s">
        <v>787</v>
      </c>
      <c r="C2279" t="s">
        <v>788</v>
      </c>
    </row>
    <row r="2280" spans="2:3" x14ac:dyDescent="0.35">
      <c r="B2280" t="s">
        <v>787</v>
      </c>
      <c r="C2280" t="s">
        <v>788</v>
      </c>
    </row>
    <row r="2281" spans="2:3" x14ac:dyDescent="0.35">
      <c r="B2281" t="s">
        <v>293</v>
      </c>
      <c r="C2281" t="s">
        <v>294</v>
      </c>
    </row>
    <row r="2282" spans="2:3" x14ac:dyDescent="0.35">
      <c r="B2282" t="s">
        <v>787</v>
      </c>
      <c r="C2282" t="s">
        <v>788</v>
      </c>
    </row>
    <row r="2283" spans="2:3" x14ac:dyDescent="0.35">
      <c r="B2283" t="s">
        <v>787</v>
      </c>
      <c r="C2283" t="s">
        <v>788</v>
      </c>
    </row>
    <row r="2284" spans="2:3" x14ac:dyDescent="0.35">
      <c r="B2284" t="s">
        <v>557</v>
      </c>
      <c r="C2284" t="s">
        <v>558</v>
      </c>
    </row>
    <row r="2285" spans="2:3" x14ac:dyDescent="0.35">
      <c r="B2285" t="s">
        <v>787</v>
      </c>
      <c r="C2285" t="s">
        <v>788</v>
      </c>
    </row>
    <row r="2286" spans="2:3" x14ac:dyDescent="0.35">
      <c r="B2286" t="s">
        <v>658</v>
      </c>
      <c r="C2286" t="s">
        <v>659</v>
      </c>
    </row>
    <row r="2287" spans="2:3" x14ac:dyDescent="0.35">
      <c r="B2287" t="s">
        <v>393</v>
      </c>
      <c r="C2287" t="s">
        <v>394</v>
      </c>
    </row>
    <row r="2288" spans="2:3" x14ac:dyDescent="0.35">
      <c r="B2288" t="s">
        <v>642</v>
      </c>
      <c r="C2288" t="s">
        <v>643</v>
      </c>
    </row>
    <row r="2289" spans="2:3" x14ac:dyDescent="0.35">
      <c r="B2289" t="s">
        <v>174</v>
      </c>
      <c r="C2289" t="s">
        <v>175</v>
      </c>
    </row>
    <row r="2290" spans="2:3" x14ac:dyDescent="0.35">
      <c r="B2290" t="s">
        <v>465</v>
      </c>
      <c r="C2290" t="s">
        <v>466</v>
      </c>
    </row>
    <row r="2291" spans="2:3" x14ac:dyDescent="0.35">
      <c r="B2291" t="s">
        <v>700</v>
      </c>
      <c r="C2291" t="s">
        <v>701</v>
      </c>
    </row>
    <row r="2292" spans="2:3" x14ac:dyDescent="0.35">
      <c r="B2292" t="s">
        <v>658</v>
      </c>
      <c r="C2292" t="s">
        <v>659</v>
      </c>
    </row>
    <row r="2293" spans="2:3" x14ac:dyDescent="0.35">
      <c r="B2293" t="s">
        <v>537</v>
      </c>
      <c r="C2293" t="s">
        <v>538</v>
      </c>
    </row>
    <row r="2294" spans="2:3" x14ac:dyDescent="0.35">
      <c r="B2294" t="s">
        <v>511</v>
      </c>
      <c r="C2294" t="s">
        <v>512</v>
      </c>
    </row>
    <row r="2295" spans="2:3" x14ac:dyDescent="0.35">
      <c r="B2295" t="s">
        <v>662</v>
      </c>
      <c r="C2295" t="s">
        <v>663</v>
      </c>
    </row>
    <row r="2296" spans="2:3" x14ac:dyDescent="0.35">
      <c r="B2296" t="s">
        <v>692</v>
      </c>
      <c r="C2296" t="s">
        <v>693</v>
      </c>
    </row>
    <row r="2297" spans="2:3" x14ac:dyDescent="0.35">
      <c r="B2297" t="s">
        <v>545</v>
      </c>
      <c r="C2297" t="s">
        <v>546</v>
      </c>
    </row>
    <row r="2298" spans="2:3" x14ac:dyDescent="0.35">
      <c r="B2298" t="s">
        <v>378</v>
      </c>
      <c r="C2298" t="s">
        <v>379</v>
      </c>
    </row>
    <row r="2299" spans="2:3" x14ac:dyDescent="0.35">
      <c r="B2299" t="s">
        <v>208</v>
      </c>
      <c r="C2299" t="s">
        <v>209</v>
      </c>
    </row>
    <row r="2300" spans="2:3" x14ac:dyDescent="0.35">
      <c r="B2300" t="s">
        <v>787</v>
      </c>
      <c r="C2300" t="s">
        <v>788</v>
      </c>
    </row>
    <row r="2301" spans="2:3" x14ac:dyDescent="0.35">
      <c r="B2301" t="s">
        <v>289</v>
      </c>
      <c r="C2301" t="s">
        <v>290</v>
      </c>
    </row>
    <row r="2302" spans="2:3" x14ac:dyDescent="0.35">
      <c r="B2302" t="s">
        <v>694</v>
      </c>
      <c r="C2302" t="s">
        <v>695</v>
      </c>
    </row>
    <row r="2303" spans="2:3" x14ac:dyDescent="0.35">
      <c r="B2303" t="s">
        <v>787</v>
      </c>
      <c r="C2303" t="s">
        <v>788</v>
      </c>
    </row>
    <row r="2304" spans="2:3" x14ac:dyDescent="0.35">
      <c r="B2304" t="s">
        <v>787</v>
      </c>
      <c r="C2304" t="s">
        <v>788</v>
      </c>
    </row>
    <row r="2305" spans="2:3" x14ac:dyDescent="0.35">
      <c r="B2305" t="s">
        <v>219</v>
      </c>
      <c r="C2305" t="s">
        <v>220</v>
      </c>
    </row>
    <row r="2306" spans="2:3" x14ac:dyDescent="0.35">
      <c r="B2306" t="s">
        <v>523</v>
      </c>
      <c r="C2306" t="s">
        <v>524</v>
      </c>
    </row>
    <row r="2307" spans="2:3" x14ac:dyDescent="0.35">
      <c r="B2307" t="s">
        <v>465</v>
      </c>
      <c r="C2307" t="s">
        <v>466</v>
      </c>
    </row>
    <row r="2308" spans="2:3" x14ac:dyDescent="0.35">
      <c r="B2308" t="s">
        <v>857</v>
      </c>
      <c r="C2308" t="s">
        <v>858</v>
      </c>
    </row>
    <row r="2309" spans="2:3" x14ac:dyDescent="0.35">
      <c r="B2309" t="s">
        <v>56</v>
      </c>
      <c r="C2309" t="s">
        <v>57</v>
      </c>
    </row>
    <row r="2310" spans="2:3" x14ac:dyDescent="0.35">
      <c r="B2310" t="s">
        <v>692</v>
      </c>
      <c r="C2310" t="s">
        <v>693</v>
      </c>
    </row>
    <row r="2311" spans="2:3" x14ac:dyDescent="0.35">
      <c r="B2311" t="s">
        <v>1079</v>
      </c>
      <c r="C2311" t="s">
        <v>1080</v>
      </c>
    </row>
    <row r="2312" spans="2:3" x14ac:dyDescent="0.35">
      <c r="B2312" t="s">
        <v>485</v>
      </c>
      <c r="C2312" t="s">
        <v>486</v>
      </c>
    </row>
    <row r="2313" spans="2:3" x14ac:dyDescent="0.35">
      <c r="B2313" t="s">
        <v>457</v>
      </c>
      <c r="C2313" t="s">
        <v>458</v>
      </c>
    </row>
    <row r="2314" spans="2:3" x14ac:dyDescent="0.35">
      <c r="B2314" t="s">
        <v>219</v>
      </c>
      <c r="C2314" t="s">
        <v>220</v>
      </c>
    </row>
    <row r="2315" spans="2:3" x14ac:dyDescent="0.35">
      <c r="B2315" t="s">
        <v>350</v>
      </c>
      <c r="C2315" t="s">
        <v>351</v>
      </c>
    </row>
    <row r="2316" spans="2:3" x14ac:dyDescent="0.35">
      <c r="B2316" t="s">
        <v>642</v>
      </c>
      <c r="C2316" t="s">
        <v>643</v>
      </c>
    </row>
    <row r="2317" spans="2:3" x14ac:dyDescent="0.35">
      <c r="B2317" t="s">
        <v>874</v>
      </c>
      <c r="C2317" t="s">
        <v>875</v>
      </c>
    </row>
    <row r="2318" spans="2:3" x14ac:dyDescent="0.35">
      <c r="B2318" t="s">
        <v>210</v>
      </c>
      <c r="C2318" t="s">
        <v>211</v>
      </c>
    </row>
    <row r="2319" spans="2:3" x14ac:dyDescent="0.35">
      <c r="B2319" t="s">
        <v>449</v>
      </c>
      <c r="C2319" t="s">
        <v>450</v>
      </c>
    </row>
    <row r="2320" spans="2:3" x14ac:dyDescent="0.35">
      <c r="B2320" t="s">
        <v>212</v>
      </c>
      <c r="C2320" t="s">
        <v>213</v>
      </c>
    </row>
    <row r="2321" spans="2:3" x14ac:dyDescent="0.35">
      <c r="B2321" t="s">
        <v>557</v>
      </c>
      <c r="C2321" t="s">
        <v>558</v>
      </c>
    </row>
    <row r="2322" spans="2:3" x14ac:dyDescent="0.35">
      <c r="B2322" t="s">
        <v>64</v>
      </c>
      <c r="C2322" t="s">
        <v>65</v>
      </c>
    </row>
    <row r="2323" spans="2:3" x14ac:dyDescent="0.35">
      <c r="B2323" t="s">
        <v>787</v>
      </c>
      <c r="C2323" t="s">
        <v>788</v>
      </c>
    </row>
    <row r="2324" spans="2:3" x14ac:dyDescent="0.35">
      <c r="B2324" t="s">
        <v>787</v>
      </c>
      <c r="C2324" t="s">
        <v>788</v>
      </c>
    </row>
    <row r="2325" spans="2:3" x14ac:dyDescent="0.35">
      <c r="B2325" t="s">
        <v>787</v>
      </c>
      <c r="C2325" t="s">
        <v>788</v>
      </c>
    </row>
    <row r="2326" spans="2:3" x14ac:dyDescent="0.35">
      <c r="B2326" t="s">
        <v>208</v>
      </c>
      <c r="C2326" t="s">
        <v>209</v>
      </c>
    </row>
    <row r="2327" spans="2:3" x14ac:dyDescent="0.35">
      <c r="B2327" t="s">
        <v>787</v>
      </c>
      <c r="C2327" t="s">
        <v>788</v>
      </c>
    </row>
    <row r="2328" spans="2:3" x14ac:dyDescent="0.35">
      <c r="B2328" t="s">
        <v>787</v>
      </c>
      <c r="C2328" t="s">
        <v>788</v>
      </c>
    </row>
    <row r="2329" spans="2:3" x14ac:dyDescent="0.35">
      <c r="B2329" t="s">
        <v>467</v>
      </c>
      <c r="C2329" t="s">
        <v>468</v>
      </c>
    </row>
    <row r="2330" spans="2:3" x14ac:dyDescent="0.35">
      <c r="B2330" t="s">
        <v>260</v>
      </c>
      <c r="C2330" t="s">
        <v>261</v>
      </c>
    </row>
    <row r="2331" spans="2:3" x14ac:dyDescent="0.35">
      <c r="B2331" t="s">
        <v>539</v>
      </c>
      <c r="C2331" t="s">
        <v>540</v>
      </c>
    </row>
    <row r="2332" spans="2:3" x14ac:dyDescent="0.35">
      <c r="B2332" t="s">
        <v>553</v>
      </c>
      <c r="C2332" t="s">
        <v>554</v>
      </c>
    </row>
    <row r="2333" spans="2:3" x14ac:dyDescent="0.35">
      <c r="B2333" t="s">
        <v>662</v>
      </c>
      <c r="C2333" t="s">
        <v>663</v>
      </c>
    </row>
    <row r="2334" spans="2:3" x14ac:dyDescent="0.35">
      <c r="B2334" t="s">
        <v>700</v>
      </c>
      <c r="C2334" t="s">
        <v>701</v>
      </c>
    </row>
    <row r="2335" spans="2:3" x14ac:dyDescent="0.35">
      <c r="B2335" t="s">
        <v>692</v>
      </c>
      <c r="C2335" t="s">
        <v>693</v>
      </c>
    </row>
    <row r="2336" spans="2:3" x14ac:dyDescent="0.35">
      <c r="B2336" t="s">
        <v>787</v>
      </c>
      <c r="C2336" t="s">
        <v>788</v>
      </c>
    </row>
    <row r="2337" spans="2:3" x14ac:dyDescent="0.35">
      <c r="B2337" t="s">
        <v>787</v>
      </c>
      <c r="C2337" t="s">
        <v>788</v>
      </c>
    </row>
    <row r="2338" spans="2:3" x14ac:dyDescent="0.35">
      <c r="B2338" t="s">
        <v>787</v>
      </c>
      <c r="C2338" t="s">
        <v>788</v>
      </c>
    </row>
    <row r="2339" spans="2:3" x14ac:dyDescent="0.35">
      <c r="B2339" t="s">
        <v>958</v>
      </c>
      <c r="C2339" t="s">
        <v>959</v>
      </c>
    </row>
    <row r="2340" spans="2:3" x14ac:dyDescent="0.35">
      <c r="B2340" t="s">
        <v>577</v>
      </c>
      <c r="C2340" t="s">
        <v>578</v>
      </c>
    </row>
    <row r="2341" spans="2:3" x14ac:dyDescent="0.35">
      <c r="B2341" t="s">
        <v>122</v>
      </c>
      <c r="C2341" t="s">
        <v>123</v>
      </c>
    </row>
    <row r="2342" spans="2:3" x14ac:dyDescent="0.35">
      <c r="B2342" t="s">
        <v>703</v>
      </c>
      <c r="C2342" t="s">
        <v>704</v>
      </c>
    </row>
    <row r="2343" spans="2:3" x14ac:dyDescent="0.35">
      <c r="B2343" t="s">
        <v>787</v>
      </c>
      <c r="C2343" t="s">
        <v>788</v>
      </c>
    </row>
    <row r="2344" spans="2:3" x14ac:dyDescent="0.35">
      <c r="B2344" t="s">
        <v>58</v>
      </c>
      <c r="C2344" t="s">
        <v>59</v>
      </c>
    </row>
    <row r="2345" spans="2:3" x14ac:dyDescent="0.35">
      <c r="B2345" t="s">
        <v>260</v>
      </c>
      <c r="C2345" t="s">
        <v>261</v>
      </c>
    </row>
    <row r="2346" spans="2:3" x14ac:dyDescent="0.35">
      <c r="B2346" t="s">
        <v>58</v>
      </c>
      <c r="C2346" t="s">
        <v>59</v>
      </c>
    </row>
    <row r="2347" spans="2:3" x14ac:dyDescent="0.35">
      <c r="B2347" t="s">
        <v>787</v>
      </c>
      <c r="C2347" t="s">
        <v>788</v>
      </c>
    </row>
    <row r="2348" spans="2:3" x14ac:dyDescent="0.35">
      <c r="B2348" t="s">
        <v>499</v>
      </c>
      <c r="C2348" t="s">
        <v>500</v>
      </c>
    </row>
    <row r="2349" spans="2:3" x14ac:dyDescent="0.35">
      <c r="B2349" t="s">
        <v>559</v>
      </c>
      <c r="C2349" t="s">
        <v>560</v>
      </c>
    </row>
    <row r="2350" spans="2:3" x14ac:dyDescent="0.35">
      <c r="B2350" t="s">
        <v>787</v>
      </c>
      <c r="C2350" t="s">
        <v>788</v>
      </c>
    </row>
    <row r="2351" spans="2:3" x14ac:dyDescent="0.35">
      <c r="B2351" t="s">
        <v>105</v>
      </c>
      <c r="C2351" t="s">
        <v>106</v>
      </c>
    </row>
    <row r="2352" spans="2:3" x14ac:dyDescent="0.35">
      <c r="B2352" t="s">
        <v>700</v>
      </c>
      <c r="C2352" t="s">
        <v>701</v>
      </c>
    </row>
    <row r="2353" spans="2:3" x14ac:dyDescent="0.35">
      <c r="B2353" t="s">
        <v>573</v>
      </c>
      <c r="C2353" t="s">
        <v>574</v>
      </c>
    </row>
    <row r="2354" spans="2:3" x14ac:dyDescent="0.35">
      <c r="B2354" t="s">
        <v>58</v>
      </c>
      <c r="C2354" t="s">
        <v>59</v>
      </c>
    </row>
    <row r="2355" spans="2:3" x14ac:dyDescent="0.35">
      <c r="B2355" t="s">
        <v>787</v>
      </c>
      <c r="C2355" t="s">
        <v>788</v>
      </c>
    </row>
    <row r="2356" spans="2:3" x14ac:dyDescent="0.35">
      <c r="B2356" t="s">
        <v>694</v>
      </c>
      <c r="C2356" t="s">
        <v>695</v>
      </c>
    </row>
    <row r="2357" spans="2:3" x14ac:dyDescent="0.35">
      <c r="B2357" t="s">
        <v>539</v>
      </c>
      <c r="C2357" t="s">
        <v>540</v>
      </c>
    </row>
    <row r="2358" spans="2:3" x14ac:dyDescent="0.35">
      <c r="B2358" t="s">
        <v>694</v>
      </c>
      <c r="C2358" t="s">
        <v>695</v>
      </c>
    </row>
    <row r="2359" spans="2:3" x14ac:dyDescent="0.35">
      <c r="B2359" t="s">
        <v>632</v>
      </c>
      <c r="C2359" t="s">
        <v>633</v>
      </c>
    </row>
    <row r="2360" spans="2:3" x14ac:dyDescent="0.35">
      <c r="B2360" t="s">
        <v>700</v>
      </c>
      <c r="C2360" t="s">
        <v>701</v>
      </c>
    </row>
    <row r="2361" spans="2:3" x14ac:dyDescent="0.35">
      <c r="B2361" t="s">
        <v>787</v>
      </c>
      <c r="C2361" t="s">
        <v>788</v>
      </c>
    </row>
    <row r="2362" spans="2:3" x14ac:dyDescent="0.35">
      <c r="B2362" t="s">
        <v>443</v>
      </c>
      <c r="C2362" t="s">
        <v>444</v>
      </c>
    </row>
    <row r="2363" spans="2:3" x14ac:dyDescent="0.35">
      <c r="B2363" t="s">
        <v>198</v>
      </c>
      <c r="C2363" t="s">
        <v>199</v>
      </c>
    </row>
    <row r="2364" spans="2:3" x14ac:dyDescent="0.35">
      <c r="B2364" t="s">
        <v>1061</v>
      </c>
      <c r="C2364" t="s">
        <v>1062</v>
      </c>
    </row>
    <row r="2365" spans="2:3" x14ac:dyDescent="0.35">
      <c r="B2365" t="s">
        <v>279</v>
      </c>
      <c r="C2365" t="s">
        <v>280</v>
      </c>
    </row>
    <row r="2366" spans="2:3" x14ac:dyDescent="0.35">
      <c r="B2366" t="s">
        <v>787</v>
      </c>
      <c r="C2366" t="s">
        <v>788</v>
      </c>
    </row>
    <row r="2367" spans="2:3" x14ac:dyDescent="0.35">
      <c r="B2367" t="s">
        <v>986</v>
      </c>
      <c r="C2367" t="s">
        <v>987</v>
      </c>
    </row>
    <row r="2368" spans="2:3" x14ac:dyDescent="0.35">
      <c r="B2368" t="s">
        <v>507</v>
      </c>
      <c r="C2368" t="s">
        <v>508</v>
      </c>
    </row>
    <row r="2369" spans="2:3" x14ac:dyDescent="0.35">
      <c r="B2369" t="s">
        <v>395</v>
      </c>
      <c r="C2369" t="s">
        <v>396</v>
      </c>
    </row>
    <row r="2370" spans="2:3" x14ac:dyDescent="0.35">
      <c r="B2370" t="s">
        <v>549</v>
      </c>
      <c r="C2370" t="s">
        <v>550</v>
      </c>
    </row>
    <row r="2371" spans="2:3" x14ac:dyDescent="0.35">
      <c r="B2371" t="s">
        <v>650</v>
      </c>
      <c r="C2371" t="s">
        <v>651</v>
      </c>
    </row>
    <row r="2372" spans="2:3" x14ac:dyDescent="0.35">
      <c r="B2372" t="s">
        <v>958</v>
      </c>
      <c r="C2372" t="s">
        <v>959</v>
      </c>
    </row>
    <row r="2373" spans="2:3" x14ac:dyDescent="0.35">
      <c r="B2373" t="s">
        <v>531</v>
      </c>
      <c r="C2373" t="s">
        <v>532</v>
      </c>
    </row>
    <row r="2374" spans="2:3" x14ac:dyDescent="0.35">
      <c r="B2374" t="s">
        <v>202</v>
      </c>
      <c r="C2374" t="s">
        <v>203</v>
      </c>
    </row>
    <row r="2375" spans="2:3" x14ac:dyDescent="0.35">
      <c r="B2375" t="s">
        <v>694</v>
      </c>
      <c r="C2375" t="s">
        <v>695</v>
      </c>
    </row>
    <row r="2376" spans="2:3" x14ac:dyDescent="0.35">
      <c r="B2376" t="s">
        <v>787</v>
      </c>
      <c r="C2376" t="s">
        <v>788</v>
      </c>
    </row>
    <row r="2377" spans="2:3" x14ac:dyDescent="0.35">
      <c r="B2377" t="s">
        <v>376</v>
      </c>
      <c r="C2377" t="s">
        <v>377</v>
      </c>
    </row>
    <row r="2378" spans="2:3" x14ac:dyDescent="0.35">
      <c r="B2378" t="s">
        <v>642</v>
      </c>
      <c r="C2378" t="s">
        <v>643</v>
      </c>
    </row>
    <row r="2379" spans="2:3" x14ac:dyDescent="0.35">
      <c r="B2379" t="s">
        <v>232</v>
      </c>
      <c r="C2379" t="s">
        <v>233</v>
      </c>
    </row>
    <row r="2380" spans="2:3" x14ac:dyDescent="0.35">
      <c r="B2380" t="s">
        <v>694</v>
      </c>
      <c r="C2380" t="s">
        <v>695</v>
      </c>
    </row>
    <row r="2381" spans="2:3" x14ac:dyDescent="0.35">
      <c r="B2381" t="s">
        <v>457</v>
      </c>
      <c r="C2381" t="s">
        <v>458</v>
      </c>
    </row>
    <row r="2382" spans="2:3" x14ac:dyDescent="0.35">
      <c r="B2382" t="s">
        <v>787</v>
      </c>
      <c r="C2382" t="s">
        <v>788</v>
      </c>
    </row>
    <row r="2383" spans="2:3" x14ac:dyDescent="0.35">
      <c r="B2383" t="s">
        <v>103</v>
      </c>
      <c r="C2383" t="s">
        <v>104</v>
      </c>
    </row>
    <row r="2384" spans="2:3" x14ac:dyDescent="0.35">
      <c r="B2384" t="s">
        <v>640</v>
      </c>
      <c r="C2384" t="s">
        <v>641</v>
      </c>
    </row>
    <row r="2385" spans="2:3" x14ac:dyDescent="0.35">
      <c r="B2385" t="s">
        <v>662</v>
      </c>
      <c r="C2385" t="s">
        <v>663</v>
      </c>
    </row>
    <row r="2386" spans="2:3" x14ac:dyDescent="0.35">
      <c r="B2386" t="s">
        <v>703</v>
      </c>
      <c r="C2386" t="s">
        <v>704</v>
      </c>
    </row>
    <row r="2387" spans="2:3" x14ac:dyDescent="0.35">
      <c r="B2387" t="s">
        <v>208</v>
      </c>
      <c r="C2387" t="s">
        <v>209</v>
      </c>
    </row>
    <row r="2388" spans="2:3" x14ac:dyDescent="0.35">
      <c r="B2388" t="s">
        <v>378</v>
      </c>
      <c r="C2388" t="s">
        <v>379</v>
      </c>
    </row>
    <row r="2389" spans="2:3" x14ac:dyDescent="0.35">
      <c r="B2389" t="s">
        <v>495</v>
      </c>
      <c r="C2389" t="s">
        <v>496</v>
      </c>
    </row>
    <row r="2390" spans="2:3" x14ac:dyDescent="0.35">
      <c r="B2390" t="s">
        <v>176</v>
      </c>
      <c r="C2390" t="s">
        <v>177</v>
      </c>
    </row>
    <row r="2391" spans="2:3" x14ac:dyDescent="0.35">
      <c r="B2391" t="s">
        <v>1172</v>
      </c>
      <c r="C2391" t="s">
        <v>1173</v>
      </c>
    </row>
    <row r="2392" spans="2:3" x14ac:dyDescent="0.35">
      <c r="B2392" t="s">
        <v>868</v>
      </c>
      <c r="C2392" t="s">
        <v>869</v>
      </c>
    </row>
    <row r="2393" spans="2:3" x14ac:dyDescent="0.35">
      <c r="B2393" t="s">
        <v>787</v>
      </c>
      <c r="C2393" t="s">
        <v>788</v>
      </c>
    </row>
    <row r="2394" spans="2:3" x14ac:dyDescent="0.35">
      <c r="B2394" t="s">
        <v>1061</v>
      </c>
      <c r="C2394" t="s">
        <v>1062</v>
      </c>
    </row>
    <row r="2395" spans="2:3" x14ac:dyDescent="0.35">
      <c r="B2395" t="s">
        <v>787</v>
      </c>
      <c r="C2395" t="s">
        <v>788</v>
      </c>
    </row>
    <row r="2396" spans="2:3" x14ac:dyDescent="0.35">
      <c r="B2396" t="s">
        <v>553</v>
      </c>
      <c r="C2396" t="s">
        <v>554</v>
      </c>
    </row>
    <row r="2397" spans="2:3" x14ac:dyDescent="0.35">
      <c r="B2397" t="s">
        <v>1061</v>
      </c>
      <c r="C2397" t="s">
        <v>1062</v>
      </c>
    </row>
    <row r="2398" spans="2:3" x14ac:dyDescent="0.35">
      <c r="B2398" t="s">
        <v>662</v>
      </c>
      <c r="C2398" t="s">
        <v>663</v>
      </c>
    </row>
    <row r="2399" spans="2:3" x14ac:dyDescent="0.35">
      <c r="B2399" t="s">
        <v>511</v>
      </c>
      <c r="C2399" t="s">
        <v>512</v>
      </c>
    </row>
    <row r="2400" spans="2:3" x14ac:dyDescent="0.35">
      <c r="B2400" t="s">
        <v>589</v>
      </c>
      <c r="C2400" t="s">
        <v>590</v>
      </c>
    </row>
    <row r="2401" spans="2:3" x14ac:dyDescent="0.35">
      <c r="B2401" t="s">
        <v>202</v>
      </c>
      <c r="C2401" t="s">
        <v>203</v>
      </c>
    </row>
    <row r="2402" spans="2:3" x14ac:dyDescent="0.35">
      <c r="B2402" t="s">
        <v>642</v>
      </c>
      <c r="C2402" t="s">
        <v>643</v>
      </c>
    </row>
    <row r="2403" spans="2:3" x14ac:dyDescent="0.35">
      <c r="B2403" t="s">
        <v>202</v>
      </c>
      <c r="C2403" t="s">
        <v>203</v>
      </c>
    </row>
    <row r="2404" spans="2:3" x14ac:dyDescent="0.35">
      <c r="B2404" t="s">
        <v>208</v>
      </c>
      <c r="C2404" t="s">
        <v>209</v>
      </c>
    </row>
    <row r="2405" spans="2:3" x14ac:dyDescent="0.35">
      <c r="B2405" t="s">
        <v>46</v>
      </c>
      <c r="C2405" t="s">
        <v>47</v>
      </c>
    </row>
    <row r="2406" spans="2:3" x14ac:dyDescent="0.35">
      <c r="B2406" t="s">
        <v>787</v>
      </c>
      <c r="C2406" t="s">
        <v>788</v>
      </c>
    </row>
    <row r="2407" spans="2:3" x14ac:dyDescent="0.35">
      <c r="B2407" t="s">
        <v>642</v>
      </c>
      <c r="C2407" t="s">
        <v>643</v>
      </c>
    </row>
    <row r="2408" spans="2:3" x14ac:dyDescent="0.35">
      <c r="B2408" t="s">
        <v>703</v>
      </c>
      <c r="C2408" t="s">
        <v>704</v>
      </c>
    </row>
    <row r="2409" spans="2:3" x14ac:dyDescent="0.35">
      <c r="B2409" t="s">
        <v>601</v>
      </c>
      <c r="C2409" t="s">
        <v>602</v>
      </c>
    </row>
    <row r="2410" spans="2:3" x14ac:dyDescent="0.35">
      <c r="B2410" t="s">
        <v>416</v>
      </c>
      <c r="C2410" t="s">
        <v>417</v>
      </c>
    </row>
    <row r="2411" spans="2:3" x14ac:dyDescent="0.35">
      <c r="B2411" t="s">
        <v>350</v>
      </c>
      <c r="C2411" t="s">
        <v>351</v>
      </c>
    </row>
    <row r="2412" spans="2:3" x14ac:dyDescent="0.35">
      <c r="B2412" t="s">
        <v>652</v>
      </c>
      <c r="C2412" t="s">
        <v>653</v>
      </c>
    </row>
    <row r="2413" spans="2:3" x14ac:dyDescent="0.35">
      <c r="B2413" t="s">
        <v>963</v>
      </c>
      <c r="C2413" t="s">
        <v>964</v>
      </c>
    </row>
    <row r="2414" spans="2:3" x14ac:dyDescent="0.35">
      <c r="B2414" t="s">
        <v>163</v>
      </c>
      <c r="C2414" t="s">
        <v>164</v>
      </c>
    </row>
    <row r="2415" spans="2:3" x14ac:dyDescent="0.35">
      <c r="B2415" t="s">
        <v>395</v>
      </c>
      <c r="C2415" t="s">
        <v>396</v>
      </c>
    </row>
    <row r="2416" spans="2:3" x14ac:dyDescent="0.35">
      <c r="B2416" t="s">
        <v>1195</v>
      </c>
      <c r="C2416" t="s">
        <v>1195</v>
      </c>
    </row>
    <row r="2417" spans="2:3" x14ac:dyDescent="0.35">
      <c r="B2417" t="s">
        <v>787</v>
      </c>
      <c r="C2417" t="s">
        <v>788</v>
      </c>
    </row>
    <row r="2418" spans="2:3" x14ac:dyDescent="0.35">
      <c r="B2418" t="s">
        <v>787</v>
      </c>
      <c r="C2418" t="s">
        <v>788</v>
      </c>
    </row>
    <row r="2419" spans="2:3" x14ac:dyDescent="0.35">
      <c r="B2419" t="s">
        <v>863</v>
      </c>
      <c r="C2419" t="s">
        <v>864</v>
      </c>
    </row>
    <row r="2420" spans="2:3" x14ac:dyDescent="0.35">
      <c r="B2420" t="s">
        <v>700</v>
      </c>
      <c r="C2420" t="s">
        <v>701</v>
      </c>
    </row>
    <row r="2421" spans="2:3" x14ac:dyDescent="0.35">
      <c r="B2421" t="s">
        <v>804</v>
      </c>
      <c r="C2421" t="s">
        <v>805</v>
      </c>
    </row>
    <row r="2422" spans="2:3" x14ac:dyDescent="0.35">
      <c r="B2422" t="s">
        <v>700</v>
      </c>
      <c r="C2422" t="s">
        <v>701</v>
      </c>
    </row>
    <row r="2423" spans="2:3" x14ac:dyDescent="0.35">
      <c r="B2423" t="s">
        <v>676</v>
      </c>
      <c r="C2423" t="s">
        <v>677</v>
      </c>
    </row>
    <row r="2424" spans="2:3" x14ac:dyDescent="0.35">
      <c r="B2424" t="s">
        <v>787</v>
      </c>
      <c r="C2424" t="s">
        <v>788</v>
      </c>
    </row>
    <row r="2425" spans="2:3" x14ac:dyDescent="0.35">
      <c r="B2425" t="s">
        <v>1195</v>
      </c>
      <c r="C2425" t="s">
        <v>1195</v>
      </c>
    </row>
    <row r="2426" spans="2:3" x14ac:dyDescent="0.35">
      <c r="B2426" t="s">
        <v>344</v>
      </c>
      <c r="C2426" t="s">
        <v>345</v>
      </c>
    </row>
    <row r="2427" spans="2:3" x14ac:dyDescent="0.35">
      <c r="B2427" t="s">
        <v>110</v>
      </c>
      <c r="C2427" t="s">
        <v>111</v>
      </c>
    </row>
    <row r="2428" spans="2:3" x14ac:dyDescent="0.35">
      <c r="B2428" t="s">
        <v>1195</v>
      </c>
      <c r="C2428" t="s">
        <v>1195</v>
      </c>
    </row>
    <row r="2429" spans="2:3" x14ac:dyDescent="0.35">
      <c r="B2429" t="s">
        <v>543</v>
      </c>
      <c r="C2429" t="s">
        <v>544</v>
      </c>
    </row>
    <row r="2430" spans="2:3" x14ac:dyDescent="0.35">
      <c r="B2430" t="s">
        <v>437</v>
      </c>
      <c r="C2430" t="s">
        <v>438</v>
      </c>
    </row>
    <row r="2431" spans="2:3" x14ac:dyDescent="0.35">
      <c r="B2431" t="s">
        <v>455</v>
      </c>
      <c r="C2431" t="s">
        <v>456</v>
      </c>
    </row>
    <row r="2432" spans="2:3" x14ac:dyDescent="0.35">
      <c r="B2432" t="s">
        <v>529</v>
      </c>
      <c r="C2432" t="s">
        <v>530</v>
      </c>
    </row>
    <row r="2433" spans="2:3" x14ac:dyDescent="0.35">
      <c r="B2433" t="s">
        <v>287</v>
      </c>
      <c r="C2433" t="s">
        <v>288</v>
      </c>
    </row>
    <row r="2434" spans="2:3" x14ac:dyDescent="0.35">
      <c r="B2434" t="s">
        <v>467</v>
      </c>
      <c r="C2434" t="s">
        <v>468</v>
      </c>
    </row>
    <row r="2435" spans="2:3" x14ac:dyDescent="0.35">
      <c r="B2435" t="s">
        <v>322</v>
      </c>
      <c r="C2435" t="s">
        <v>323</v>
      </c>
    </row>
    <row r="2436" spans="2:3" x14ac:dyDescent="0.35">
      <c r="B2436" t="s">
        <v>489</v>
      </c>
      <c r="C2436" t="s">
        <v>490</v>
      </c>
    </row>
    <row r="2437" spans="2:3" x14ac:dyDescent="0.35">
      <c r="B2437" t="s">
        <v>174</v>
      </c>
      <c r="C2437" t="s">
        <v>175</v>
      </c>
    </row>
    <row r="2438" spans="2:3" x14ac:dyDescent="0.35">
      <c r="B2438" t="s">
        <v>401</v>
      </c>
      <c r="C2438" t="s">
        <v>402</v>
      </c>
    </row>
    <row r="2439" spans="2:3" x14ac:dyDescent="0.35">
      <c r="B2439" t="s">
        <v>961</v>
      </c>
      <c r="C2439" t="s">
        <v>962</v>
      </c>
    </row>
    <row r="2440" spans="2:3" x14ac:dyDescent="0.35">
      <c r="B2440" t="s">
        <v>64</v>
      </c>
      <c r="C2440" t="s">
        <v>65</v>
      </c>
    </row>
    <row r="2441" spans="2:3" x14ac:dyDescent="0.35">
      <c r="B2441" t="s">
        <v>787</v>
      </c>
      <c r="C2441" t="s">
        <v>788</v>
      </c>
    </row>
    <row r="2442" spans="2:3" x14ac:dyDescent="0.35">
      <c r="B2442" t="s">
        <v>787</v>
      </c>
      <c r="C2442" t="s">
        <v>788</v>
      </c>
    </row>
    <row r="2443" spans="2:3" x14ac:dyDescent="0.35">
      <c r="B2443" t="s">
        <v>787</v>
      </c>
      <c r="C2443" t="s">
        <v>788</v>
      </c>
    </row>
    <row r="2444" spans="2:3" x14ac:dyDescent="0.35">
      <c r="B2444" t="s">
        <v>700</v>
      </c>
      <c r="C2444" t="s">
        <v>701</v>
      </c>
    </row>
    <row r="2445" spans="2:3" x14ac:dyDescent="0.35">
      <c r="B2445" t="s">
        <v>787</v>
      </c>
      <c r="C2445" t="s">
        <v>788</v>
      </c>
    </row>
    <row r="2446" spans="2:3" x14ac:dyDescent="0.35">
      <c r="B2446" t="s">
        <v>56</v>
      </c>
      <c r="C2446" t="s">
        <v>57</v>
      </c>
    </row>
    <row r="2447" spans="2:3" x14ac:dyDescent="0.35">
      <c r="B2447" t="s">
        <v>465</v>
      </c>
      <c r="C2447" t="s">
        <v>466</v>
      </c>
    </row>
    <row r="2448" spans="2:3" x14ac:dyDescent="0.35">
      <c r="B2448" t="s">
        <v>541</v>
      </c>
      <c r="C2448" t="s">
        <v>542</v>
      </c>
    </row>
    <row r="2449" spans="2:3" x14ac:dyDescent="0.35">
      <c r="B2449" t="s">
        <v>360</v>
      </c>
      <c r="C2449" t="s">
        <v>361</v>
      </c>
    </row>
    <row r="2450" spans="2:3" x14ac:dyDescent="0.35">
      <c r="B2450" t="s">
        <v>360</v>
      </c>
      <c r="C2450" t="s">
        <v>361</v>
      </c>
    </row>
    <row r="2451" spans="2:3" x14ac:dyDescent="0.35">
      <c r="B2451" t="s">
        <v>787</v>
      </c>
      <c r="C2451" t="s">
        <v>788</v>
      </c>
    </row>
    <row r="2452" spans="2:3" x14ac:dyDescent="0.35">
      <c r="B2452" t="s">
        <v>210</v>
      </c>
      <c r="C2452" t="s">
        <v>211</v>
      </c>
    </row>
    <row r="2453" spans="2:3" x14ac:dyDescent="0.35">
      <c r="B2453" t="s">
        <v>674</v>
      </c>
      <c r="C2453" t="s">
        <v>675</v>
      </c>
    </row>
    <row r="2454" spans="2:3" x14ac:dyDescent="0.35">
      <c r="B2454" t="s">
        <v>632</v>
      </c>
      <c r="C2454" t="s">
        <v>633</v>
      </c>
    </row>
    <row r="2455" spans="2:3" x14ac:dyDescent="0.35">
      <c r="B2455" t="s">
        <v>219</v>
      </c>
      <c r="C2455" t="s">
        <v>220</v>
      </c>
    </row>
    <row r="2456" spans="2:3" x14ac:dyDescent="0.35">
      <c r="B2456" t="s">
        <v>105</v>
      </c>
      <c r="C2456" t="s">
        <v>106</v>
      </c>
    </row>
    <row r="2457" spans="2:3" x14ac:dyDescent="0.35">
      <c r="B2457" t="s">
        <v>787</v>
      </c>
      <c r="C2457" t="s">
        <v>788</v>
      </c>
    </row>
    <row r="2458" spans="2:3" x14ac:dyDescent="0.35">
      <c r="B2458" t="s">
        <v>547</v>
      </c>
      <c r="C2458" t="s">
        <v>548</v>
      </c>
    </row>
    <row r="2459" spans="2:3" x14ac:dyDescent="0.35">
      <c r="B2459" t="s">
        <v>575</v>
      </c>
      <c r="C2459" t="s">
        <v>576</v>
      </c>
    </row>
    <row r="2460" spans="2:3" x14ac:dyDescent="0.35">
      <c r="B2460" t="s">
        <v>632</v>
      </c>
      <c r="C2460" t="s">
        <v>633</v>
      </c>
    </row>
    <row r="2461" spans="2:3" x14ac:dyDescent="0.35">
      <c r="B2461" t="s">
        <v>692</v>
      </c>
      <c r="C2461" t="s">
        <v>693</v>
      </c>
    </row>
    <row r="2462" spans="2:3" x14ac:dyDescent="0.35">
      <c r="B2462" t="s">
        <v>128</v>
      </c>
      <c r="C2462" t="s">
        <v>129</v>
      </c>
    </row>
    <row r="2463" spans="2:3" x14ac:dyDescent="0.35">
      <c r="B2463" t="s">
        <v>676</v>
      </c>
      <c r="C2463" t="s">
        <v>677</v>
      </c>
    </row>
    <row r="2464" spans="2:3" x14ac:dyDescent="0.35">
      <c r="B2464" t="s">
        <v>537</v>
      </c>
      <c r="C2464" t="s">
        <v>538</v>
      </c>
    </row>
    <row r="2465" spans="2:3" x14ac:dyDescent="0.35">
      <c r="B2465" t="s">
        <v>866</v>
      </c>
      <c r="C2465" t="s">
        <v>867</v>
      </c>
    </row>
    <row r="2466" spans="2:3" x14ac:dyDescent="0.35">
      <c r="B2466" t="s">
        <v>577</v>
      </c>
      <c r="C2466" t="s">
        <v>578</v>
      </c>
    </row>
    <row r="2467" spans="2:3" x14ac:dyDescent="0.35">
      <c r="B2467" t="s">
        <v>577</v>
      </c>
      <c r="C2467" t="s">
        <v>578</v>
      </c>
    </row>
    <row r="2468" spans="2:3" x14ac:dyDescent="0.35">
      <c r="B2468" t="s">
        <v>787</v>
      </c>
      <c r="C2468" t="s">
        <v>788</v>
      </c>
    </row>
    <row r="2469" spans="2:3" x14ac:dyDescent="0.35">
      <c r="B2469" t="s">
        <v>787</v>
      </c>
      <c r="C2469" t="s">
        <v>788</v>
      </c>
    </row>
    <row r="2470" spans="2:3" x14ac:dyDescent="0.35">
      <c r="B2470" t="s">
        <v>616</v>
      </c>
      <c r="C2470" t="s">
        <v>617</v>
      </c>
    </row>
    <row r="2471" spans="2:3" x14ac:dyDescent="0.35">
      <c r="B2471" t="s">
        <v>1195</v>
      </c>
      <c r="C2471" t="s">
        <v>1195</v>
      </c>
    </row>
    <row r="2472" spans="2:3" x14ac:dyDescent="0.35">
      <c r="B2472" t="s">
        <v>416</v>
      </c>
      <c r="C2472" t="s">
        <v>417</v>
      </c>
    </row>
    <row r="2473" spans="2:3" x14ac:dyDescent="0.35">
      <c r="B2473" t="s">
        <v>465</v>
      </c>
      <c r="C2473" t="s">
        <v>466</v>
      </c>
    </row>
    <row r="2474" spans="2:3" x14ac:dyDescent="0.35">
      <c r="B2474" t="s">
        <v>961</v>
      </c>
      <c r="C2474" t="s">
        <v>962</v>
      </c>
    </row>
    <row r="2475" spans="2:3" x14ac:dyDescent="0.35">
      <c r="B2475" t="s">
        <v>90</v>
      </c>
      <c r="C2475" t="s">
        <v>91</v>
      </c>
    </row>
    <row r="2476" spans="2:3" x14ac:dyDescent="0.35">
      <c r="B2476" t="s">
        <v>107</v>
      </c>
      <c r="C2476" t="s">
        <v>108</v>
      </c>
    </row>
    <row r="2477" spans="2:3" x14ac:dyDescent="0.35">
      <c r="B2477" t="s">
        <v>1061</v>
      </c>
      <c r="C2477" t="s">
        <v>1062</v>
      </c>
    </row>
    <row r="2478" spans="2:3" x14ac:dyDescent="0.35">
      <c r="B2478" t="s">
        <v>872</v>
      </c>
      <c r="C2478" t="s">
        <v>873</v>
      </c>
    </row>
    <row r="2479" spans="2:3" x14ac:dyDescent="0.35">
      <c r="B2479" t="s">
        <v>346</v>
      </c>
      <c r="C2479" t="s">
        <v>347</v>
      </c>
    </row>
    <row r="2480" spans="2:3" x14ac:dyDescent="0.35">
      <c r="B2480" t="s">
        <v>412</v>
      </c>
      <c r="C2480" t="s">
        <v>413</v>
      </c>
    </row>
    <row r="2481" spans="2:3" x14ac:dyDescent="0.35">
      <c r="B2481" t="s">
        <v>658</v>
      </c>
      <c r="C2481" t="s">
        <v>659</v>
      </c>
    </row>
    <row r="2482" spans="2:3" x14ac:dyDescent="0.35">
      <c r="B2482" t="s">
        <v>787</v>
      </c>
      <c r="C2482" t="s">
        <v>788</v>
      </c>
    </row>
    <row r="2483" spans="2:3" x14ac:dyDescent="0.35">
      <c r="B2483" t="s">
        <v>787</v>
      </c>
      <c r="C2483" t="s">
        <v>788</v>
      </c>
    </row>
    <row r="2484" spans="2:3" x14ac:dyDescent="0.35">
      <c r="B2484" t="s">
        <v>74</v>
      </c>
      <c r="C2484" t="s">
        <v>75</v>
      </c>
    </row>
    <row r="2485" spans="2:3" x14ac:dyDescent="0.35">
      <c r="B2485" t="s">
        <v>475</v>
      </c>
      <c r="C2485" t="s">
        <v>476</v>
      </c>
    </row>
    <row r="2486" spans="2:3" x14ac:dyDescent="0.35">
      <c r="B2486" t="s">
        <v>545</v>
      </c>
      <c r="C2486" t="s">
        <v>546</v>
      </c>
    </row>
    <row r="2487" spans="2:3" x14ac:dyDescent="0.35">
      <c r="B2487" t="s">
        <v>56</v>
      </c>
      <c r="C2487" t="s">
        <v>57</v>
      </c>
    </row>
    <row r="2488" spans="2:3" x14ac:dyDescent="0.35">
      <c r="B2488" t="s">
        <v>543</v>
      </c>
      <c r="C2488" t="s">
        <v>544</v>
      </c>
    </row>
    <row r="2489" spans="2:3" x14ac:dyDescent="0.35">
      <c r="B2489" t="s">
        <v>273</v>
      </c>
      <c r="C2489" t="s">
        <v>274</v>
      </c>
    </row>
    <row r="2490" spans="2:3" x14ac:dyDescent="0.35">
      <c r="B2490" t="s">
        <v>700</v>
      </c>
      <c r="C2490" t="s">
        <v>701</v>
      </c>
    </row>
    <row r="2491" spans="2:3" x14ac:dyDescent="0.35">
      <c r="B2491" t="s">
        <v>275</v>
      </c>
      <c r="C2491" t="s">
        <v>276</v>
      </c>
    </row>
    <row r="2492" spans="2:3" x14ac:dyDescent="0.35">
      <c r="B2492" t="s">
        <v>787</v>
      </c>
      <c r="C2492" t="s">
        <v>788</v>
      </c>
    </row>
    <row r="2493" spans="2:3" x14ac:dyDescent="0.35">
      <c r="B2493" t="s">
        <v>642</v>
      </c>
      <c r="C2493" t="s">
        <v>643</v>
      </c>
    </row>
    <row r="2494" spans="2:3" x14ac:dyDescent="0.35">
      <c r="B2494" t="s">
        <v>674</v>
      </c>
      <c r="C2494" t="s">
        <v>675</v>
      </c>
    </row>
    <row r="2495" spans="2:3" x14ac:dyDescent="0.35">
      <c r="B2495" t="s">
        <v>543</v>
      </c>
      <c r="C2495" t="s">
        <v>544</v>
      </c>
    </row>
    <row r="2496" spans="2:3" x14ac:dyDescent="0.35">
      <c r="B2496" t="s">
        <v>573</v>
      </c>
      <c r="C2496" t="s">
        <v>574</v>
      </c>
    </row>
    <row r="2497" spans="2:3" x14ac:dyDescent="0.35">
      <c r="B2497" t="s">
        <v>84</v>
      </c>
      <c r="C2497" t="s">
        <v>85</v>
      </c>
    </row>
    <row r="2498" spans="2:3" x14ac:dyDescent="0.35">
      <c r="B2498" t="s">
        <v>210</v>
      </c>
      <c r="C2498" t="s">
        <v>211</v>
      </c>
    </row>
    <row r="2499" spans="2:3" x14ac:dyDescent="0.35">
      <c r="B2499" t="s">
        <v>787</v>
      </c>
      <c r="C2499" t="s">
        <v>788</v>
      </c>
    </row>
    <row r="2500" spans="2:3" x14ac:dyDescent="0.35">
      <c r="B2500" t="s">
        <v>700</v>
      </c>
      <c r="C2500" t="s">
        <v>701</v>
      </c>
    </row>
    <row r="2501" spans="2:3" x14ac:dyDescent="0.35">
      <c r="B2501" t="s">
        <v>384</v>
      </c>
      <c r="C2501" t="s">
        <v>385</v>
      </c>
    </row>
    <row r="2502" spans="2:3" x14ac:dyDescent="0.35">
      <c r="B2502" t="s">
        <v>787</v>
      </c>
      <c r="C2502" t="s">
        <v>788</v>
      </c>
    </row>
    <row r="2503" spans="2:3" x14ac:dyDescent="0.35">
      <c r="B2503" t="s">
        <v>1195</v>
      </c>
      <c r="C2503" t="s">
        <v>1195</v>
      </c>
    </row>
    <row r="2504" spans="2:3" x14ac:dyDescent="0.35">
      <c r="B2504" t="s">
        <v>787</v>
      </c>
      <c r="C2504" t="s">
        <v>788</v>
      </c>
    </row>
    <row r="2505" spans="2:3" x14ac:dyDescent="0.35">
      <c r="B2505" t="s">
        <v>545</v>
      </c>
      <c r="C2505" t="s">
        <v>546</v>
      </c>
    </row>
    <row r="2506" spans="2:3" x14ac:dyDescent="0.35">
      <c r="B2506" t="s">
        <v>787</v>
      </c>
      <c r="C2506" t="s">
        <v>788</v>
      </c>
    </row>
    <row r="2507" spans="2:3" x14ac:dyDescent="0.35">
      <c r="B2507" t="s">
        <v>692</v>
      </c>
      <c r="C2507" t="s">
        <v>693</v>
      </c>
    </row>
    <row r="2508" spans="2:3" x14ac:dyDescent="0.35">
      <c r="B2508" t="s">
        <v>210</v>
      </c>
      <c r="C2508" t="s">
        <v>211</v>
      </c>
    </row>
    <row r="2509" spans="2:3" x14ac:dyDescent="0.35">
      <c r="B2509" t="s">
        <v>285</v>
      </c>
      <c r="C2509" t="s">
        <v>286</v>
      </c>
    </row>
    <row r="2510" spans="2:3" x14ac:dyDescent="0.35">
      <c r="B2510" t="s">
        <v>260</v>
      </c>
      <c r="C2510" t="s">
        <v>261</v>
      </c>
    </row>
    <row r="2511" spans="2:3" x14ac:dyDescent="0.35">
      <c r="B2511" t="s">
        <v>549</v>
      </c>
      <c r="C2511" t="s">
        <v>550</v>
      </c>
    </row>
    <row r="2512" spans="2:3" x14ac:dyDescent="0.35">
      <c r="B2512" t="s">
        <v>497</v>
      </c>
      <c r="C2512" t="s">
        <v>498</v>
      </c>
    </row>
    <row r="2513" spans="2:3" x14ac:dyDescent="0.35">
      <c r="B2513" t="s">
        <v>656</v>
      </c>
      <c r="C2513" t="s">
        <v>657</v>
      </c>
    </row>
    <row r="2514" spans="2:3" x14ac:dyDescent="0.35">
      <c r="B2514" t="s">
        <v>577</v>
      </c>
      <c r="C2514" t="s">
        <v>578</v>
      </c>
    </row>
    <row r="2515" spans="2:3" x14ac:dyDescent="0.35">
      <c r="B2515" t="s">
        <v>410</v>
      </c>
      <c r="C2515" t="s">
        <v>411</v>
      </c>
    </row>
    <row r="2516" spans="2:3" x14ac:dyDescent="0.35">
      <c r="B2516" t="s">
        <v>200</v>
      </c>
      <c r="C2516" t="s">
        <v>201</v>
      </c>
    </row>
    <row r="2517" spans="2:3" x14ac:dyDescent="0.35">
      <c r="B2517" t="s">
        <v>545</v>
      </c>
      <c r="C2517" t="s">
        <v>546</v>
      </c>
    </row>
    <row r="2518" spans="2:3" x14ac:dyDescent="0.35">
      <c r="B2518" t="s">
        <v>283</v>
      </c>
      <c r="C2518" t="s">
        <v>284</v>
      </c>
    </row>
    <row r="2519" spans="2:3" x14ac:dyDescent="0.35">
      <c r="B2519" t="s">
        <v>202</v>
      </c>
      <c r="C2519" t="s">
        <v>203</v>
      </c>
    </row>
    <row r="2520" spans="2:3" x14ac:dyDescent="0.35">
      <c r="B2520" t="s">
        <v>703</v>
      </c>
      <c r="C2520" t="s">
        <v>704</v>
      </c>
    </row>
    <row r="2521" spans="2:3" x14ac:dyDescent="0.35">
      <c r="B2521" t="s">
        <v>632</v>
      </c>
      <c r="C2521" t="s">
        <v>633</v>
      </c>
    </row>
    <row r="2522" spans="2:3" x14ac:dyDescent="0.35">
      <c r="B2522" t="s">
        <v>208</v>
      </c>
      <c r="C2522" t="s">
        <v>209</v>
      </c>
    </row>
    <row r="2523" spans="2:3" x14ac:dyDescent="0.35">
      <c r="B2523" t="s">
        <v>384</v>
      </c>
      <c r="C2523" t="s">
        <v>385</v>
      </c>
    </row>
    <row r="2524" spans="2:3" x14ac:dyDescent="0.35">
      <c r="B2524" t="s">
        <v>346</v>
      </c>
      <c r="C2524" t="s">
        <v>347</v>
      </c>
    </row>
    <row r="2525" spans="2:3" x14ac:dyDescent="0.35">
      <c r="B2525" t="s">
        <v>703</v>
      </c>
      <c r="C2525" t="s">
        <v>704</v>
      </c>
    </row>
    <row r="2526" spans="2:3" x14ac:dyDescent="0.35">
      <c r="B2526" t="s">
        <v>232</v>
      </c>
      <c r="C2526" t="s">
        <v>233</v>
      </c>
    </row>
    <row r="2527" spans="2:3" x14ac:dyDescent="0.35">
      <c r="B2527" t="s">
        <v>376</v>
      </c>
      <c r="C2527" t="s">
        <v>377</v>
      </c>
    </row>
    <row r="2528" spans="2:3" x14ac:dyDescent="0.35">
      <c r="B2528" t="s">
        <v>963</v>
      </c>
      <c r="C2528" t="s">
        <v>964</v>
      </c>
    </row>
    <row r="2529" spans="2:3" x14ac:dyDescent="0.35">
      <c r="B2529" t="s">
        <v>200</v>
      </c>
      <c r="C2529" t="s">
        <v>201</v>
      </c>
    </row>
    <row r="2530" spans="2:3" x14ac:dyDescent="0.35">
      <c r="B2530" t="s">
        <v>523</v>
      </c>
      <c r="C2530" t="s">
        <v>524</v>
      </c>
    </row>
    <row r="2531" spans="2:3" x14ac:dyDescent="0.35">
      <c r="B2531" t="s">
        <v>802</v>
      </c>
      <c r="C2531" t="s">
        <v>803</v>
      </c>
    </row>
    <row r="2532" spans="2:3" x14ac:dyDescent="0.35">
      <c r="B2532" t="s">
        <v>787</v>
      </c>
      <c r="C2532" t="s">
        <v>788</v>
      </c>
    </row>
    <row r="2533" spans="2:3" x14ac:dyDescent="0.35">
      <c r="B2533" t="s">
        <v>412</v>
      </c>
      <c r="C2533" t="s">
        <v>413</v>
      </c>
    </row>
    <row r="2534" spans="2:3" x14ac:dyDescent="0.35">
      <c r="B2534" t="s">
        <v>384</v>
      </c>
      <c r="C2534" t="s">
        <v>385</v>
      </c>
    </row>
    <row r="2535" spans="2:3" x14ac:dyDescent="0.35">
      <c r="B2535" t="s">
        <v>595</v>
      </c>
      <c r="C2535" t="s">
        <v>596</v>
      </c>
    </row>
    <row r="2536" spans="2:3" x14ac:dyDescent="0.35">
      <c r="B2536" t="s">
        <v>200</v>
      </c>
      <c r="C2536" t="s">
        <v>201</v>
      </c>
    </row>
    <row r="2537" spans="2:3" x14ac:dyDescent="0.35">
      <c r="B2537" t="s">
        <v>787</v>
      </c>
      <c r="C2537" t="s">
        <v>788</v>
      </c>
    </row>
    <row r="2538" spans="2:3" x14ac:dyDescent="0.35">
      <c r="B2538" t="s">
        <v>344</v>
      </c>
      <c r="C2538" t="s">
        <v>345</v>
      </c>
    </row>
    <row r="2539" spans="2:3" x14ac:dyDescent="0.35">
      <c r="B2539" t="s">
        <v>178</v>
      </c>
      <c r="C2539" t="s">
        <v>179</v>
      </c>
    </row>
    <row r="2540" spans="2:3" x14ac:dyDescent="0.35">
      <c r="B2540" t="s">
        <v>642</v>
      </c>
      <c r="C2540" t="s">
        <v>643</v>
      </c>
    </row>
    <row r="2541" spans="2:3" x14ac:dyDescent="0.35">
      <c r="B2541" t="s">
        <v>787</v>
      </c>
      <c r="C2541" t="s">
        <v>788</v>
      </c>
    </row>
    <row r="2542" spans="2:3" x14ac:dyDescent="0.35">
      <c r="B2542" t="s">
        <v>358</v>
      </c>
      <c r="C2542" t="s">
        <v>359</v>
      </c>
    </row>
    <row r="2543" spans="2:3" x14ac:dyDescent="0.35">
      <c r="B2543" t="s">
        <v>120</v>
      </c>
      <c r="C2543" t="s">
        <v>121</v>
      </c>
    </row>
    <row r="2544" spans="2:3" x14ac:dyDescent="0.35">
      <c r="B2544" t="s">
        <v>1061</v>
      </c>
      <c r="C2544" t="s">
        <v>1062</v>
      </c>
    </row>
    <row r="2545" spans="2:3" x14ac:dyDescent="0.35">
      <c r="B2545" t="s">
        <v>868</v>
      </c>
      <c r="C2545" t="s">
        <v>869</v>
      </c>
    </row>
    <row r="2546" spans="2:3" x14ac:dyDescent="0.35">
      <c r="B2546" t="s">
        <v>787</v>
      </c>
      <c r="C2546" t="s">
        <v>788</v>
      </c>
    </row>
    <row r="2547" spans="2:3" x14ac:dyDescent="0.35">
      <c r="B2547" t="s">
        <v>479</v>
      </c>
      <c r="C2547" t="s">
        <v>480</v>
      </c>
    </row>
    <row r="2548" spans="2:3" x14ac:dyDescent="0.35">
      <c r="B2548" t="s">
        <v>1195</v>
      </c>
      <c r="C2548" t="s">
        <v>1195</v>
      </c>
    </row>
    <row r="2549" spans="2:3" x14ac:dyDescent="0.35">
      <c r="B2549" t="s">
        <v>252</v>
      </c>
      <c r="C2549" t="s">
        <v>253</v>
      </c>
    </row>
    <row r="2550" spans="2:3" x14ac:dyDescent="0.35">
      <c r="B2550" t="s">
        <v>662</v>
      </c>
      <c r="C2550" t="s">
        <v>663</v>
      </c>
    </row>
    <row r="2551" spans="2:3" x14ac:dyDescent="0.35">
      <c r="B2551" t="s">
        <v>378</v>
      </c>
      <c r="C2551" t="s">
        <v>379</v>
      </c>
    </row>
    <row r="2552" spans="2:3" x14ac:dyDescent="0.35">
      <c r="B2552" t="s">
        <v>82</v>
      </c>
      <c r="C2552" t="s">
        <v>83</v>
      </c>
    </row>
    <row r="2553" spans="2:3" x14ac:dyDescent="0.35">
      <c r="B2553" t="s">
        <v>511</v>
      </c>
      <c r="C2553" t="s">
        <v>512</v>
      </c>
    </row>
    <row r="2554" spans="2:3" x14ac:dyDescent="0.35">
      <c r="B2554" t="s">
        <v>219</v>
      </c>
      <c r="C2554" t="s">
        <v>220</v>
      </c>
    </row>
    <row r="2555" spans="2:3" x14ac:dyDescent="0.35">
      <c r="B2555" t="s">
        <v>200</v>
      </c>
      <c r="C2555" t="s">
        <v>201</v>
      </c>
    </row>
    <row r="2556" spans="2:3" x14ac:dyDescent="0.35">
      <c r="B2556" t="s">
        <v>225</v>
      </c>
      <c r="C2556" t="s">
        <v>226</v>
      </c>
    </row>
    <row r="2557" spans="2:3" x14ac:dyDescent="0.35">
      <c r="B2557" t="s">
        <v>961</v>
      </c>
      <c r="C2557" t="s">
        <v>962</v>
      </c>
    </row>
    <row r="2558" spans="2:3" x14ac:dyDescent="0.35">
      <c r="B2558" t="s">
        <v>866</v>
      </c>
      <c r="C2558" t="s">
        <v>867</v>
      </c>
    </row>
    <row r="2559" spans="2:3" x14ac:dyDescent="0.35">
      <c r="B2559" t="s">
        <v>287</v>
      </c>
      <c r="C2559" t="s">
        <v>288</v>
      </c>
    </row>
    <row r="2560" spans="2:3" x14ac:dyDescent="0.35">
      <c r="B2560" t="s">
        <v>58</v>
      </c>
      <c r="C2560" t="s">
        <v>59</v>
      </c>
    </row>
    <row r="2561" spans="2:3" x14ac:dyDescent="0.35">
      <c r="B2561" t="s">
        <v>505</v>
      </c>
      <c r="C2561" t="s">
        <v>506</v>
      </c>
    </row>
    <row r="2562" spans="2:3" x14ac:dyDescent="0.35">
      <c r="B2562" t="s">
        <v>692</v>
      </c>
      <c r="C2562" t="s">
        <v>693</v>
      </c>
    </row>
    <row r="2563" spans="2:3" x14ac:dyDescent="0.35">
      <c r="B2563" t="s">
        <v>642</v>
      </c>
      <c r="C2563" t="s">
        <v>643</v>
      </c>
    </row>
    <row r="2564" spans="2:3" x14ac:dyDescent="0.35">
      <c r="B2564" t="s">
        <v>787</v>
      </c>
      <c r="C2564" t="s">
        <v>788</v>
      </c>
    </row>
    <row r="2565" spans="2:3" x14ac:dyDescent="0.35">
      <c r="B2565" t="s">
        <v>787</v>
      </c>
      <c r="C2565" t="s">
        <v>788</v>
      </c>
    </row>
    <row r="2566" spans="2:3" x14ac:dyDescent="0.35">
      <c r="B2566" t="s">
        <v>1195</v>
      </c>
      <c r="C2566" t="s">
        <v>1195</v>
      </c>
    </row>
    <row r="2567" spans="2:3" x14ac:dyDescent="0.35">
      <c r="B2567" t="s">
        <v>787</v>
      </c>
      <c r="C2567" t="s">
        <v>788</v>
      </c>
    </row>
    <row r="2568" spans="2:3" x14ac:dyDescent="0.35">
      <c r="B2568" t="s">
        <v>428</v>
      </c>
      <c r="C2568" t="s">
        <v>429</v>
      </c>
    </row>
    <row r="2569" spans="2:3" x14ac:dyDescent="0.35">
      <c r="B2569" t="s">
        <v>527</v>
      </c>
      <c r="C2569" t="s">
        <v>528</v>
      </c>
    </row>
    <row r="2570" spans="2:3" x14ac:dyDescent="0.35">
      <c r="B2570" t="s">
        <v>618</v>
      </c>
      <c r="C2570" t="s">
        <v>619</v>
      </c>
    </row>
    <row r="2571" spans="2:3" x14ac:dyDescent="0.35">
      <c r="B2571" t="s">
        <v>577</v>
      </c>
      <c r="C2571" t="s">
        <v>578</v>
      </c>
    </row>
    <row r="2572" spans="2:3" x14ac:dyDescent="0.35">
      <c r="B2572" t="s">
        <v>72</v>
      </c>
      <c r="C2572" t="s">
        <v>73</v>
      </c>
    </row>
    <row r="2573" spans="2:3" x14ac:dyDescent="0.35">
      <c r="B2573" t="s">
        <v>260</v>
      </c>
      <c r="C2573" t="s">
        <v>261</v>
      </c>
    </row>
    <row r="2574" spans="2:3" x14ac:dyDescent="0.35">
      <c r="B2574" t="s">
        <v>200</v>
      </c>
      <c r="C2574" t="s">
        <v>201</v>
      </c>
    </row>
    <row r="2575" spans="2:3" x14ac:dyDescent="0.35">
      <c r="B2575" t="s">
        <v>527</v>
      </c>
      <c r="C2575" t="s">
        <v>528</v>
      </c>
    </row>
    <row r="2576" spans="2:3" x14ac:dyDescent="0.35">
      <c r="B2576" t="s">
        <v>401</v>
      </c>
      <c r="C2576" t="s">
        <v>402</v>
      </c>
    </row>
    <row r="2577" spans="2:3" x14ac:dyDescent="0.35">
      <c r="B2577" t="s">
        <v>64</v>
      </c>
      <c r="C2577" t="s">
        <v>65</v>
      </c>
    </row>
    <row r="2578" spans="2:3" x14ac:dyDescent="0.35">
      <c r="B2578" t="s">
        <v>208</v>
      </c>
      <c r="C2578" t="s">
        <v>209</v>
      </c>
    </row>
    <row r="2579" spans="2:3" x14ac:dyDescent="0.35">
      <c r="B2579" t="s">
        <v>787</v>
      </c>
      <c r="C2579" t="s">
        <v>788</v>
      </c>
    </row>
    <row r="2580" spans="2:3" x14ac:dyDescent="0.35">
      <c r="B2580" t="s">
        <v>640</v>
      </c>
      <c r="C2580" t="s">
        <v>641</v>
      </c>
    </row>
    <row r="2581" spans="2:3" x14ac:dyDescent="0.35">
      <c r="B2581" t="s">
        <v>344</v>
      </c>
      <c r="C2581" t="s">
        <v>345</v>
      </c>
    </row>
    <row r="2582" spans="2:3" x14ac:dyDescent="0.35">
      <c r="B2582" t="s">
        <v>607</v>
      </c>
      <c r="C2582" t="s">
        <v>608</v>
      </c>
    </row>
    <row r="2583" spans="2:3" x14ac:dyDescent="0.35">
      <c r="B2583" t="s">
        <v>870</v>
      </c>
      <c r="C2583" t="s">
        <v>871</v>
      </c>
    </row>
    <row r="2584" spans="2:3" x14ac:dyDescent="0.35">
      <c r="B2584" t="s">
        <v>870</v>
      </c>
      <c r="C2584" t="s">
        <v>871</v>
      </c>
    </row>
    <row r="2585" spans="2:3" x14ac:dyDescent="0.35">
      <c r="B2585" t="s">
        <v>703</v>
      </c>
      <c r="C2585" t="s">
        <v>704</v>
      </c>
    </row>
    <row r="2586" spans="2:3" x14ac:dyDescent="0.35">
      <c r="B2586" t="s">
        <v>963</v>
      </c>
      <c r="C2586" t="s">
        <v>964</v>
      </c>
    </row>
    <row r="2587" spans="2:3" x14ac:dyDescent="0.35">
      <c r="B2587" t="s">
        <v>787</v>
      </c>
      <c r="C2587" t="s">
        <v>788</v>
      </c>
    </row>
    <row r="2588" spans="2:3" x14ac:dyDescent="0.35">
      <c r="B2588" t="s">
        <v>445</v>
      </c>
      <c r="C2588" t="s">
        <v>446</v>
      </c>
    </row>
    <row r="2589" spans="2:3" x14ac:dyDescent="0.35">
      <c r="B2589" t="s">
        <v>230</v>
      </c>
      <c r="C2589" t="s">
        <v>231</v>
      </c>
    </row>
    <row r="2590" spans="2:3" x14ac:dyDescent="0.35">
      <c r="B2590" t="s">
        <v>787</v>
      </c>
      <c r="C2590" t="s">
        <v>788</v>
      </c>
    </row>
    <row r="2591" spans="2:3" x14ac:dyDescent="0.35">
      <c r="B2591" t="s">
        <v>549</v>
      </c>
      <c r="C2591" t="s">
        <v>550</v>
      </c>
    </row>
    <row r="2592" spans="2:3" x14ac:dyDescent="0.35">
      <c r="B2592" t="s">
        <v>787</v>
      </c>
      <c r="C2592" t="s">
        <v>788</v>
      </c>
    </row>
    <row r="2593" spans="2:3" x14ac:dyDescent="0.35">
      <c r="B2593" t="s">
        <v>90</v>
      </c>
      <c r="C2593" t="s">
        <v>91</v>
      </c>
    </row>
    <row r="2594" spans="2:3" x14ac:dyDescent="0.35">
      <c r="B2594" t="s">
        <v>283</v>
      </c>
      <c r="C2594" t="s">
        <v>284</v>
      </c>
    </row>
    <row r="2595" spans="2:3" x14ac:dyDescent="0.35">
      <c r="B2595" t="s">
        <v>676</v>
      </c>
      <c r="C2595" t="s">
        <v>677</v>
      </c>
    </row>
    <row r="2596" spans="2:3" x14ac:dyDescent="0.35">
      <c r="B2596" t="s">
        <v>958</v>
      </c>
      <c r="C2596" t="s">
        <v>959</v>
      </c>
    </row>
    <row r="2597" spans="2:3" x14ac:dyDescent="0.35">
      <c r="B2597" t="s">
        <v>82</v>
      </c>
      <c r="C2597" t="s">
        <v>83</v>
      </c>
    </row>
    <row r="2598" spans="2:3" x14ac:dyDescent="0.35">
      <c r="B2598" t="s">
        <v>658</v>
      </c>
      <c r="C2598" t="s">
        <v>659</v>
      </c>
    </row>
    <row r="2599" spans="2:3" x14ac:dyDescent="0.35">
      <c r="B2599" t="s">
        <v>358</v>
      </c>
      <c r="C2599" t="s">
        <v>359</v>
      </c>
    </row>
    <row r="2600" spans="2:3" x14ac:dyDescent="0.35">
      <c r="B2600" t="s">
        <v>575</v>
      </c>
      <c r="C2600" t="s">
        <v>576</v>
      </c>
    </row>
    <row r="2601" spans="2:3" x14ac:dyDescent="0.35">
      <c r="B2601" t="s">
        <v>128</v>
      </c>
      <c r="C2601" t="s">
        <v>129</v>
      </c>
    </row>
    <row r="2602" spans="2:3" x14ac:dyDescent="0.35">
      <c r="B2602" t="s">
        <v>662</v>
      </c>
      <c r="C2602" t="s">
        <v>663</v>
      </c>
    </row>
    <row r="2603" spans="2:3" x14ac:dyDescent="0.35">
      <c r="B2603" t="s">
        <v>656</v>
      </c>
      <c r="C2603" t="s">
        <v>657</v>
      </c>
    </row>
    <row r="2604" spans="2:3" x14ac:dyDescent="0.35">
      <c r="B2604" t="s">
        <v>571</v>
      </c>
      <c r="C2604" t="s">
        <v>572</v>
      </c>
    </row>
    <row r="2605" spans="2:3" x14ac:dyDescent="0.35">
      <c r="B2605" t="s">
        <v>105</v>
      </c>
      <c r="C2605" t="s">
        <v>106</v>
      </c>
    </row>
    <row r="2606" spans="2:3" x14ac:dyDescent="0.35">
      <c r="B2606" t="s">
        <v>787</v>
      </c>
      <c r="C2606" t="s">
        <v>788</v>
      </c>
    </row>
    <row r="2607" spans="2:3" x14ac:dyDescent="0.35">
      <c r="B2607" t="s">
        <v>787</v>
      </c>
      <c r="C2607" t="s">
        <v>788</v>
      </c>
    </row>
    <row r="2608" spans="2:3" x14ac:dyDescent="0.35">
      <c r="B2608" t="s">
        <v>787</v>
      </c>
      <c r="C2608" t="s">
        <v>788</v>
      </c>
    </row>
    <row r="2609" spans="2:3" x14ac:dyDescent="0.35">
      <c r="B2609" t="s">
        <v>787</v>
      </c>
      <c r="C2609" t="s">
        <v>788</v>
      </c>
    </row>
    <row r="2610" spans="2:3" x14ac:dyDescent="0.35">
      <c r="B2610" t="s">
        <v>662</v>
      </c>
      <c r="C2610" t="s">
        <v>663</v>
      </c>
    </row>
    <row r="2611" spans="2:3" x14ac:dyDescent="0.35">
      <c r="B2611" t="s">
        <v>202</v>
      </c>
      <c r="C2611" t="s">
        <v>203</v>
      </c>
    </row>
    <row r="2612" spans="2:3" x14ac:dyDescent="0.35">
      <c r="B2612" t="s">
        <v>384</v>
      </c>
      <c r="C2612" t="s">
        <v>385</v>
      </c>
    </row>
    <row r="2613" spans="2:3" x14ac:dyDescent="0.35">
      <c r="B2613" t="s">
        <v>479</v>
      </c>
      <c r="C2613" t="s">
        <v>480</v>
      </c>
    </row>
    <row r="2614" spans="2:3" x14ac:dyDescent="0.35">
      <c r="B2614" t="s">
        <v>662</v>
      </c>
      <c r="C2614" t="s">
        <v>663</v>
      </c>
    </row>
    <row r="2615" spans="2:3" x14ac:dyDescent="0.35">
      <c r="B2615" t="s">
        <v>787</v>
      </c>
      <c r="C2615" t="s">
        <v>788</v>
      </c>
    </row>
    <row r="2616" spans="2:3" x14ac:dyDescent="0.35">
      <c r="B2616" t="s">
        <v>787</v>
      </c>
      <c r="C2616" t="s">
        <v>788</v>
      </c>
    </row>
    <row r="2617" spans="2:3" x14ac:dyDescent="0.35">
      <c r="B2617" t="s">
        <v>870</v>
      </c>
      <c r="C2617" t="s">
        <v>871</v>
      </c>
    </row>
    <row r="2618" spans="2:3" x14ac:dyDescent="0.35">
      <c r="B2618" t="s">
        <v>283</v>
      </c>
      <c r="C2618" t="s">
        <v>284</v>
      </c>
    </row>
    <row r="2619" spans="2:3" x14ac:dyDescent="0.35">
      <c r="B2619" t="s">
        <v>654</v>
      </c>
      <c r="C2619" t="s">
        <v>655</v>
      </c>
    </row>
    <row r="2620" spans="2:3" x14ac:dyDescent="0.35">
      <c r="B2620" t="s">
        <v>212</v>
      </c>
      <c r="C2620" t="s">
        <v>213</v>
      </c>
    </row>
    <row r="2621" spans="2:3" x14ac:dyDescent="0.35">
      <c r="B2621" t="s">
        <v>64</v>
      </c>
      <c r="C2621" t="s">
        <v>65</v>
      </c>
    </row>
    <row r="2622" spans="2:3" x14ac:dyDescent="0.35">
      <c r="B2622" t="s">
        <v>182</v>
      </c>
      <c r="C2622" t="s">
        <v>183</v>
      </c>
    </row>
    <row r="2623" spans="2:3" x14ac:dyDescent="0.35">
      <c r="B2623" t="s">
        <v>589</v>
      </c>
      <c r="C2623" t="s">
        <v>590</v>
      </c>
    </row>
    <row r="2624" spans="2:3" x14ac:dyDescent="0.35">
      <c r="B2624" t="s">
        <v>410</v>
      </c>
      <c r="C2624" t="s">
        <v>411</v>
      </c>
    </row>
    <row r="2625" spans="2:3" x14ac:dyDescent="0.35">
      <c r="B2625" t="s">
        <v>90</v>
      </c>
      <c r="C2625" t="s">
        <v>91</v>
      </c>
    </row>
    <row r="2626" spans="2:3" x14ac:dyDescent="0.35">
      <c r="B2626" t="s">
        <v>703</v>
      </c>
      <c r="C2626" t="s">
        <v>704</v>
      </c>
    </row>
    <row r="2627" spans="2:3" x14ac:dyDescent="0.35">
      <c r="B2627" t="s">
        <v>787</v>
      </c>
      <c r="C2627" t="s">
        <v>788</v>
      </c>
    </row>
    <row r="2628" spans="2:3" x14ac:dyDescent="0.35">
      <c r="B2628" t="s">
        <v>208</v>
      </c>
      <c r="C2628" t="s">
        <v>209</v>
      </c>
    </row>
    <row r="2629" spans="2:3" x14ac:dyDescent="0.35">
      <c r="B2629" t="s">
        <v>700</v>
      </c>
      <c r="C2629" t="s">
        <v>701</v>
      </c>
    </row>
    <row r="2630" spans="2:3" x14ac:dyDescent="0.35">
      <c r="B2630" t="s">
        <v>517</v>
      </c>
      <c r="C2630" t="s">
        <v>518</v>
      </c>
    </row>
    <row r="2631" spans="2:3" x14ac:dyDescent="0.35">
      <c r="B2631" t="s">
        <v>138</v>
      </c>
      <c r="C2631" t="s">
        <v>139</v>
      </c>
    </row>
    <row r="2632" spans="2:3" x14ac:dyDescent="0.35">
      <c r="B2632" t="s">
        <v>541</v>
      </c>
      <c r="C2632" t="s">
        <v>542</v>
      </c>
    </row>
    <row r="2633" spans="2:3" x14ac:dyDescent="0.35">
      <c r="B2633" t="s">
        <v>787</v>
      </c>
      <c r="C2633" t="s">
        <v>788</v>
      </c>
    </row>
    <row r="2634" spans="2:3" x14ac:dyDescent="0.35">
      <c r="B2634" t="s">
        <v>787</v>
      </c>
      <c r="C2634" t="s">
        <v>788</v>
      </c>
    </row>
    <row r="2635" spans="2:3" x14ac:dyDescent="0.35">
      <c r="B2635" t="s">
        <v>575</v>
      </c>
      <c r="C2635" t="s">
        <v>576</v>
      </c>
    </row>
    <row r="2636" spans="2:3" x14ac:dyDescent="0.35">
      <c r="B2636" t="s">
        <v>577</v>
      </c>
      <c r="C2636" t="s">
        <v>578</v>
      </c>
    </row>
    <row r="2637" spans="2:3" x14ac:dyDescent="0.35">
      <c r="B2637" t="s">
        <v>105</v>
      </c>
      <c r="C2637" t="s">
        <v>106</v>
      </c>
    </row>
    <row r="2638" spans="2:3" x14ac:dyDescent="0.35">
      <c r="B2638" t="s">
        <v>787</v>
      </c>
      <c r="C2638" t="s">
        <v>788</v>
      </c>
    </row>
    <row r="2639" spans="2:3" x14ac:dyDescent="0.35">
      <c r="B2639" t="s">
        <v>874</v>
      </c>
      <c r="C2639" t="s">
        <v>875</v>
      </c>
    </row>
    <row r="2640" spans="2:3" x14ac:dyDescent="0.35">
      <c r="B2640" t="s">
        <v>963</v>
      </c>
      <c r="C2640" t="s">
        <v>964</v>
      </c>
    </row>
    <row r="2641" spans="2:3" x14ac:dyDescent="0.35">
      <c r="B2641" t="s">
        <v>874</v>
      </c>
      <c r="C2641" t="s">
        <v>875</v>
      </c>
    </row>
    <row r="2642" spans="2:3" x14ac:dyDescent="0.35">
      <c r="B2642" t="s">
        <v>176</v>
      </c>
      <c r="C2642" t="s">
        <v>177</v>
      </c>
    </row>
    <row r="2643" spans="2:3" x14ac:dyDescent="0.35">
      <c r="B2643" t="s">
        <v>958</v>
      </c>
      <c r="C2643" t="s">
        <v>959</v>
      </c>
    </row>
    <row r="2644" spans="2:3" x14ac:dyDescent="0.35">
      <c r="B2644" t="s">
        <v>90</v>
      </c>
      <c r="C2644" t="s">
        <v>91</v>
      </c>
    </row>
    <row r="2645" spans="2:3" x14ac:dyDescent="0.35">
      <c r="B2645" t="s">
        <v>202</v>
      </c>
      <c r="C2645" t="s">
        <v>203</v>
      </c>
    </row>
    <row r="2646" spans="2:3" x14ac:dyDescent="0.35">
      <c r="B2646" t="s">
        <v>378</v>
      </c>
      <c r="C2646" t="s">
        <v>379</v>
      </c>
    </row>
    <row r="2647" spans="2:3" x14ac:dyDescent="0.35">
      <c r="B2647" t="s">
        <v>787</v>
      </c>
      <c r="C2647" t="s">
        <v>788</v>
      </c>
    </row>
    <row r="2648" spans="2:3" x14ac:dyDescent="0.35">
      <c r="B2648" t="s">
        <v>694</v>
      </c>
      <c r="C2648" t="s">
        <v>695</v>
      </c>
    </row>
    <row r="2649" spans="2:3" x14ac:dyDescent="0.35">
      <c r="B2649" t="s">
        <v>455</v>
      </c>
      <c r="C2649" t="s">
        <v>456</v>
      </c>
    </row>
    <row r="2650" spans="2:3" x14ac:dyDescent="0.35">
      <c r="B2650" t="s">
        <v>202</v>
      </c>
      <c r="C2650" t="s">
        <v>203</v>
      </c>
    </row>
    <row r="2651" spans="2:3" x14ac:dyDescent="0.35">
      <c r="B2651" t="s">
        <v>475</v>
      </c>
      <c r="C2651" t="s">
        <v>476</v>
      </c>
    </row>
    <row r="2652" spans="2:3" x14ac:dyDescent="0.35">
      <c r="B2652" t="s">
        <v>640</v>
      </c>
      <c r="C2652" t="s">
        <v>641</v>
      </c>
    </row>
    <row r="2653" spans="2:3" x14ac:dyDescent="0.35">
      <c r="B2653" t="s">
        <v>787</v>
      </c>
      <c r="C2653" t="s">
        <v>788</v>
      </c>
    </row>
    <row r="2654" spans="2:3" x14ac:dyDescent="0.35">
      <c r="B2654" t="s">
        <v>638</v>
      </c>
      <c r="C2654" t="s">
        <v>639</v>
      </c>
    </row>
    <row r="2655" spans="2:3" x14ac:dyDescent="0.35">
      <c r="B2655" t="s">
        <v>694</v>
      </c>
      <c r="C2655" t="s">
        <v>695</v>
      </c>
    </row>
    <row r="2656" spans="2:3" x14ac:dyDescent="0.35">
      <c r="B2656" t="s">
        <v>485</v>
      </c>
      <c r="C2656" t="s">
        <v>486</v>
      </c>
    </row>
    <row r="2657" spans="2:3" x14ac:dyDescent="0.35">
      <c r="B2657" t="s">
        <v>202</v>
      </c>
      <c r="C2657" t="s">
        <v>203</v>
      </c>
    </row>
    <row r="2658" spans="2:3" x14ac:dyDescent="0.35">
      <c r="B2658" t="s">
        <v>416</v>
      </c>
      <c r="C2658" t="s">
        <v>417</v>
      </c>
    </row>
    <row r="2659" spans="2:3" x14ac:dyDescent="0.35">
      <c r="B2659" t="s">
        <v>219</v>
      </c>
      <c r="C2659" t="s">
        <v>220</v>
      </c>
    </row>
    <row r="2660" spans="2:3" x14ac:dyDescent="0.35">
      <c r="B2660" t="s">
        <v>84</v>
      </c>
      <c r="C2660" t="s">
        <v>85</v>
      </c>
    </row>
    <row r="2661" spans="2:3" x14ac:dyDescent="0.35">
      <c r="B2661" t="s">
        <v>575</v>
      </c>
      <c r="C2661" t="s">
        <v>576</v>
      </c>
    </row>
    <row r="2662" spans="2:3" x14ac:dyDescent="0.35">
      <c r="B2662" t="s">
        <v>577</v>
      </c>
      <c r="C2662" t="s">
        <v>578</v>
      </c>
    </row>
    <row r="2663" spans="2:3" x14ac:dyDescent="0.35">
      <c r="B2663" t="s">
        <v>501</v>
      </c>
      <c r="C2663" t="s">
        <v>502</v>
      </c>
    </row>
    <row r="2664" spans="2:3" x14ac:dyDescent="0.35">
      <c r="B2664" t="s">
        <v>306</v>
      </c>
      <c r="C2664" t="s">
        <v>307</v>
      </c>
    </row>
    <row r="2665" spans="2:3" x14ac:dyDescent="0.35">
      <c r="B2665" t="s">
        <v>202</v>
      </c>
      <c r="C2665" t="s">
        <v>203</v>
      </c>
    </row>
    <row r="2666" spans="2:3" x14ac:dyDescent="0.35">
      <c r="B2666" t="s">
        <v>787</v>
      </c>
      <c r="C2666" t="s">
        <v>788</v>
      </c>
    </row>
    <row r="2667" spans="2:3" x14ac:dyDescent="0.35">
      <c r="B2667" t="s">
        <v>787</v>
      </c>
      <c r="C2667" t="s">
        <v>788</v>
      </c>
    </row>
    <row r="2668" spans="2:3" x14ac:dyDescent="0.35">
      <c r="B2668" t="s">
        <v>202</v>
      </c>
      <c r="C2668" t="s">
        <v>203</v>
      </c>
    </row>
    <row r="2669" spans="2:3" x14ac:dyDescent="0.35">
      <c r="B2669" t="s">
        <v>163</v>
      </c>
      <c r="C2669" t="s">
        <v>164</v>
      </c>
    </row>
    <row r="2670" spans="2:3" x14ac:dyDescent="0.35">
      <c r="B2670" t="s">
        <v>174</v>
      </c>
      <c r="C2670" t="s">
        <v>175</v>
      </c>
    </row>
    <row r="2671" spans="2:3" x14ac:dyDescent="0.35">
      <c r="B2671" t="s">
        <v>174</v>
      </c>
      <c r="C2671" t="s">
        <v>175</v>
      </c>
    </row>
    <row r="2672" spans="2:3" x14ac:dyDescent="0.35">
      <c r="B2672" t="s">
        <v>485</v>
      </c>
      <c r="C2672" t="s">
        <v>486</v>
      </c>
    </row>
    <row r="2673" spans="2:3" x14ac:dyDescent="0.35">
      <c r="B2673" t="s">
        <v>694</v>
      </c>
      <c r="C2673" t="s">
        <v>695</v>
      </c>
    </row>
    <row r="2674" spans="2:3" x14ac:dyDescent="0.35">
      <c r="B2674" t="s">
        <v>64</v>
      </c>
      <c r="C2674" t="s">
        <v>65</v>
      </c>
    </row>
    <row r="2675" spans="2:3" x14ac:dyDescent="0.35">
      <c r="B2675" t="s">
        <v>618</v>
      </c>
      <c r="C2675" t="s">
        <v>619</v>
      </c>
    </row>
    <row r="2676" spans="2:3" x14ac:dyDescent="0.35">
      <c r="B2676" t="s">
        <v>577</v>
      </c>
      <c r="C2676" t="s">
        <v>578</v>
      </c>
    </row>
    <row r="2677" spans="2:3" x14ac:dyDescent="0.35">
      <c r="B2677" t="s">
        <v>479</v>
      </c>
      <c r="C2677" t="s">
        <v>480</v>
      </c>
    </row>
    <row r="2678" spans="2:3" x14ac:dyDescent="0.35">
      <c r="B2678" t="s">
        <v>577</v>
      </c>
      <c r="C2678" t="s">
        <v>578</v>
      </c>
    </row>
    <row r="2679" spans="2:3" x14ac:dyDescent="0.35">
      <c r="B2679" t="s">
        <v>662</v>
      </c>
      <c r="C2679" t="s">
        <v>663</v>
      </c>
    </row>
    <row r="2680" spans="2:3" x14ac:dyDescent="0.35">
      <c r="B2680" t="s">
        <v>202</v>
      </c>
      <c r="C2680" t="s">
        <v>203</v>
      </c>
    </row>
    <row r="2681" spans="2:3" x14ac:dyDescent="0.35">
      <c r="B2681" t="s">
        <v>174</v>
      </c>
      <c r="C2681" t="s">
        <v>175</v>
      </c>
    </row>
    <row r="2682" spans="2:3" x14ac:dyDescent="0.35">
      <c r="B2682" t="s">
        <v>517</v>
      </c>
      <c r="C2682" t="s">
        <v>518</v>
      </c>
    </row>
    <row r="2683" spans="2:3" x14ac:dyDescent="0.35">
      <c r="B2683" t="s">
        <v>58</v>
      </c>
      <c r="C2683" t="s">
        <v>59</v>
      </c>
    </row>
    <row r="2684" spans="2:3" x14ac:dyDescent="0.35">
      <c r="B2684" t="s">
        <v>1195</v>
      </c>
      <c r="C2684" t="s">
        <v>1195</v>
      </c>
    </row>
    <row r="2685" spans="2:3" x14ac:dyDescent="0.35">
      <c r="B2685" t="s">
        <v>254</v>
      </c>
      <c r="C2685" t="s">
        <v>255</v>
      </c>
    </row>
    <row r="2686" spans="2:3" x14ac:dyDescent="0.35">
      <c r="B2686" t="s">
        <v>640</v>
      </c>
      <c r="C2686" t="s">
        <v>641</v>
      </c>
    </row>
    <row r="2687" spans="2:3" x14ac:dyDescent="0.35">
      <c r="B2687" t="s">
        <v>656</v>
      </c>
      <c r="C2687" t="s">
        <v>657</v>
      </c>
    </row>
    <row r="2688" spans="2:3" x14ac:dyDescent="0.35">
      <c r="B2688" t="s">
        <v>664</v>
      </c>
      <c r="C2688" t="s">
        <v>665</v>
      </c>
    </row>
    <row r="2689" spans="2:3" x14ac:dyDescent="0.35">
      <c r="B2689" t="s">
        <v>787</v>
      </c>
      <c r="C2689" t="s">
        <v>788</v>
      </c>
    </row>
    <row r="2690" spans="2:3" x14ac:dyDescent="0.35">
      <c r="B2690" t="s">
        <v>122</v>
      </c>
      <c r="C2690" t="s">
        <v>123</v>
      </c>
    </row>
    <row r="2691" spans="2:3" x14ac:dyDescent="0.35">
      <c r="B2691" t="s">
        <v>202</v>
      </c>
      <c r="C2691" t="s">
        <v>203</v>
      </c>
    </row>
    <row r="2692" spans="2:3" x14ac:dyDescent="0.35">
      <c r="B2692" t="s">
        <v>465</v>
      </c>
      <c r="C2692" t="s">
        <v>466</v>
      </c>
    </row>
    <row r="2693" spans="2:3" x14ac:dyDescent="0.35">
      <c r="B2693" t="s">
        <v>475</v>
      </c>
      <c r="C2693" t="s">
        <v>476</v>
      </c>
    </row>
    <row r="2694" spans="2:3" x14ac:dyDescent="0.35">
      <c r="B2694" t="s">
        <v>393</v>
      </c>
      <c r="C2694" t="s">
        <v>394</v>
      </c>
    </row>
    <row r="2695" spans="2:3" x14ac:dyDescent="0.35">
      <c r="B2695" t="s">
        <v>799</v>
      </c>
      <c r="C2695" t="s">
        <v>800</v>
      </c>
    </row>
    <row r="2696" spans="2:3" x14ac:dyDescent="0.35">
      <c r="B2696" t="s">
        <v>557</v>
      </c>
      <c r="C2696" t="s">
        <v>558</v>
      </c>
    </row>
    <row r="2697" spans="2:3" x14ac:dyDescent="0.35">
      <c r="B2697" t="s">
        <v>107</v>
      </c>
      <c r="C2697" t="s">
        <v>108</v>
      </c>
    </row>
    <row r="2698" spans="2:3" x14ac:dyDescent="0.35">
      <c r="B2698" t="s">
        <v>577</v>
      </c>
      <c r="C2698" t="s">
        <v>578</v>
      </c>
    </row>
    <row r="2699" spans="2:3" x14ac:dyDescent="0.35">
      <c r="B2699" t="s">
        <v>279</v>
      </c>
      <c r="C2699" t="s">
        <v>280</v>
      </c>
    </row>
    <row r="2700" spans="2:3" x14ac:dyDescent="0.35">
      <c r="B2700" t="s">
        <v>787</v>
      </c>
      <c r="C2700" t="s">
        <v>788</v>
      </c>
    </row>
    <row r="2701" spans="2:3" x14ac:dyDescent="0.35">
      <c r="B2701" t="s">
        <v>90</v>
      </c>
      <c r="C2701" t="s">
        <v>91</v>
      </c>
    </row>
    <row r="2702" spans="2:3" x14ac:dyDescent="0.35">
      <c r="B2702" t="s">
        <v>595</v>
      </c>
      <c r="C2702" t="s">
        <v>596</v>
      </c>
    </row>
    <row r="2703" spans="2:3" x14ac:dyDescent="0.35">
      <c r="B2703" t="s">
        <v>258</v>
      </c>
      <c r="C2703" t="s">
        <v>259</v>
      </c>
    </row>
    <row r="2704" spans="2:3" x14ac:dyDescent="0.35">
      <c r="B2704" t="s">
        <v>416</v>
      </c>
      <c r="C2704" t="s">
        <v>417</v>
      </c>
    </row>
    <row r="2705" spans="2:3" x14ac:dyDescent="0.35">
      <c r="B2705" t="s">
        <v>1061</v>
      </c>
      <c r="C2705" t="s">
        <v>1062</v>
      </c>
    </row>
    <row r="2706" spans="2:3" x14ac:dyDescent="0.35">
      <c r="B2706" t="s">
        <v>163</v>
      </c>
      <c r="C2706" t="s">
        <v>164</v>
      </c>
    </row>
    <row r="2707" spans="2:3" x14ac:dyDescent="0.35">
      <c r="B2707" t="s">
        <v>658</v>
      </c>
      <c r="C2707" t="s">
        <v>659</v>
      </c>
    </row>
    <row r="2708" spans="2:3" x14ac:dyDescent="0.35">
      <c r="B2708" t="s">
        <v>537</v>
      </c>
      <c r="C2708" t="s">
        <v>538</v>
      </c>
    </row>
    <row r="2709" spans="2:3" x14ac:dyDescent="0.35">
      <c r="B2709" t="s">
        <v>577</v>
      </c>
      <c r="C2709" t="s">
        <v>578</v>
      </c>
    </row>
    <row r="2710" spans="2:3" x14ac:dyDescent="0.35">
      <c r="B2710" t="s">
        <v>654</v>
      </c>
      <c r="C2710" t="s">
        <v>655</v>
      </c>
    </row>
    <row r="2711" spans="2:3" x14ac:dyDescent="0.35">
      <c r="B2711" t="s">
        <v>694</v>
      </c>
      <c r="C2711" t="s">
        <v>695</v>
      </c>
    </row>
    <row r="2712" spans="2:3" x14ac:dyDescent="0.35">
      <c r="B2712" t="s">
        <v>509</v>
      </c>
      <c r="C2712" t="s">
        <v>510</v>
      </c>
    </row>
    <row r="2713" spans="2:3" x14ac:dyDescent="0.35">
      <c r="B2713" t="s">
        <v>787</v>
      </c>
      <c r="C2713" t="s">
        <v>788</v>
      </c>
    </row>
    <row r="2714" spans="2:3" x14ac:dyDescent="0.35">
      <c r="B2714" t="s">
        <v>545</v>
      </c>
      <c r="C2714" t="s">
        <v>546</v>
      </c>
    </row>
    <row r="2715" spans="2:3" x14ac:dyDescent="0.35">
      <c r="B2715" t="s">
        <v>676</v>
      </c>
      <c r="C2715" t="s">
        <v>677</v>
      </c>
    </row>
    <row r="2716" spans="2:3" x14ac:dyDescent="0.35">
      <c r="B2716" t="s">
        <v>378</v>
      </c>
      <c r="C2716" t="s">
        <v>379</v>
      </c>
    </row>
    <row r="2717" spans="2:3" x14ac:dyDescent="0.35">
      <c r="B2717" t="s">
        <v>1079</v>
      </c>
      <c r="C2717" t="s">
        <v>1080</v>
      </c>
    </row>
    <row r="2718" spans="2:3" x14ac:dyDescent="0.35">
      <c r="B2718" t="s">
        <v>230</v>
      </c>
      <c r="C2718" t="s">
        <v>231</v>
      </c>
    </row>
    <row r="2719" spans="2:3" x14ac:dyDescent="0.35">
      <c r="B2719" t="s">
        <v>703</v>
      </c>
      <c r="C2719" t="s">
        <v>704</v>
      </c>
    </row>
    <row r="2720" spans="2:3" x14ac:dyDescent="0.35">
      <c r="B2720" t="s">
        <v>787</v>
      </c>
      <c r="C2720" t="s">
        <v>788</v>
      </c>
    </row>
    <row r="2721" spans="2:3" x14ac:dyDescent="0.35">
      <c r="B2721" t="s">
        <v>692</v>
      </c>
      <c r="C2721" t="s">
        <v>693</v>
      </c>
    </row>
    <row r="2722" spans="2:3" x14ac:dyDescent="0.35">
      <c r="B2722" t="s">
        <v>281</v>
      </c>
      <c r="C2722" t="s">
        <v>282</v>
      </c>
    </row>
    <row r="2723" spans="2:3" x14ac:dyDescent="0.35">
      <c r="B2723" t="s">
        <v>787</v>
      </c>
      <c r="C2723" t="s">
        <v>788</v>
      </c>
    </row>
    <row r="2724" spans="2:3" x14ac:dyDescent="0.35">
      <c r="B2724" t="s">
        <v>212</v>
      </c>
      <c r="C2724" t="s">
        <v>213</v>
      </c>
    </row>
    <row r="2725" spans="2:3" x14ac:dyDescent="0.35">
      <c r="B2725" t="s">
        <v>443</v>
      </c>
      <c r="C2725" t="s">
        <v>444</v>
      </c>
    </row>
    <row r="2726" spans="2:3" x14ac:dyDescent="0.35">
      <c r="B2726" t="s">
        <v>692</v>
      </c>
      <c r="C2726" t="s">
        <v>693</v>
      </c>
    </row>
    <row r="2727" spans="2:3" x14ac:dyDescent="0.35">
      <c r="B2727" t="s">
        <v>437</v>
      </c>
      <c r="C2727" t="s">
        <v>438</v>
      </c>
    </row>
    <row r="2728" spans="2:3" x14ac:dyDescent="0.35">
      <c r="B2728" t="s">
        <v>527</v>
      </c>
      <c r="C2728" t="s">
        <v>528</v>
      </c>
    </row>
    <row r="2729" spans="2:3" x14ac:dyDescent="0.35">
      <c r="B2729" t="s">
        <v>275</v>
      </c>
      <c r="C2729" t="s">
        <v>276</v>
      </c>
    </row>
    <row r="2730" spans="2:3" x14ac:dyDescent="0.35">
      <c r="B2730" t="s">
        <v>700</v>
      </c>
      <c r="C2730" t="s">
        <v>701</v>
      </c>
    </row>
    <row r="2731" spans="2:3" x14ac:dyDescent="0.35">
      <c r="B2731" t="s">
        <v>410</v>
      </c>
      <c r="C2731" t="s">
        <v>411</v>
      </c>
    </row>
    <row r="2732" spans="2:3" x14ac:dyDescent="0.35">
      <c r="B2732" t="s">
        <v>674</v>
      </c>
      <c r="C2732" t="s">
        <v>675</v>
      </c>
    </row>
    <row r="2733" spans="2:3" x14ac:dyDescent="0.35">
      <c r="B2733" t="s">
        <v>870</v>
      </c>
      <c r="C2733" t="s">
        <v>871</v>
      </c>
    </row>
    <row r="2734" spans="2:3" x14ac:dyDescent="0.35">
      <c r="B2734" t="s">
        <v>527</v>
      </c>
      <c r="C2734" t="s">
        <v>528</v>
      </c>
    </row>
    <row r="2735" spans="2:3" x14ac:dyDescent="0.35">
      <c r="B2735" t="s">
        <v>1195</v>
      </c>
      <c r="C2735" t="s">
        <v>1195</v>
      </c>
    </row>
    <row r="2736" spans="2:3" x14ac:dyDescent="0.35">
      <c r="B2736" t="s">
        <v>105</v>
      </c>
      <c r="C2736" t="s">
        <v>106</v>
      </c>
    </row>
    <row r="2737" spans="2:3" x14ac:dyDescent="0.35">
      <c r="B2737" t="s">
        <v>120</v>
      </c>
      <c r="C2737" t="s">
        <v>121</v>
      </c>
    </row>
    <row r="2738" spans="2:3" x14ac:dyDescent="0.35">
      <c r="B2738" t="s">
        <v>120</v>
      </c>
      <c r="C2738" t="s">
        <v>121</v>
      </c>
    </row>
    <row r="2739" spans="2:3" x14ac:dyDescent="0.35">
      <c r="B2739" t="s">
        <v>131</v>
      </c>
      <c r="C2739" t="s">
        <v>132</v>
      </c>
    </row>
    <row r="2740" spans="2:3" x14ac:dyDescent="0.35">
      <c r="B2740" t="s">
        <v>958</v>
      </c>
      <c r="C2740" t="s">
        <v>959</v>
      </c>
    </row>
    <row r="2741" spans="2:3" x14ac:dyDescent="0.35">
      <c r="B2741" t="s">
        <v>260</v>
      </c>
      <c r="C2741" t="s">
        <v>261</v>
      </c>
    </row>
    <row r="2742" spans="2:3" x14ac:dyDescent="0.35">
      <c r="B2742" t="s">
        <v>254</v>
      </c>
      <c r="C2742" t="s">
        <v>255</v>
      </c>
    </row>
    <row r="2743" spans="2:3" x14ac:dyDescent="0.35">
      <c r="B2743" t="s">
        <v>176</v>
      </c>
      <c r="C2743" t="s">
        <v>177</v>
      </c>
    </row>
    <row r="2744" spans="2:3" x14ac:dyDescent="0.35">
      <c r="B2744" t="s">
        <v>254</v>
      </c>
      <c r="C2744" t="s">
        <v>255</v>
      </c>
    </row>
    <row r="2745" spans="2:3" x14ac:dyDescent="0.35">
      <c r="B2745" t="s">
        <v>543</v>
      </c>
      <c r="C2745" t="s">
        <v>544</v>
      </c>
    </row>
    <row r="2746" spans="2:3" x14ac:dyDescent="0.35">
      <c r="B2746" t="s">
        <v>874</v>
      </c>
      <c r="C2746" t="s">
        <v>875</v>
      </c>
    </row>
    <row r="2747" spans="2:3" x14ac:dyDescent="0.35">
      <c r="B2747" t="s">
        <v>529</v>
      </c>
      <c r="C2747" t="s">
        <v>530</v>
      </c>
    </row>
    <row r="2748" spans="2:3" x14ac:dyDescent="0.35">
      <c r="B2748" t="s">
        <v>122</v>
      </c>
      <c r="C2748" t="s">
        <v>123</v>
      </c>
    </row>
    <row r="2749" spans="2:3" x14ac:dyDescent="0.35">
      <c r="B2749" t="s">
        <v>787</v>
      </c>
      <c r="C2749" t="s">
        <v>788</v>
      </c>
    </row>
    <row r="2750" spans="2:3" x14ac:dyDescent="0.35">
      <c r="B2750" t="s">
        <v>692</v>
      </c>
      <c r="C2750" t="s">
        <v>693</v>
      </c>
    </row>
    <row r="2751" spans="2:3" x14ac:dyDescent="0.35">
      <c r="B2751" t="s">
        <v>692</v>
      </c>
      <c r="C2751" t="s">
        <v>693</v>
      </c>
    </row>
    <row r="2752" spans="2:3" x14ac:dyDescent="0.35">
      <c r="B2752" t="s">
        <v>322</v>
      </c>
      <c r="C2752" t="s">
        <v>323</v>
      </c>
    </row>
    <row r="2753" spans="2:3" x14ac:dyDescent="0.35">
      <c r="B2753" t="s">
        <v>593</v>
      </c>
      <c r="C2753" t="s">
        <v>594</v>
      </c>
    </row>
    <row r="2754" spans="2:3" x14ac:dyDescent="0.35">
      <c r="B2754" t="s">
        <v>787</v>
      </c>
      <c r="C2754" t="s">
        <v>788</v>
      </c>
    </row>
    <row r="2755" spans="2:3" x14ac:dyDescent="0.35">
      <c r="B2755" t="s">
        <v>961</v>
      </c>
      <c r="C2755" t="s">
        <v>962</v>
      </c>
    </row>
    <row r="2756" spans="2:3" x14ac:dyDescent="0.35">
      <c r="B2756" t="s">
        <v>694</v>
      </c>
      <c r="C2756" t="s">
        <v>695</v>
      </c>
    </row>
    <row r="2757" spans="2:3" x14ac:dyDescent="0.35">
      <c r="B2757" t="s">
        <v>674</v>
      </c>
      <c r="C2757" t="s">
        <v>675</v>
      </c>
    </row>
    <row r="2758" spans="2:3" x14ac:dyDescent="0.35">
      <c r="B2758" t="s">
        <v>640</v>
      </c>
      <c r="C2758" t="s">
        <v>641</v>
      </c>
    </row>
    <row r="2759" spans="2:3" x14ac:dyDescent="0.35">
      <c r="B2759" t="s">
        <v>208</v>
      </c>
      <c r="C2759" t="s">
        <v>209</v>
      </c>
    </row>
    <row r="2760" spans="2:3" x14ac:dyDescent="0.35">
      <c r="B2760" t="s">
        <v>271</v>
      </c>
      <c r="C2760" t="s">
        <v>272</v>
      </c>
    </row>
    <row r="2761" spans="2:3" x14ac:dyDescent="0.35">
      <c r="B2761" t="s">
        <v>700</v>
      </c>
      <c r="C2761" t="s">
        <v>701</v>
      </c>
    </row>
    <row r="2762" spans="2:3" x14ac:dyDescent="0.35">
      <c r="B2762" t="s">
        <v>531</v>
      </c>
      <c r="C2762" t="s">
        <v>532</v>
      </c>
    </row>
    <row r="2763" spans="2:3" x14ac:dyDescent="0.35">
      <c r="B2763" t="s">
        <v>642</v>
      </c>
      <c r="C2763" t="s">
        <v>643</v>
      </c>
    </row>
    <row r="2764" spans="2:3" x14ac:dyDescent="0.35">
      <c r="B2764" t="s">
        <v>662</v>
      </c>
      <c r="C2764" t="s">
        <v>663</v>
      </c>
    </row>
    <row r="2765" spans="2:3" x14ac:dyDescent="0.35">
      <c r="B2765" t="s">
        <v>122</v>
      </c>
      <c r="C2765" t="s">
        <v>123</v>
      </c>
    </row>
    <row r="2766" spans="2:3" x14ac:dyDescent="0.35">
      <c r="B2766" t="s">
        <v>208</v>
      </c>
      <c r="C2766" t="s">
        <v>209</v>
      </c>
    </row>
    <row r="2767" spans="2:3" x14ac:dyDescent="0.35">
      <c r="B2767" t="s">
        <v>1195</v>
      </c>
      <c r="C2767" t="s">
        <v>1195</v>
      </c>
    </row>
    <row r="2768" spans="2:3" x14ac:dyDescent="0.35">
      <c r="B2768" t="s">
        <v>543</v>
      </c>
      <c r="C2768" t="s">
        <v>544</v>
      </c>
    </row>
    <row r="2769" spans="2:3" x14ac:dyDescent="0.35">
      <c r="B2769" t="s">
        <v>543</v>
      </c>
      <c r="C2769" t="s">
        <v>544</v>
      </c>
    </row>
    <row r="2770" spans="2:3" x14ac:dyDescent="0.35">
      <c r="B2770" t="s">
        <v>658</v>
      </c>
      <c r="C2770" t="s">
        <v>659</v>
      </c>
    </row>
    <row r="2771" spans="2:3" x14ac:dyDescent="0.35">
      <c r="B2771" t="s">
        <v>577</v>
      </c>
      <c r="C2771" t="s">
        <v>578</v>
      </c>
    </row>
    <row r="2772" spans="2:3" x14ac:dyDescent="0.35">
      <c r="B2772" t="s">
        <v>202</v>
      </c>
      <c r="C2772" t="s">
        <v>203</v>
      </c>
    </row>
    <row r="2773" spans="2:3" x14ac:dyDescent="0.35">
      <c r="B2773" t="s">
        <v>642</v>
      </c>
      <c r="C2773" t="s">
        <v>643</v>
      </c>
    </row>
    <row r="2774" spans="2:3" x14ac:dyDescent="0.35">
      <c r="B2774" t="s">
        <v>638</v>
      </c>
      <c r="C2774" t="s">
        <v>639</v>
      </c>
    </row>
    <row r="2775" spans="2:3" x14ac:dyDescent="0.35">
      <c r="B2775" t="s">
        <v>200</v>
      </c>
      <c r="C2775" t="s">
        <v>201</v>
      </c>
    </row>
    <row r="2776" spans="2:3" x14ac:dyDescent="0.35">
      <c r="B2776" t="s">
        <v>260</v>
      </c>
      <c r="C2776" t="s">
        <v>261</v>
      </c>
    </row>
    <row r="2777" spans="2:3" x14ac:dyDescent="0.35">
      <c r="B2777" t="s">
        <v>232</v>
      </c>
      <c r="C2777" t="s">
        <v>233</v>
      </c>
    </row>
    <row r="2778" spans="2:3" x14ac:dyDescent="0.35">
      <c r="B2778" t="s">
        <v>787</v>
      </c>
      <c r="C2778" t="s">
        <v>788</v>
      </c>
    </row>
    <row r="2779" spans="2:3" x14ac:dyDescent="0.35">
      <c r="B2779" t="s">
        <v>410</v>
      </c>
      <c r="C2779" t="s">
        <v>411</v>
      </c>
    </row>
    <row r="2780" spans="2:3" x14ac:dyDescent="0.35">
      <c r="B2780" t="s">
        <v>559</v>
      </c>
      <c r="C2780" t="s">
        <v>560</v>
      </c>
    </row>
    <row r="2781" spans="2:3" x14ac:dyDescent="0.35">
      <c r="B2781" t="s">
        <v>963</v>
      </c>
      <c r="C2781" t="s">
        <v>964</v>
      </c>
    </row>
    <row r="2782" spans="2:3" x14ac:dyDescent="0.35">
      <c r="B2782" t="s">
        <v>202</v>
      </c>
      <c r="C2782" t="s">
        <v>203</v>
      </c>
    </row>
    <row r="2783" spans="2:3" x14ac:dyDescent="0.35">
      <c r="B2783" t="s">
        <v>252</v>
      </c>
      <c r="C2783" t="s">
        <v>253</v>
      </c>
    </row>
    <row r="2784" spans="2:3" x14ac:dyDescent="0.35">
      <c r="B2784" t="s">
        <v>350</v>
      </c>
      <c r="C2784" t="s">
        <v>351</v>
      </c>
    </row>
    <row r="2785" spans="2:3" x14ac:dyDescent="0.35">
      <c r="B2785" t="s">
        <v>575</v>
      </c>
      <c r="C2785" t="s">
        <v>576</v>
      </c>
    </row>
    <row r="2786" spans="2:3" x14ac:dyDescent="0.35">
      <c r="B2786" t="s">
        <v>84</v>
      </c>
      <c r="C2786" t="s">
        <v>85</v>
      </c>
    </row>
    <row r="2787" spans="2:3" x14ac:dyDescent="0.35">
      <c r="B2787" t="s">
        <v>163</v>
      </c>
      <c r="C2787" t="s">
        <v>164</v>
      </c>
    </row>
    <row r="2788" spans="2:3" x14ac:dyDescent="0.35">
      <c r="B2788" t="s">
        <v>219</v>
      </c>
      <c r="C2788" t="s">
        <v>220</v>
      </c>
    </row>
    <row r="2789" spans="2:3" x14ac:dyDescent="0.35">
      <c r="B2789" t="s">
        <v>531</v>
      </c>
      <c r="C2789" t="s">
        <v>532</v>
      </c>
    </row>
    <row r="2790" spans="2:3" x14ac:dyDescent="0.35">
      <c r="B2790" t="s">
        <v>378</v>
      </c>
      <c r="C2790" t="s">
        <v>379</v>
      </c>
    </row>
    <row r="2791" spans="2:3" x14ac:dyDescent="0.35">
      <c r="B2791" t="s">
        <v>787</v>
      </c>
      <c r="C2791" t="s">
        <v>788</v>
      </c>
    </row>
    <row r="2792" spans="2:3" x14ac:dyDescent="0.35">
      <c r="B2792" t="s">
        <v>64</v>
      </c>
      <c r="C2792" t="s">
        <v>65</v>
      </c>
    </row>
    <row r="2793" spans="2:3" x14ac:dyDescent="0.35">
      <c r="B2793" t="s">
        <v>84</v>
      </c>
      <c r="C2793" t="s">
        <v>85</v>
      </c>
    </row>
    <row r="2794" spans="2:3" x14ac:dyDescent="0.35">
      <c r="B2794" t="s">
        <v>208</v>
      </c>
      <c r="C2794" t="s">
        <v>209</v>
      </c>
    </row>
    <row r="2795" spans="2:3" x14ac:dyDescent="0.35">
      <c r="B2795" t="s">
        <v>178</v>
      </c>
      <c r="C2795" t="s">
        <v>179</v>
      </c>
    </row>
    <row r="2796" spans="2:3" x14ac:dyDescent="0.35">
      <c r="B2796" t="s">
        <v>703</v>
      </c>
      <c r="C2796" t="s">
        <v>704</v>
      </c>
    </row>
    <row r="2797" spans="2:3" x14ac:dyDescent="0.35">
      <c r="B2797" t="s">
        <v>589</v>
      </c>
      <c r="C2797" t="s">
        <v>590</v>
      </c>
    </row>
    <row r="2798" spans="2:3" x14ac:dyDescent="0.35">
      <c r="B2798" t="s">
        <v>963</v>
      </c>
      <c r="C2798" t="s">
        <v>964</v>
      </c>
    </row>
    <row r="2799" spans="2:3" x14ac:dyDescent="0.35">
      <c r="B2799" t="s">
        <v>200</v>
      </c>
      <c r="C2799" t="s">
        <v>201</v>
      </c>
    </row>
    <row r="2800" spans="2:3" x14ac:dyDescent="0.35">
      <c r="B2800" t="s">
        <v>787</v>
      </c>
      <c r="C2800" t="s">
        <v>788</v>
      </c>
    </row>
    <row r="2801" spans="2:3" x14ac:dyDescent="0.35">
      <c r="B2801" t="s">
        <v>963</v>
      </c>
      <c r="C2801" t="s">
        <v>964</v>
      </c>
    </row>
    <row r="2802" spans="2:3" x14ac:dyDescent="0.35">
      <c r="B2802" t="s">
        <v>549</v>
      </c>
      <c r="C2802" t="s">
        <v>550</v>
      </c>
    </row>
    <row r="2803" spans="2:3" x14ac:dyDescent="0.35">
      <c r="B2803" t="s">
        <v>58</v>
      </c>
      <c r="C2803" t="s">
        <v>59</v>
      </c>
    </row>
    <row r="2804" spans="2:3" x14ac:dyDescent="0.35">
      <c r="B2804" t="s">
        <v>503</v>
      </c>
      <c r="C2804" t="s">
        <v>504</v>
      </c>
    </row>
    <row r="2805" spans="2:3" x14ac:dyDescent="0.35">
      <c r="B2805" t="s">
        <v>652</v>
      </c>
      <c r="C2805" t="s">
        <v>653</v>
      </c>
    </row>
    <row r="2806" spans="2:3" x14ac:dyDescent="0.35">
      <c r="B2806" t="s">
        <v>376</v>
      </c>
      <c r="C2806" t="s">
        <v>377</v>
      </c>
    </row>
    <row r="2807" spans="2:3" x14ac:dyDescent="0.35">
      <c r="B2807" t="s">
        <v>662</v>
      </c>
      <c r="C2807" t="s">
        <v>663</v>
      </c>
    </row>
    <row r="2808" spans="2:3" x14ac:dyDescent="0.35">
      <c r="B2808" t="s">
        <v>575</v>
      </c>
      <c r="C2808" t="s">
        <v>576</v>
      </c>
    </row>
    <row r="2809" spans="2:3" x14ac:dyDescent="0.35">
      <c r="B2809" t="s">
        <v>200</v>
      </c>
      <c r="C2809" t="s">
        <v>201</v>
      </c>
    </row>
    <row r="2810" spans="2:3" x14ac:dyDescent="0.35">
      <c r="B2810" t="s">
        <v>90</v>
      </c>
      <c r="C2810" t="s">
        <v>91</v>
      </c>
    </row>
    <row r="2811" spans="2:3" x14ac:dyDescent="0.35">
      <c r="B2811" t="s">
        <v>384</v>
      </c>
      <c r="C2811" t="s">
        <v>385</v>
      </c>
    </row>
    <row r="2812" spans="2:3" x14ac:dyDescent="0.35">
      <c r="B2812" t="s">
        <v>787</v>
      </c>
      <c r="C2812" t="s">
        <v>788</v>
      </c>
    </row>
    <row r="2813" spans="2:3" x14ac:dyDescent="0.35">
      <c r="B2813" t="s">
        <v>434</v>
      </c>
      <c r="C2813" t="s">
        <v>435</v>
      </c>
    </row>
    <row r="2814" spans="2:3" x14ac:dyDescent="0.35">
      <c r="B2814" t="s">
        <v>376</v>
      </c>
      <c r="C2814" t="s">
        <v>377</v>
      </c>
    </row>
    <row r="2815" spans="2:3" x14ac:dyDescent="0.35">
      <c r="B2815" t="s">
        <v>787</v>
      </c>
      <c r="C2815" t="s">
        <v>788</v>
      </c>
    </row>
    <row r="2816" spans="2:3" x14ac:dyDescent="0.35">
      <c r="B2816" t="s">
        <v>872</v>
      </c>
      <c r="C2816" t="s">
        <v>873</v>
      </c>
    </row>
    <row r="2817" spans="2:3" x14ac:dyDescent="0.35">
      <c r="B2817" t="s">
        <v>694</v>
      </c>
      <c r="C2817" t="s">
        <v>695</v>
      </c>
    </row>
    <row r="2818" spans="2:3" x14ac:dyDescent="0.35">
      <c r="B2818" t="s">
        <v>393</v>
      </c>
      <c r="C2818" t="s">
        <v>394</v>
      </c>
    </row>
    <row r="2819" spans="2:3" x14ac:dyDescent="0.35">
      <c r="B2819" t="s">
        <v>163</v>
      </c>
      <c r="C2819" t="s">
        <v>164</v>
      </c>
    </row>
    <row r="2820" spans="2:3" x14ac:dyDescent="0.35">
      <c r="B2820" t="s">
        <v>700</v>
      </c>
      <c r="C2820" t="s">
        <v>701</v>
      </c>
    </row>
    <row r="2821" spans="2:3" x14ac:dyDescent="0.35">
      <c r="B2821" t="s">
        <v>577</v>
      </c>
      <c r="C2821" t="s">
        <v>578</v>
      </c>
    </row>
    <row r="2822" spans="2:3" x14ac:dyDescent="0.35">
      <c r="B2822" t="s">
        <v>561</v>
      </c>
      <c r="C2822" t="s">
        <v>562</v>
      </c>
    </row>
    <row r="2823" spans="2:3" x14ac:dyDescent="0.35">
      <c r="B2823" t="s">
        <v>787</v>
      </c>
      <c r="C2823" t="s">
        <v>788</v>
      </c>
    </row>
    <row r="2824" spans="2:3" x14ac:dyDescent="0.35">
      <c r="B2824" t="s">
        <v>658</v>
      </c>
      <c r="C2824" t="s">
        <v>659</v>
      </c>
    </row>
    <row r="2825" spans="2:3" x14ac:dyDescent="0.35">
      <c r="B2825" t="s">
        <v>703</v>
      </c>
      <c r="C2825" t="s">
        <v>704</v>
      </c>
    </row>
    <row r="2826" spans="2:3" x14ac:dyDescent="0.35">
      <c r="B2826" t="s">
        <v>465</v>
      </c>
      <c r="C2826" t="s">
        <v>466</v>
      </c>
    </row>
    <row r="2827" spans="2:3" x14ac:dyDescent="0.35">
      <c r="B2827" t="s">
        <v>787</v>
      </c>
      <c r="C2827" t="s">
        <v>788</v>
      </c>
    </row>
    <row r="2828" spans="2:3" x14ac:dyDescent="0.35">
      <c r="B2828" t="s">
        <v>531</v>
      </c>
      <c r="C2828" t="s">
        <v>532</v>
      </c>
    </row>
    <row r="2829" spans="2:3" x14ac:dyDescent="0.35">
      <c r="B2829" t="s">
        <v>557</v>
      </c>
      <c r="C2829" t="s">
        <v>558</v>
      </c>
    </row>
    <row r="2830" spans="2:3" x14ac:dyDescent="0.35">
      <c r="B2830" t="s">
        <v>260</v>
      </c>
      <c r="C2830" t="s">
        <v>261</v>
      </c>
    </row>
    <row r="2831" spans="2:3" x14ac:dyDescent="0.35">
      <c r="B2831" t="s">
        <v>787</v>
      </c>
      <c r="C2831" t="s">
        <v>788</v>
      </c>
    </row>
    <row r="2832" spans="2:3" x14ac:dyDescent="0.35">
      <c r="B2832" t="s">
        <v>868</v>
      </c>
      <c r="C2832" t="s">
        <v>869</v>
      </c>
    </row>
    <row r="2833" spans="2:3" x14ac:dyDescent="0.35">
      <c r="B2833" t="s">
        <v>874</v>
      </c>
      <c r="C2833" t="s">
        <v>875</v>
      </c>
    </row>
    <row r="2834" spans="2:3" x14ac:dyDescent="0.35">
      <c r="B2834" t="s">
        <v>541</v>
      </c>
      <c r="C2834" t="s">
        <v>542</v>
      </c>
    </row>
    <row r="2835" spans="2:3" x14ac:dyDescent="0.35">
      <c r="B2835" t="s">
        <v>254</v>
      </c>
      <c r="C2835" t="s">
        <v>255</v>
      </c>
    </row>
    <row r="2836" spans="2:3" x14ac:dyDescent="0.35">
      <c r="B2836" t="s">
        <v>787</v>
      </c>
      <c r="C2836" t="s">
        <v>788</v>
      </c>
    </row>
    <row r="2837" spans="2:3" x14ac:dyDescent="0.35">
      <c r="B2837" t="s">
        <v>344</v>
      </c>
      <c r="C2837" t="s">
        <v>345</v>
      </c>
    </row>
    <row r="2838" spans="2:3" x14ac:dyDescent="0.35">
      <c r="B2838" t="s">
        <v>58</v>
      </c>
      <c r="C2838" t="s">
        <v>59</v>
      </c>
    </row>
    <row r="2839" spans="2:3" x14ac:dyDescent="0.35">
      <c r="B2839" t="s">
        <v>868</v>
      </c>
      <c r="C2839" t="s">
        <v>869</v>
      </c>
    </row>
    <row r="2840" spans="2:3" x14ac:dyDescent="0.35">
      <c r="B2840" t="s">
        <v>692</v>
      </c>
      <c r="C2840" t="s">
        <v>693</v>
      </c>
    </row>
    <row r="2841" spans="2:3" x14ac:dyDescent="0.35">
      <c r="B2841" t="s">
        <v>346</v>
      </c>
      <c r="C2841" t="s">
        <v>347</v>
      </c>
    </row>
    <row r="2842" spans="2:3" x14ac:dyDescent="0.35">
      <c r="B2842" t="s">
        <v>787</v>
      </c>
      <c r="C2842" t="s">
        <v>788</v>
      </c>
    </row>
    <row r="2843" spans="2:3" x14ac:dyDescent="0.35">
      <c r="B2843" t="s">
        <v>208</v>
      </c>
      <c r="C2843" t="s">
        <v>209</v>
      </c>
    </row>
    <row r="2844" spans="2:3" x14ac:dyDescent="0.35">
      <c r="B2844" t="s">
        <v>529</v>
      </c>
      <c r="C2844" t="s">
        <v>530</v>
      </c>
    </row>
    <row r="2845" spans="2:3" x14ac:dyDescent="0.35">
      <c r="B2845" t="s">
        <v>208</v>
      </c>
      <c r="C2845" t="s">
        <v>209</v>
      </c>
    </row>
    <row r="2846" spans="2:3" x14ac:dyDescent="0.35">
      <c r="B2846" t="s">
        <v>176</v>
      </c>
      <c r="C2846" t="s">
        <v>177</v>
      </c>
    </row>
    <row r="2847" spans="2:3" x14ac:dyDescent="0.35">
      <c r="B2847" t="s">
        <v>1061</v>
      </c>
      <c r="C2847" t="s">
        <v>1062</v>
      </c>
    </row>
    <row r="2848" spans="2:3" x14ac:dyDescent="0.35">
      <c r="B2848" t="s">
        <v>131</v>
      </c>
      <c r="C2848" t="s">
        <v>132</v>
      </c>
    </row>
    <row r="2849" spans="2:3" x14ac:dyDescent="0.35">
      <c r="B2849" t="s">
        <v>787</v>
      </c>
      <c r="C2849" t="s">
        <v>788</v>
      </c>
    </row>
    <row r="2850" spans="2:3" x14ac:dyDescent="0.35">
      <c r="B2850" t="s">
        <v>511</v>
      </c>
      <c r="C2850" t="s">
        <v>512</v>
      </c>
    </row>
    <row r="2851" spans="2:3" x14ac:dyDescent="0.35">
      <c r="B2851" t="s">
        <v>384</v>
      </c>
      <c r="C2851" t="s">
        <v>385</v>
      </c>
    </row>
    <row r="2852" spans="2:3" x14ac:dyDescent="0.35">
      <c r="B2852" t="s">
        <v>1061</v>
      </c>
      <c r="C2852" t="s">
        <v>1062</v>
      </c>
    </row>
    <row r="2853" spans="2:3" x14ac:dyDescent="0.35">
      <c r="B2853" t="s">
        <v>495</v>
      </c>
      <c r="C2853" t="s">
        <v>496</v>
      </c>
    </row>
    <row r="2854" spans="2:3" x14ac:dyDescent="0.35">
      <c r="B2854" t="s">
        <v>1195</v>
      </c>
      <c r="C2854" t="s">
        <v>1195</v>
      </c>
    </row>
    <row r="2855" spans="2:3" x14ac:dyDescent="0.35">
      <c r="B2855" t="s">
        <v>105</v>
      </c>
      <c r="C2855" t="s">
        <v>106</v>
      </c>
    </row>
    <row r="2856" spans="2:3" x14ac:dyDescent="0.35">
      <c r="B2856" t="s">
        <v>202</v>
      </c>
      <c r="C2856" t="s">
        <v>203</v>
      </c>
    </row>
    <row r="2857" spans="2:3" x14ac:dyDescent="0.35">
      <c r="B2857" t="s">
        <v>553</v>
      </c>
      <c r="C2857" t="s">
        <v>554</v>
      </c>
    </row>
    <row r="2858" spans="2:3" x14ac:dyDescent="0.35">
      <c r="B2858" t="s">
        <v>449</v>
      </c>
      <c r="C2858" t="s">
        <v>450</v>
      </c>
    </row>
    <row r="2859" spans="2:3" x14ac:dyDescent="0.35">
      <c r="B2859" t="s">
        <v>1195</v>
      </c>
      <c r="C2859" t="s">
        <v>1195</v>
      </c>
    </row>
    <row r="2860" spans="2:3" x14ac:dyDescent="0.35">
      <c r="B2860" t="s">
        <v>487</v>
      </c>
      <c r="C2860" t="s">
        <v>488</v>
      </c>
    </row>
    <row r="2861" spans="2:3" x14ac:dyDescent="0.35">
      <c r="B2861" t="s">
        <v>200</v>
      </c>
      <c r="C2861" t="s">
        <v>201</v>
      </c>
    </row>
    <row r="2862" spans="2:3" x14ac:dyDescent="0.35">
      <c r="B2862" t="s">
        <v>515</v>
      </c>
      <c r="C2862" t="s">
        <v>516</v>
      </c>
    </row>
    <row r="2863" spans="2:3" x14ac:dyDescent="0.35">
      <c r="B2863" t="s">
        <v>322</v>
      </c>
      <c r="C2863" t="s">
        <v>323</v>
      </c>
    </row>
    <row r="2864" spans="2:3" x14ac:dyDescent="0.35">
      <c r="B2864" t="s">
        <v>612</v>
      </c>
      <c r="C2864" t="s">
        <v>613</v>
      </c>
    </row>
    <row r="2865" spans="2:3" x14ac:dyDescent="0.35">
      <c r="B2865" t="s">
        <v>694</v>
      </c>
      <c r="C2865" t="s">
        <v>695</v>
      </c>
    </row>
    <row r="2866" spans="2:3" x14ac:dyDescent="0.35">
      <c r="B2866" t="s">
        <v>676</v>
      </c>
      <c r="C2866" t="s">
        <v>677</v>
      </c>
    </row>
    <row r="2867" spans="2:3" x14ac:dyDescent="0.35">
      <c r="B2867" t="s">
        <v>787</v>
      </c>
      <c r="C2867" t="s">
        <v>788</v>
      </c>
    </row>
    <row r="2868" spans="2:3" x14ac:dyDescent="0.35">
      <c r="B2868" t="s">
        <v>64</v>
      </c>
      <c r="C2868" t="s">
        <v>65</v>
      </c>
    </row>
    <row r="2869" spans="2:3" x14ac:dyDescent="0.35">
      <c r="B2869" t="s">
        <v>465</v>
      </c>
      <c r="C2869" t="s">
        <v>466</v>
      </c>
    </row>
    <row r="2870" spans="2:3" x14ac:dyDescent="0.35">
      <c r="B2870" t="s">
        <v>787</v>
      </c>
      <c r="C2870" t="s">
        <v>788</v>
      </c>
    </row>
    <row r="2871" spans="2:3" x14ac:dyDescent="0.35">
      <c r="B2871" t="s">
        <v>787</v>
      </c>
      <c r="C2871" t="s">
        <v>788</v>
      </c>
    </row>
    <row r="2872" spans="2:3" x14ac:dyDescent="0.35">
      <c r="B2872" t="s">
        <v>210</v>
      </c>
      <c r="C2872" t="s">
        <v>211</v>
      </c>
    </row>
    <row r="2873" spans="2:3" x14ac:dyDescent="0.35">
      <c r="B2873" t="s">
        <v>64</v>
      </c>
      <c r="C2873" t="s">
        <v>65</v>
      </c>
    </row>
    <row r="2874" spans="2:3" x14ac:dyDescent="0.35">
      <c r="B2874" t="s">
        <v>610</v>
      </c>
      <c r="C2874" t="s">
        <v>611</v>
      </c>
    </row>
    <row r="2875" spans="2:3" x14ac:dyDescent="0.35">
      <c r="B2875" t="s">
        <v>787</v>
      </c>
      <c r="C2875" t="s">
        <v>788</v>
      </c>
    </row>
    <row r="2876" spans="2:3" x14ac:dyDescent="0.35">
      <c r="B2876" t="s">
        <v>316</v>
      </c>
      <c r="C2876" t="s">
        <v>317</v>
      </c>
    </row>
    <row r="2877" spans="2:3" x14ac:dyDescent="0.35">
      <c r="B2877" t="s">
        <v>515</v>
      </c>
      <c r="C2877" t="s">
        <v>516</v>
      </c>
    </row>
    <row r="2878" spans="2:3" x14ac:dyDescent="0.35">
      <c r="B2878" t="s">
        <v>787</v>
      </c>
      <c r="C2878" t="s">
        <v>788</v>
      </c>
    </row>
    <row r="2879" spans="2:3" x14ac:dyDescent="0.35">
      <c r="B2879" t="s">
        <v>443</v>
      </c>
      <c r="C2879" t="s">
        <v>444</v>
      </c>
    </row>
    <row r="2880" spans="2:3" x14ac:dyDescent="0.35">
      <c r="B2880" t="s">
        <v>694</v>
      </c>
      <c r="C2880" t="s">
        <v>695</v>
      </c>
    </row>
    <row r="2881" spans="2:3" x14ac:dyDescent="0.35">
      <c r="B2881" t="s">
        <v>963</v>
      </c>
      <c r="C2881" t="s">
        <v>964</v>
      </c>
    </row>
    <row r="2882" spans="2:3" x14ac:dyDescent="0.35">
      <c r="B2882" t="s">
        <v>870</v>
      </c>
      <c r="C2882" t="s">
        <v>871</v>
      </c>
    </row>
    <row r="2883" spans="2:3" x14ac:dyDescent="0.35">
      <c r="B2883" t="s">
        <v>208</v>
      </c>
      <c r="C2883" t="s">
        <v>209</v>
      </c>
    </row>
    <row r="2884" spans="2:3" x14ac:dyDescent="0.35">
      <c r="B2884" t="s">
        <v>787</v>
      </c>
      <c r="C2884" t="s">
        <v>788</v>
      </c>
    </row>
    <row r="2885" spans="2:3" x14ac:dyDescent="0.35">
      <c r="B2885" t="s">
        <v>82</v>
      </c>
      <c r="C2885" t="s">
        <v>83</v>
      </c>
    </row>
    <row r="2886" spans="2:3" x14ac:dyDescent="0.35">
      <c r="B2886" t="s">
        <v>527</v>
      </c>
      <c r="C2886" t="s">
        <v>528</v>
      </c>
    </row>
    <row r="2887" spans="2:3" x14ac:dyDescent="0.35">
      <c r="B2887" t="s">
        <v>545</v>
      </c>
      <c r="C2887" t="s">
        <v>546</v>
      </c>
    </row>
    <row r="2888" spans="2:3" x14ac:dyDescent="0.35">
      <c r="B2888" t="s">
        <v>350</v>
      </c>
      <c r="C2888" t="s">
        <v>351</v>
      </c>
    </row>
    <row r="2889" spans="2:3" x14ac:dyDescent="0.35">
      <c r="B2889" t="s">
        <v>457</v>
      </c>
      <c r="C2889" t="s">
        <v>458</v>
      </c>
    </row>
    <row r="2890" spans="2:3" x14ac:dyDescent="0.35">
      <c r="B2890" t="s">
        <v>787</v>
      </c>
      <c r="C2890" t="s">
        <v>788</v>
      </c>
    </row>
    <row r="2891" spans="2:3" x14ac:dyDescent="0.35">
      <c r="B2891" t="s">
        <v>787</v>
      </c>
      <c r="C2891" t="s">
        <v>788</v>
      </c>
    </row>
    <row r="2892" spans="2:3" x14ac:dyDescent="0.35">
      <c r="B2892" t="s">
        <v>457</v>
      </c>
      <c r="C2892" t="s">
        <v>458</v>
      </c>
    </row>
    <row r="2893" spans="2:3" x14ac:dyDescent="0.35">
      <c r="B2893" t="s">
        <v>545</v>
      </c>
      <c r="C2893" t="s">
        <v>546</v>
      </c>
    </row>
    <row r="2894" spans="2:3" x14ac:dyDescent="0.35">
      <c r="B2894" t="s">
        <v>202</v>
      </c>
      <c r="C2894" t="s">
        <v>203</v>
      </c>
    </row>
    <row r="2895" spans="2:3" x14ac:dyDescent="0.35">
      <c r="B2895" t="s">
        <v>515</v>
      </c>
      <c r="C2895" t="s">
        <v>516</v>
      </c>
    </row>
    <row r="2896" spans="2:3" x14ac:dyDescent="0.35">
      <c r="B2896" t="s">
        <v>258</v>
      </c>
      <c r="C2896" t="s">
        <v>259</v>
      </c>
    </row>
    <row r="2897" spans="2:3" x14ac:dyDescent="0.35">
      <c r="B2897" t="s">
        <v>700</v>
      </c>
      <c r="C2897" t="s">
        <v>701</v>
      </c>
    </row>
    <row r="2898" spans="2:3" x14ac:dyDescent="0.35">
      <c r="B2898" t="s">
        <v>84</v>
      </c>
      <c r="C2898" t="s">
        <v>85</v>
      </c>
    </row>
    <row r="2899" spans="2:3" x14ac:dyDescent="0.35">
      <c r="B2899" t="s">
        <v>64</v>
      </c>
      <c r="C2899" t="s">
        <v>65</v>
      </c>
    </row>
    <row r="2900" spans="2:3" x14ac:dyDescent="0.35">
      <c r="B2900" t="s">
        <v>787</v>
      </c>
      <c r="C2900" t="s">
        <v>788</v>
      </c>
    </row>
    <row r="2901" spans="2:3" x14ac:dyDescent="0.35">
      <c r="B2901" t="s">
        <v>455</v>
      </c>
      <c r="C2901" t="s">
        <v>456</v>
      </c>
    </row>
    <row r="2902" spans="2:3" x14ac:dyDescent="0.35">
      <c r="B2902" t="s">
        <v>260</v>
      </c>
      <c r="C2902" t="s">
        <v>261</v>
      </c>
    </row>
    <row r="2903" spans="2:3" x14ac:dyDescent="0.35">
      <c r="B2903" t="s">
        <v>605</v>
      </c>
      <c r="C2903" t="s">
        <v>606</v>
      </c>
    </row>
    <row r="2904" spans="2:3" x14ac:dyDescent="0.35">
      <c r="B2904" t="s">
        <v>787</v>
      </c>
      <c r="C2904" t="s">
        <v>788</v>
      </c>
    </row>
    <row r="2905" spans="2:3" x14ac:dyDescent="0.35">
      <c r="B2905" t="s">
        <v>700</v>
      </c>
      <c r="C2905" t="s">
        <v>701</v>
      </c>
    </row>
    <row r="2906" spans="2:3" x14ac:dyDescent="0.35">
      <c r="B2906" t="s">
        <v>208</v>
      </c>
      <c r="C2906" t="s">
        <v>209</v>
      </c>
    </row>
    <row r="2907" spans="2:3" x14ac:dyDescent="0.35">
      <c r="B2907" t="s">
        <v>1061</v>
      </c>
      <c r="C2907" t="s">
        <v>1062</v>
      </c>
    </row>
    <row r="2908" spans="2:3" x14ac:dyDescent="0.35">
      <c r="B2908" t="s">
        <v>577</v>
      </c>
      <c r="C2908" t="s">
        <v>578</v>
      </c>
    </row>
    <row r="2909" spans="2:3" x14ac:dyDescent="0.35">
      <c r="B2909" t="s">
        <v>430</v>
      </c>
      <c r="C2909" t="s">
        <v>431</v>
      </c>
    </row>
    <row r="2910" spans="2:3" x14ac:dyDescent="0.35">
      <c r="B2910" t="s">
        <v>457</v>
      </c>
      <c r="C2910" t="s">
        <v>458</v>
      </c>
    </row>
    <row r="2911" spans="2:3" x14ac:dyDescent="0.35">
      <c r="B2911" t="s">
        <v>703</v>
      </c>
      <c r="C2911" t="s">
        <v>704</v>
      </c>
    </row>
    <row r="2912" spans="2:3" x14ac:dyDescent="0.35">
      <c r="B2912" t="s">
        <v>694</v>
      </c>
      <c r="C2912" t="s">
        <v>695</v>
      </c>
    </row>
    <row r="2913" spans="2:3" x14ac:dyDescent="0.35">
      <c r="B2913" t="s">
        <v>963</v>
      </c>
      <c r="C2913" t="s">
        <v>964</v>
      </c>
    </row>
    <row r="2914" spans="2:3" x14ac:dyDescent="0.35">
      <c r="B2914" t="s">
        <v>561</v>
      </c>
      <c r="C2914" t="s">
        <v>562</v>
      </c>
    </row>
    <row r="2915" spans="2:3" x14ac:dyDescent="0.35">
      <c r="B2915" t="s">
        <v>658</v>
      </c>
      <c r="C2915" t="s">
        <v>659</v>
      </c>
    </row>
    <row r="2916" spans="2:3" x14ac:dyDescent="0.35">
      <c r="B2916" t="s">
        <v>787</v>
      </c>
      <c r="C2916" t="s">
        <v>788</v>
      </c>
    </row>
    <row r="2917" spans="2:3" x14ac:dyDescent="0.35">
      <c r="B2917" t="s">
        <v>401</v>
      </c>
      <c r="C2917" t="s">
        <v>402</v>
      </c>
    </row>
    <row r="2918" spans="2:3" x14ac:dyDescent="0.35">
      <c r="B2918" t="s">
        <v>553</v>
      </c>
      <c r="C2918" t="s">
        <v>554</v>
      </c>
    </row>
    <row r="2919" spans="2:3" x14ac:dyDescent="0.35">
      <c r="B2919" t="s">
        <v>787</v>
      </c>
      <c r="C2919" t="s">
        <v>788</v>
      </c>
    </row>
    <row r="2920" spans="2:3" x14ac:dyDescent="0.35">
      <c r="B2920" t="s">
        <v>559</v>
      </c>
      <c r="C2920" t="s">
        <v>560</v>
      </c>
    </row>
    <row r="2921" spans="2:3" x14ac:dyDescent="0.35">
      <c r="B2921" t="s">
        <v>410</v>
      </c>
      <c r="C2921" t="s">
        <v>411</v>
      </c>
    </row>
    <row r="2922" spans="2:3" x14ac:dyDescent="0.35">
      <c r="B2922" t="s">
        <v>624</v>
      </c>
      <c r="C2922" t="s">
        <v>625</v>
      </c>
    </row>
    <row r="2923" spans="2:3" x14ac:dyDescent="0.35">
      <c r="B2923" t="s">
        <v>384</v>
      </c>
      <c r="C2923" t="s">
        <v>385</v>
      </c>
    </row>
    <row r="2924" spans="2:3" x14ac:dyDescent="0.35">
      <c r="B2924" t="s">
        <v>614</v>
      </c>
      <c r="C2924" t="s">
        <v>615</v>
      </c>
    </row>
    <row r="2925" spans="2:3" x14ac:dyDescent="0.35">
      <c r="B2925" t="s">
        <v>254</v>
      </c>
      <c r="C2925" t="s">
        <v>255</v>
      </c>
    </row>
    <row r="2926" spans="2:3" x14ac:dyDescent="0.35">
      <c r="B2926" t="s">
        <v>485</v>
      </c>
      <c r="C2926" t="s">
        <v>486</v>
      </c>
    </row>
    <row r="2927" spans="2:3" x14ac:dyDescent="0.35">
      <c r="B2927" t="s">
        <v>497</v>
      </c>
      <c r="C2927" t="s">
        <v>498</v>
      </c>
    </row>
    <row r="2928" spans="2:3" x14ac:dyDescent="0.35">
      <c r="B2928" t="s">
        <v>64</v>
      </c>
      <c r="C2928" t="s">
        <v>65</v>
      </c>
    </row>
    <row r="2929" spans="2:3" x14ac:dyDescent="0.35">
      <c r="B2929" t="s">
        <v>485</v>
      </c>
      <c r="C2929" t="s">
        <v>486</v>
      </c>
    </row>
    <row r="2930" spans="2:3" x14ac:dyDescent="0.35">
      <c r="B2930" t="s">
        <v>316</v>
      </c>
      <c r="C2930" t="s">
        <v>317</v>
      </c>
    </row>
    <row r="2931" spans="2:3" x14ac:dyDescent="0.35">
      <c r="B2931" t="s">
        <v>232</v>
      </c>
      <c r="C2931" t="s">
        <v>233</v>
      </c>
    </row>
    <row r="2932" spans="2:3" x14ac:dyDescent="0.35">
      <c r="B2932" t="s">
        <v>208</v>
      </c>
      <c r="C2932" t="s">
        <v>209</v>
      </c>
    </row>
    <row r="2933" spans="2:3" x14ac:dyDescent="0.35">
      <c r="B2933" t="s">
        <v>202</v>
      </c>
      <c r="C2933" t="s">
        <v>203</v>
      </c>
    </row>
    <row r="2934" spans="2:3" x14ac:dyDescent="0.35">
      <c r="B2934" t="s">
        <v>648</v>
      </c>
      <c r="C2934" t="s">
        <v>649</v>
      </c>
    </row>
    <row r="2935" spans="2:3" x14ac:dyDescent="0.35">
      <c r="B2935" t="s">
        <v>378</v>
      </c>
      <c r="C2935" t="s">
        <v>379</v>
      </c>
    </row>
    <row r="2936" spans="2:3" x14ac:dyDescent="0.35">
      <c r="B2936" t="s">
        <v>90</v>
      </c>
      <c r="C2936" t="s">
        <v>91</v>
      </c>
    </row>
    <row r="2937" spans="2:3" x14ac:dyDescent="0.35">
      <c r="B2937" t="s">
        <v>1172</v>
      </c>
      <c r="C2937" t="s">
        <v>1173</v>
      </c>
    </row>
    <row r="2938" spans="2:3" x14ac:dyDescent="0.35">
      <c r="B2938" t="s">
        <v>787</v>
      </c>
      <c r="C2938" t="s">
        <v>788</v>
      </c>
    </row>
    <row r="2939" spans="2:3" x14ac:dyDescent="0.35">
      <c r="B2939" t="s">
        <v>787</v>
      </c>
      <c r="C2939" t="s">
        <v>788</v>
      </c>
    </row>
    <row r="2940" spans="2:3" x14ac:dyDescent="0.35">
      <c r="B2940" t="s">
        <v>662</v>
      </c>
      <c r="C2940" t="s">
        <v>663</v>
      </c>
    </row>
    <row r="2941" spans="2:3" x14ac:dyDescent="0.35">
      <c r="B2941" t="s">
        <v>787</v>
      </c>
      <c r="C2941" t="s">
        <v>788</v>
      </c>
    </row>
    <row r="2942" spans="2:3" x14ac:dyDescent="0.35">
      <c r="B2942" t="s">
        <v>378</v>
      </c>
      <c r="C2942" t="s">
        <v>379</v>
      </c>
    </row>
    <row r="2943" spans="2:3" x14ac:dyDescent="0.35">
      <c r="B2943" t="s">
        <v>703</v>
      </c>
      <c r="C2943" t="s">
        <v>704</v>
      </c>
    </row>
    <row r="2944" spans="2:3" x14ac:dyDescent="0.35">
      <c r="B2944" t="s">
        <v>176</v>
      </c>
      <c r="C2944" t="s">
        <v>177</v>
      </c>
    </row>
    <row r="2945" spans="2:3" x14ac:dyDescent="0.35">
      <c r="B2945" t="s">
        <v>599</v>
      </c>
      <c r="C2945" t="s">
        <v>600</v>
      </c>
    </row>
    <row r="2946" spans="2:3" x14ac:dyDescent="0.35">
      <c r="B2946" t="s">
        <v>963</v>
      </c>
      <c r="C2946" t="s">
        <v>964</v>
      </c>
    </row>
    <row r="2947" spans="2:3" x14ac:dyDescent="0.35">
      <c r="B2947" t="s">
        <v>658</v>
      </c>
      <c r="C2947" t="s">
        <v>659</v>
      </c>
    </row>
    <row r="2948" spans="2:3" x14ac:dyDescent="0.35">
      <c r="B2948" t="s">
        <v>163</v>
      </c>
      <c r="C2948" t="s">
        <v>164</v>
      </c>
    </row>
    <row r="2949" spans="2:3" x14ac:dyDescent="0.35">
      <c r="B2949" t="s">
        <v>787</v>
      </c>
      <c r="C2949" t="s">
        <v>788</v>
      </c>
    </row>
    <row r="2950" spans="2:3" x14ac:dyDescent="0.35">
      <c r="B2950" t="s">
        <v>694</v>
      </c>
      <c r="C2950" t="s">
        <v>695</v>
      </c>
    </row>
    <row r="2951" spans="2:3" x14ac:dyDescent="0.35">
      <c r="B2951" t="s">
        <v>322</v>
      </c>
      <c r="C2951" t="s">
        <v>323</v>
      </c>
    </row>
    <row r="2952" spans="2:3" x14ac:dyDescent="0.35">
      <c r="B2952" t="s">
        <v>64</v>
      </c>
      <c r="C2952" t="s">
        <v>65</v>
      </c>
    </row>
    <row r="2953" spans="2:3" x14ac:dyDescent="0.35">
      <c r="B2953" t="s">
        <v>703</v>
      </c>
      <c r="C2953" t="s">
        <v>704</v>
      </c>
    </row>
    <row r="2954" spans="2:3" x14ac:dyDescent="0.35">
      <c r="B2954" t="s">
        <v>1195</v>
      </c>
      <c r="C2954" t="s">
        <v>1195</v>
      </c>
    </row>
    <row r="2955" spans="2:3" x14ac:dyDescent="0.35">
      <c r="B2955" t="s">
        <v>658</v>
      </c>
      <c r="C2955" t="s">
        <v>659</v>
      </c>
    </row>
    <row r="2956" spans="2:3" x14ac:dyDescent="0.35">
      <c r="B2956" t="s">
        <v>529</v>
      </c>
      <c r="C2956" t="s">
        <v>530</v>
      </c>
    </row>
    <row r="2957" spans="2:3" x14ac:dyDescent="0.35">
      <c r="B2957" t="s">
        <v>393</v>
      </c>
      <c r="C2957" t="s">
        <v>394</v>
      </c>
    </row>
    <row r="2958" spans="2:3" x14ac:dyDescent="0.35">
      <c r="B2958" t="s">
        <v>384</v>
      </c>
      <c r="C2958" t="s">
        <v>385</v>
      </c>
    </row>
    <row r="2959" spans="2:3" x14ac:dyDescent="0.35">
      <c r="B2959" t="s">
        <v>1195</v>
      </c>
      <c r="C2959" t="s">
        <v>1195</v>
      </c>
    </row>
    <row r="2960" spans="2:3" x14ac:dyDescent="0.35">
      <c r="B2960" t="s">
        <v>358</v>
      </c>
      <c r="C2960" t="s">
        <v>359</v>
      </c>
    </row>
    <row r="2961" spans="2:3" x14ac:dyDescent="0.35">
      <c r="B2961" t="s">
        <v>543</v>
      </c>
      <c r="C2961" t="s">
        <v>544</v>
      </c>
    </row>
    <row r="2962" spans="2:3" x14ac:dyDescent="0.35">
      <c r="B2962" t="s">
        <v>692</v>
      </c>
      <c r="C2962" t="s">
        <v>693</v>
      </c>
    </row>
    <row r="2963" spans="2:3" x14ac:dyDescent="0.35">
      <c r="B2963" t="s">
        <v>694</v>
      </c>
      <c r="C2963" t="s">
        <v>695</v>
      </c>
    </row>
    <row r="2964" spans="2:3" x14ac:dyDescent="0.35">
      <c r="B2964" t="s">
        <v>275</v>
      </c>
      <c r="C2964" t="s">
        <v>276</v>
      </c>
    </row>
    <row r="2965" spans="2:3" x14ac:dyDescent="0.35">
      <c r="B2965" t="s">
        <v>485</v>
      </c>
      <c r="C2965" t="s">
        <v>486</v>
      </c>
    </row>
    <row r="2966" spans="2:3" x14ac:dyDescent="0.35">
      <c r="B2966" t="s">
        <v>495</v>
      </c>
      <c r="C2966" t="s">
        <v>496</v>
      </c>
    </row>
    <row r="2967" spans="2:3" x14ac:dyDescent="0.35">
      <c r="B2967" t="s">
        <v>90</v>
      </c>
      <c r="C2967" t="s">
        <v>91</v>
      </c>
    </row>
    <row r="2968" spans="2:3" x14ac:dyDescent="0.35">
      <c r="B2968" t="s">
        <v>616</v>
      </c>
      <c r="C2968" t="s">
        <v>617</v>
      </c>
    </row>
    <row r="2969" spans="2:3" x14ac:dyDescent="0.35">
      <c r="B2969" t="s">
        <v>1079</v>
      </c>
      <c r="C2969" t="s">
        <v>1080</v>
      </c>
    </row>
    <row r="2970" spans="2:3" x14ac:dyDescent="0.35">
      <c r="B2970" t="s">
        <v>485</v>
      </c>
      <c r="C2970" t="s">
        <v>486</v>
      </c>
    </row>
    <row r="2971" spans="2:3" x14ac:dyDescent="0.35">
      <c r="B2971" t="s">
        <v>72</v>
      </c>
      <c r="C2971" t="s">
        <v>73</v>
      </c>
    </row>
    <row r="2972" spans="2:3" x14ac:dyDescent="0.35">
      <c r="B2972" t="s">
        <v>559</v>
      </c>
      <c r="C2972" t="s">
        <v>560</v>
      </c>
    </row>
    <row r="2973" spans="2:3" x14ac:dyDescent="0.35">
      <c r="B2973" t="s">
        <v>219</v>
      </c>
      <c r="C2973" t="s">
        <v>220</v>
      </c>
    </row>
    <row r="2974" spans="2:3" x14ac:dyDescent="0.35">
      <c r="B2974" t="s">
        <v>163</v>
      </c>
      <c r="C2974" t="s">
        <v>164</v>
      </c>
    </row>
    <row r="2975" spans="2:3" x14ac:dyDescent="0.35">
      <c r="B2975" t="s">
        <v>559</v>
      </c>
      <c r="C2975" t="s">
        <v>560</v>
      </c>
    </row>
    <row r="2976" spans="2:3" x14ac:dyDescent="0.35">
      <c r="B2976" t="s">
        <v>202</v>
      </c>
      <c r="C2976" t="s">
        <v>203</v>
      </c>
    </row>
    <row r="2977" spans="2:3" x14ac:dyDescent="0.35">
      <c r="B2977" t="s">
        <v>531</v>
      </c>
      <c r="C2977" t="s">
        <v>532</v>
      </c>
    </row>
    <row r="2978" spans="2:3" x14ac:dyDescent="0.35">
      <c r="B2978" t="s">
        <v>285</v>
      </c>
      <c r="C2978" t="s">
        <v>286</v>
      </c>
    </row>
    <row r="2979" spans="2:3" x14ac:dyDescent="0.35">
      <c r="B2979" t="s">
        <v>624</v>
      </c>
      <c r="C2979" t="s">
        <v>625</v>
      </c>
    </row>
    <row r="2980" spans="2:3" x14ac:dyDescent="0.35">
      <c r="B2980" t="s">
        <v>543</v>
      </c>
      <c r="C2980" t="s">
        <v>544</v>
      </c>
    </row>
    <row r="2981" spans="2:3" x14ac:dyDescent="0.35">
      <c r="B2981" t="s">
        <v>105</v>
      </c>
      <c r="C2981" t="s">
        <v>106</v>
      </c>
    </row>
    <row r="2982" spans="2:3" x14ac:dyDescent="0.35">
      <c r="B2982" t="s">
        <v>103</v>
      </c>
      <c r="C2982" t="s">
        <v>104</v>
      </c>
    </row>
    <row r="2983" spans="2:3" x14ac:dyDescent="0.35">
      <c r="B2983" t="s">
        <v>618</v>
      </c>
      <c r="C2983" t="s">
        <v>619</v>
      </c>
    </row>
    <row r="2984" spans="2:3" x14ac:dyDescent="0.35">
      <c r="B2984" t="s">
        <v>72</v>
      </c>
      <c r="C2984" t="s">
        <v>73</v>
      </c>
    </row>
    <row r="2985" spans="2:3" x14ac:dyDescent="0.35">
      <c r="B2985" t="s">
        <v>219</v>
      </c>
      <c r="C2985" t="s">
        <v>220</v>
      </c>
    </row>
    <row r="2986" spans="2:3" x14ac:dyDescent="0.35">
      <c r="B2986" t="s">
        <v>1195</v>
      </c>
      <c r="C2986" t="s">
        <v>1195</v>
      </c>
    </row>
    <row r="2987" spans="2:3" x14ac:dyDescent="0.35">
      <c r="B2987" t="s">
        <v>1195</v>
      </c>
      <c r="C2987" t="s">
        <v>1195</v>
      </c>
    </row>
    <row r="2988" spans="2:3" x14ac:dyDescent="0.35">
      <c r="B2988" t="s">
        <v>694</v>
      </c>
      <c r="C2988" t="s">
        <v>695</v>
      </c>
    </row>
    <row r="2989" spans="2:3" x14ac:dyDescent="0.35">
      <c r="B2989" t="s">
        <v>1195</v>
      </c>
      <c r="C2989" t="s">
        <v>1195</v>
      </c>
    </row>
    <row r="2990" spans="2:3" x14ac:dyDescent="0.35">
      <c r="B2990" t="s">
        <v>1195</v>
      </c>
      <c r="C2990" t="s">
        <v>1195</v>
      </c>
    </row>
    <row r="2991" spans="2:3" x14ac:dyDescent="0.35">
      <c r="B2991" t="s">
        <v>787</v>
      </c>
      <c r="C2991" t="s">
        <v>788</v>
      </c>
    </row>
    <row r="2992" spans="2:3" x14ac:dyDescent="0.35">
      <c r="B2992" t="s">
        <v>571</v>
      </c>
      <c r="C2992" t="s">
        <v>572</v>
      </c>
    </row>
    <row r="2993" spans="2:3" x14ac:dyDescent="0.35">
      <c r="B2993" t="s">
        <v>505</v>
      </c>
      <c r="C2993" t="s">
        <v>506</v>
      </c>
    </row>
    <row r="2994" spans="2:3" x14ac:dyDescent="0.35">
      <c r="B2994" t="s">
        <v>537</v>
      </c>
      <c r="C2994" t="s">
        <v>538</v>
      </c>
    </row>
    <row r="2995" spans="2:3" x14ac:dyDescent="0.35">
      <c r="B2995" t="s">
        <v>293</v>
      </c>
      <c r="C2995" t="s">
        <v>294</v>
      </c>
    </row>
    <row r="2996" spans="2:3" x14ac:dyDescent="0.35">
      <c r="B2996" t="s">
        <v>595</v>
      </c>
      <c r="C2996" t="s">
        <v>596</v>
      </c>
    </row>
    <row r="2997" spans="2:3" x14ac:dyDescent="0.35">
      <c r="B2997" t="s">
        <v>787</v>
      </c>
      <c r="C2997" t="s">
        <v>788</v>
      </c>
    </row>
    <row r="2998" spans="2:3" x14ac:dyDescent="0.35">
      <c r="B2998" t="s">
        <v>90</v>
      </c>
      <c r="C2998" t="s">
        <v>91</v>
      </c>
    </row>
    <row r="2999" spans="2:3" x14ac:dyDescent="0.35">
      <c r="B2999" t="s">
        <v>601</v>
      </c>
      <c r="C2999" t="s">
        <v>602</v>
      </c>
    </row>
    <row r="3000" spans="2:3" x14ac:dyDescent="0.35">
      <c r="B3000" t="s">
        <v>202</v>
      </c>
      <c r="C3000" t="s">
        <v>203</v>
      </c>
    </row>
    <row r="3001" spans="2:3" x14ac:dyDescent="0.35">
      <c r="B3001" t="s">
        <v>963</v>
      </c>
      <c r="C3001" t="s">
        <v>964</v>
      </c>
    </row>
    <row r="3002" spans="2:3" x14ac:dyDescent="0.35">
      <c r="B3002" t="s">
        <v>306</v>
      </c>
      <c r="C3002" t="s">
        <v>307</v>
      </c>
    </row>
    <row r="3003" spans="2:3" x14ac:dyDescent="0.35">
      <c r="B3003" t="s">
        <v>90</v>
      </c>
      <c r="C3003" t="s">
        <v>91</v>
      </c>
    </row>
    <row r="3004" spans="2:3" x14ac:dyDescent="0.35">
      <c r="B3004" t="s">
        <v>640</v>
      </c>
      <c r="C3004" t="s">
        <v>641</v>
      </c>
    </row>
    <row r="3005" spans="2:3" x14ac:dyDescent="0.35">
      <c r="B3005" t="s">
        <v>703</v>
      </c>
      <c r="C3005" t="s">
        <v>704</v>
      </c>
    </row>
    <row r="3006" spans="2:3" x14ac:dyDescent="0.35">
      <c r="B3006" t="s">
        <v>700</v>
      </c>
      <c r="C3006" t="s">
        <v>701</v>
      </c>
    </row>
    <row r="3007" spans="2:3" x14ac:dyDescent="0.35">
      <c r="B3007" t="s">
        <v>378</v>
      </c>
      <c r="C3007" t="s">
        <v>379</v>
      </c>
    </row>
    <row r="3008" spans="2:3" x14ac:dyDescent="0.35">
      <c r="B3008" t="s">
        <v>202</v>
      </c>
      <c r="C3008" t="s">
        <v>203</v>
      </c>
    </row>
    <row r="3009" spans="2:3" x14ac:dyDescent="0.35">
      <c r="B3009" t="s">
        <v>378</v>
      </c>
      <c r="C3009" t="s">
        <v>379</v>
      </c>
    </row>
    <row r="3010" spans="2:3" x14ac:dyDescent="0.35">
      <c r="B3010" t="s">
        <v>254</v>
      </c>
      <c r="C3010" t="s">
        <v>255</v>
      </c>
    </row>
    <row r="3011" spans="2:3" x14ac:dyDescent="0.35">
      <c r="B3011" t="s">
        <v>260</v>
      </c>
      <c r="C3011" t="s">
        <v>261</v>
      </c>
    </row>
    <row r="3012" spans="2:3" x14ac:dyDescent="0.35">
      <c r="B3012" t="s">
        <v>703</v>
      </c>
      <c r="C3012" t="s">
        <v>704</v>
      </c>
    </row>
    <row r="3013" spans="2:3" x14ac:dyDescent="0.35">
      <c r="B3013" t="s">
        <v>787</v>
      </c>
      <c r="C3013" t="s">
        <v>788</v>
      </c>
    </row>
    <row r="3014" spans="2:3" x14ac:dyDescent="0.35">
      <c r="B3014" t="s">
        <v>616</v>
      </c>
      <c r="C3014" t="s">
        <v>617</v>
      </c>
    </row>
    <row r="3015" spans="2:3" x14ac:dyDescent="0.35">
      <c r="B3015" t="s">
        <v>260</v>
      </c>
      <c r="C3015" t="s">
        <v>261</v>
      </c>
    </row>
    <row r="3016" spans="2:3" x14ac:dyDescent="0.35">
      <c r="B3016" t="s">
        <v>662</v>
      </c>
      <c r="C3016" t="s">
        <v>663</v>
      </c>
    </row>
    <row r="3017" spans="2:3" x14ac:dyDescent="0.35">
      <c r="B3017" t="s">
        <v>787</v>
      </c>
      <c r="C3017" t="s">
        <v>788</v>
      </c>
    </row>
    <row r="3018" spans="2:3" x14ac:dyDescent="0.35">
      <c r="B3018" t="s">
        <v>463</v>
      </c>
      <c r="C3018" t="s">
        <v>464</v>
      </c>
    </row>
    <row r="3019" spans="2:3" x14ac:dyDescent="0.35">
      <c r="B3019" t="s">
        <v>616</v>
      </c>
      <c r="C3019" t="s">
        <v>617</v>
      </c>
    </row>
    <row r="3020" spans="2:3" x14ac:dyDescent="0.35">
      <c r="B3020" t="s">
        <v>787</v>
      </c>
      <c r="C3020" t="s">
        <v>788</v>
      </c>
    </row>
    <row r="3021" spans="2:3" x14ac:dyDescent="0.35">
      <c r="B3021" t="s">
        <v>575</v>
      </c>
      <c r="C3021" t="s">
        <v>576</v>
      </c>
    </row>
    <row r="3022" spans="2:3" x14ac:dyDescent="0.35">
      <c r="B3022" t="s">
        <v>82</v>
      </c>
      <c r="C3022" t="s">
        <v>83</v>
      </c>
    </row>
    <row r="3023" spans="2:3" x14ac:dyDescent="0.35">
      <c r="B3023" t="s">
        <v>692</v>
      </c>
      <c r="C3023" t="s">
        <v>693</v>
      </c>
    </row>
    <row r="3024" spans="2:3" x14ac:dyDescent="0.35">
      <c r="B3024" t="s">
        <v>58</v>
      </c>
      <c r="C3024" t="s">
        <v>59</v>
      </c>
    </row>
    <row r="3025" spans="2:3" x14ac:dyDescent="0.35">
      <c r="B3025" t="s">
        <v>859</v>
      </c>
      <c r="C3025" t="s">
        <v>860</v>
      </c>
    </row>
    <row r="3026" spans="2:3" x14ac:dyDescent="0.35">
      <c r="B3026" t="s">
        <v>599</v>
      </c>
      <c r="C3026" t="s">
        <v>600</v>
      </c>
    </row>
    <row r="3027" spans="2:3" x14ac:dyDescent="0.35">
      <c r="B3027" t="s">
        <v>378</v>
      </c>
      <c r="C3027" t="s">
        <v>379</v>
      </c>
    </row>
    <row r="3028" spans="2:3" x14ac:dyDescent="0.35">
      <c r="B3028" t="s">
        <v>654</v>
      </c>
      <c r="C3028" t="s">
        <v>655</v>
      </c>
    </row>
    <row r="3029" spans="2:3" x14ac:dyDescent="0.35">
      <c r="B3029" t="s">
        <v>465</v>
      </c>
      <c r="C3029" t="s">
        <v>466</v>
      </c>
    </row>
    <row r="3030" spans="2:3" x14ac:dyDescent="0.35">
      <c r="B3030" t="s">
        <v>202</v>
      </c>
      <c r="C3030" t="s">
        <v>203</v>
      </c>
    </row>
    <row r="3031" spans="2:3" x14ac:dyDescent="0.35">
      <c r="B3031" t="s">
        <v>543</v>
      </c>
      <c r="C3031" t="s">
        <v>544</v>
      </c>
    </row>
    <row r="3032" spans="2:3" x14ac:dyDescent="0.35">
      <c r="B3032" t="s">
        <v>84</v>
      </c>
      <c r="C3032" t="s">
        <v>85</v>
      </c>
    </row>
    <row r="3033" spans="2:3" x14ac:dyDescent="0.35">
      <c r="B3033" t="s">
        <v>787</v>
      </c>
      <c r="C3033" t="s">
        <v>788</v>
      </c>
    </row>
    <row r="3034" spans="2:3" x14ac:dyDescent="0.35">
      <c r="B3034" t="s">
        <v>120</v>
      </c>
      <c r="C3034" t="s">
        <v>121</v>
      </c>
    </row>
    <row r="3035" spans="2:3" x14ac:dyDescent="0.35">
      <c r="B3035" t="s">
        <v>787</v>
      </c>
      <c r="C3035" t="s">
        <v>788</v>
      </c>
    </row>
    <row r="3036" spans="2:3" x14ac:dyDescent="0.35">
      <c r="B3036" t="s">
        <v>624</v>
      </c>
      <c r="C3036" t="s">
        <v>625</v>
      </c>
    </row>
    <row r="3037" spans="2:3" x14ac:dyDescent="0.35">
      <c r="B3037" t="s">
        <v>868</v>
      </c>
      <c r="C3037" t="s">
        <v>869</v>
      </c>
    </row>
    <row r="3038" spans="2:3" x14ac:dyDescent="0.35">
      <c r="B3038" t="s">
        <v>694</v>
      </c>
      <c r="C3038" t="s">
        <v>695</v>
      </c>
    </row>
    <row r="3039" spans="2:3" x14ac:dyDescent="0.35">
      <c r="B3039" t="s">
        <v>595</v>
      </c>
      <c r="C3039" t="s">
        <v>596</v>
      </c>
    </row>
    <row r="3040" spans="2:3" x14ac:dyDescent="0.35">
      <c r="B3040" t="s">
        <v>664</v>
      </c>
      <c r="C3040" t="s">
        <v>665</v>
      </c>
    </row>
    <row r="3041" spans="2:3" x14ac:dyDescent="0.35">
      <c r="B3041" t="s">
        <v>232</v>
      </c>
      <c r="C3041" t="s">
        <v>233</v>
      </c>
    </row>
    <row r="3042" spans="2:3" x14ac:dyDescent="0.35">
      <c r="B3042" t="s">
        <v>82</v>
      </c>
      <c r="C3042" t="s">
        <v>83</v>
      </c>
    </row>
    <row r="3043" spans="2:3" x14ac:dyDescent="0.35">
      <c r="B3043" t="s">
        <v>605</v>
      </c>
      <c r="C3043" t="s">
        <v>606</v>
      </c>
    </row>
    <row r="3044" spans="2:3" x14ac:dyDescent="0.35">
      <c r="B3044" t="s">
        <v>208</v>
      </c>
      <c r="C3044" t="s">
        <v>209</v>
      </c>
    </row>
    <row r="3045" spans="2:3" x14ac:dyDescent="0.35">
      <c r="B3045" t="s">
        <v>1137</v>
      </c>
      <c r="C3045" t="s">
        <v>1138</v>
      </c>
    </row>
    <row r="3046" spans="2:3" x14ac:dyDescent="0.35">
      <c r="B3046" t="s">
        <v>703</v>
      </c>
      <c r="C3046" t="s">
        <v>704</v>
      </c>
    </row>
    <row r="3047" spans="2:3" x14ac:dyDescent="0.35">
      <c r="B3047" t="s">
        <v>703</v>
      </c>
      <c r="C3047" t="s">
        <v>704</v>
      </c>
    </row>
    <row r="3048" spans="2:3" x14ac:dyDescent="0.35">
      <c r="B3048" t="s">
        <v>105</v>
      </c>
      <c r="C3048" t="s">
        <v>106</v>
      </c>
    </row>
    <row r="3049" spans="2:3" x14ac:dyDescent="0.35">
      <c r="B3049" t="s">
        <v>787</v>
      </c>
      <c r="C3049" t="s">
        <v>788</v>
      </c>
    </row>
    <row r="3050" spans="2:3" x14ac:dyDescent="0.35">
      <c r="B3050" t="s">
        <v>648</v>
      </c>
      <c r="C3050" t="s">
        <v>649</v>
      </c>
    </row>
    <row r="3051" spans="2:3" x14ac:dyDescent="0.35">
      <c r="B3051" t="s">
        <v>254</v>
      </c>
      <c r="C3051" t="s">
        <v>255</v>
      </c>
    </row>
    <row r="3052" spans="2:3" x14ac:dyDescent="0.35">
      <c r="B3052" t="s">
        <v>200</v>
      </c>
      <c r="C3052" t="s">
        <v>201</v>
      </c>
    </row>
    <row r="3053" spans="2:3" x14ac:dyDescent="0.35">
      <c r="B3053" t="s">
        <v>694</v>
      </c>
      <c r="C3053" t="s">
        <v>695</v>
      </c>
    </row>
    <row r="3054" spans="2:3" x14ac:dyDescent="0.35">
      <c r="B3054" t="s">
        <v>105</v>
      </c>
      <c r="C3054" t="s">
        <v>106</v>
      </c>
    </row>
    <row r="3055" spans="2:3" x14ac:dyDescent="0.35">
      <c r="B3055" t="s">
        <v>853</v>
      </c>
      <c r="C3055" t="s">
        <v>854</v>
      </c>
    </row>
    <row r="3056" spans="2:3" x14ac:dyDescent="0.35">
      <c r="B3056" t="s">
        <v>861</v>
      </c>
      <c r="C3056" t="s">
        <v>862</v>
      </c>
    </row>
    <row r="3057" spans="2:3" x14ac:dyDescent="0.35">
      <c r="B3057" t="s">
        <v>787</v>
      </c>
      <c r="C3057" t="s">
        <v>788</v>
      </c>
    </row>
    <row r="3058" spans="2:3" x14ac:dyDescent="0.35">
      <c r="B3058" t="s">
        <v>787</v>
      </c>
      <c r="C3058" t="s">
        <v>788</v>
      </c>
    </row>
    <row r="3059" spans="2:3" x14ac:dyDescent="0.35">
      <c r="B3059" t="s">
        <v>601</v>
      </c>
      <c r="C3059" t="s">
        <v>602</v>
      </c>
    </row>
    <row r="3060" spans="2:3" x14ac:dyDescent="0.35">
      <c r="B3060" t="s">
        <v>529</v>
      </c>
      <c r="C3060" t="s">
        <v>530</v>
      </c>
    </row>
    <row r="3061" spans="2:3" x14ac:dyDescent="0.35">
      <c r="B3061" t="s">
        <v>529</v>
      </c>
      <c r="C3061" t="s">
        <v>530</v>
      </c>
    </row>
    <row r="3062" spans="2:3" x14ac:dyDescent="0.35">
      <c r="B3062" t="s">
        <v>958</v>
      </c>
      <c r="C3062" t="s">
        <v>959</v>
      </c>
    </row>
    <row r="3063" spans="2:3" x14ac:dyDescent="0.35">
      <c r="B3063" t="s">
        <v>650</v>
      </c>
      <c r="C3063" t="s">
        <v>651</v>
      </c>
    </row>
    <row r="3064" spans="2:3" x14ac:dyDescent="0.35">
      <c r="B3064" t="s">
        <v>275</v>
      </c>
      <c r="C3064" t="s">
        <v>276</v>
      </c>
    </row>
    <row r="3065" spans="2:3" x14ac:dyDescent="0.35">
      <c r="B3065" t="s">
        <v>787</v>
      </c>
      <c r="C3065" t="s">
        <v>788</v>
      </c>
    </row>
    <row r="3066" spans="2:3" x14ac:dyDescent="0.35">
      <c r="B3066" t="s">
        <v>703</v>
      </c>
      <c r="C3066" t="s">
        <v>704</v>
      </c>
    </row>
    <row r="3067" spans="2:3" x14ac:dyDescent="0.35">
      <c r="B3067" t="s">
        <v>961</v>
      </c>
      <c r="C3067" t="s">
        <v>962</v>
      </c>
    </row>
    <row r="3068" spans="2:3" x14ac:dyDescent="0.35">
      <c r="B3068" t="s">
        <v>437</v>
      </c>
      <c r="C3068" t="s">
        <v>438</v>
      </c>
    </row>
    <row r="3069" spans="2:3" x14ac:dyDescent="0.35">
      <c r="B3069" t="s">
        <v>787</v>
      </c>
      <c r="C3069" t="s">
        <v>788</v>
      </c>
    </row>
    <row r="3070" spans="2:3" x14ac:dyDescent="0.35">
      <c r="B3070" t="s">
        <v>541</v>
      </c>
      <c r="C3070" t="s">
        <v>542</v>
      </c>
    </row>
    <row r="3071" spans="2:3" x14ac:dyDescent="0.35">
      <c r="B3071" t="s">
        <v>553</v>
      </c>
      <c r="C3071" t="s">
        <v>554</v>
      </c>
    </row>
    <row r="3072" spans="2:3" x14ac:dyDescent="0.35">
      <c r="B3072" t="s">
        <v>105</v>
      </c>
      <c r="C3072" t="s">
        <v>106</v>
      </c>
    </row>
    <row r="3073" spans="2:3" x14ac:dyDescent="0.35">
      <c r="B3073" t="s">
        <v>874</v>
      </c>
      <c r="C3073" t="s">
        <v>875</v>
      </c>
    </row>
    <row r="3074" spans="2:3" x14ac:dyDescent="0.35">
      <c r="B3074" t="s">
        <v>344</v>
      </c>
      <c r="C3074" t="s">
        <v>345</v>
      </c>
    </row>
    <row r="3075" spans="2:3" x14ac:dyDescent="0.35">
      <c r="B3075" t="s">
        <v>174</v>
      </c>
      <c r="C3075" t="s">
        <v>175</v>
      </c>
    </row>
    <row r="3076" spans="2:3" x14ac:dyDescent="0.35">
      <c r="B3076" t="s">
        <v>505</v>
      </c>
      <c r="C3076" t="s">
        <v>506</v>
      </c>
    </row>
    <row r="3077" spans="2:3" x14ac:dyDescent="0.35">
      <c r="B3077" t="s">
        <v>868</v>
      </c>
      <c r="C3077" t="s">
        <v>869</v>
      </c>
    </row>
    <row r="3078" spans="2:3" x14ac:dyDescent="0.35">
      <c r="B3078" t="s">
        <v>208</v>
      </c>
      <c r="C3078" t="s">
        <v>209</v>
      </c>
    </row>
    <row r="3079" spans="2:3" x14ac:dyDescent="0.35">
      <c r="B3079" t="s">
        <v>541</v>
      </c>
      <c r="C3079" t="s">
        <v>542</v>
      </c>
    </row>
    <row r="3080" spans="2:3" x14ac:dyDescent="0.35">
      <c r="B3080" t="s">
        <v>787</v>
      </c>
      <c r="C3080" t="s">
        <v>788</v>
      </c>
    </row>
    <row r="3081" spans="2:3" x14ac:dyDescent="0.35">
      <c r="B3081" t="s">
        <v>64</v>
      </c>
      <c r="C3081" t="s">
        <v>65</v>
      </c>
    </row>
    <row r="3082" spans="2:3" x14ac:dyDescent="0.35">
      <c r="B3082" t="s">
        <v>658</v>
      </c>
      <c r="C3082" t="s">
        <v>659</v>
      </c>
    </row>
    <row r="3083" spans="2:3" x14ac:dyDescent="0.35">
      <c r="B3083" t="s">
        <v>694</v>
      </c>
      <c r="C3083" t="s">
        <v>695</v>
      </c>
    </row>
    <row r="3084" spans="2:3" x14ac:dyDescent="0.35">
      <c r="B3084" t="s">
        <v>541</v>
      </c>
      <c r="C3084" t="s">
        <v>542</v>
      </c>
    </row>
    <row r="3085" spans="2:3" x14ac:dyDescent="0.35">
      <c r="B3085" t="s">
        <v>465</v>
      </c>
      <c r="C3085" t="s">
        <v>466</v>
      </c>
    </row>
    <row r="3086" spans="2:3" x14ac:dyDescent="0.35">
      <c r="B3086" t="s">
        <v>260</v>
      </c>
      <c r="C3086" t="s">
        <v>261</v>
      </c>
    </row>
    <row r="3087" spans="2:3" x14ac:dyDescent="0.35">
      <c r="B3087" t="s">
        <v>90</v>
      </c>
      <c r="C3087" t="s">
        <v>91</v>
      </c>
    </row>
    <row r="3088" spans="2:3" x14ac:dyDescent="0.35">
      <c r="B3088" t="s">
        <v>872</v>
      </c>
      <c r="C3088" t="s">
        <v>873</v>
      </c>
    </row>
    <row r="3089" spans="2:3" x14ac:dyDescent="0.35">
      <c r="B3089" t="s">
        <v>64</v>
      </c>
      <c r="C3089" t="s">
        <v>65</v>
      </c>
    </row>
    <row r="3090" spans="2:3" x14ac:dyDescent="0.35">
      <c r="B3090" t="s">
        <v>656</v>
      </c>
      <c r="C3090" t="s">
        <v>657</v>
      </c>
    </row>
    <row r="3091" spans="2:3" x14ac:dyDescent="0.35">
      <c r="B3091" t="s">
        <v>595</v>
      </c>
      <c r="C3091" t="s">
        <v>596</v>
      </c>
    </row>
    <row r="3092" spans="2:3" x14ac:dyDescent="0.35">
      <c r="B3092" t="s">
        <v>465</v>
      </c>
      <c r="C3092" t="s">
        <v>466</v>
      </c>
    </row>
    <row r="3093" spans="2:3" x14ac:dyDescent="0.35">
      <c r="B3093" t="s">
        <v>501</v>
      </c>
      <c r="C3093" t="s">
        <v>502</v>
      </c>
    </row>
    <row r="3094" spans="2:3" x14ac:dyDescent="0.35">
      <c r="B3094" t="s">
        <v>640</v>
      </c>
      <c r="C3094" t="s">
        <v>641</v>
      </c>
    </row>
    <row r="3095" spans="2:3" x14ac:dyDescent="0.35">
      <c r="B3095" t="s">
        <v>56</v>
      </c>
      <c r="C3095" t="s">
        <v>57</v>
      </c>
    </row>
    <row r="3096" spans="2:3" x14ac:dyDescent="0.35">
      <c r="B3096" t="s">
        <v>1195</v>
      </c>
      <c r="C3096" t="s">
        <v>1195</v>
      </c>
    </row>
    <row r="3097" spans="2:3" x14ac:dyDescent="0.35">
      <c r="B3097" t="s">
        <v>230</v>
      </c>
      <c r="C3097" t="s">
        <v>231</v>
      </c>
    </row>
    <row r="3098" spans="2:3" x14ac:dyDescent="0.35">
      <c r="B3098" t="s">
        <v>577</v>
      </c>
      <c r="C3098" t="s">
        <v>578</v>
      </c>
    </row>
    <row r="3099" spans="2:3" x14ac:dyDescent="0.35">
      <c r="B3099" t="s">
        <v>618</v>
      </c>
      <c r="C3099" t="s">
        <v>619</v>
      </c>
    </row>
    <row r="3100" spans="2:3" x14ac:dyDescent="0.35">
      <c r="B3100" t="s">
        <v>787</v>
      </c>
      <c r="C3100" t="s">
        <v>788</v>
      </c>
    </row>
    <row r="3101" spans="2:3" x14ac:dyDescent="0.35">
      <c r="B3101" t="s">
        <v>434</v>
      </c>
      <c r="C3101" t="s">
        <v>435</v>
      </c>
    </row>
    <row r="3102" spans="2:3" x14ac:dyDescent="0.35">
      <c r="B3102" t="s">
        <v>509</v>
      </c>
      <c r="C3102" t="s">
        <v>510</v>
      </c>
    </row>
    <row r="3103" spans="2:3" x14ac:dyDescent="0.35">
      <c r="B3103" t="s">
        <v>531</v>
      </c>
      <c r="C3103" t="s">
        <v>532</v>
      </c>
    </row>
    <row r="3104" spans="2:3" x14ac:dyDescent="0.35">
      <c r="B3104" t="s">
        <v>254</v>
      </c>
      <c r="C3104" t="s">
        <v>255</v>
      </c>
    </row>
    <row r="3105" spans="2:3" x14ac:dyDescent="0.35">
      <c r="B3105" t="s">
        <v>537</v>
      </c>
      <c r="C3105" t="s">
        <v>538</v>
      </c>
    </row>
    <row r="3106" spans="2:3" x14ac:dyDescent="0.35">
      <c r="B3106" t="s">
        <v>254</v>
      </c>
      <c r="C3106" t="s">
        <v>255</v>
      </c>
    </row>
    <row r="3107" spans="2:3" x14ac:dyDescent="0.35">
      <c r="B3107" t="s">
        <v>531</v>
      </c>
      <c r="C3107" t="s">
        <v>532</v>
      </c>
    </row>
    <row r="3108" spans="2:3" x14ac:dyDescent="0.35">
      <c r="B3108" t="s">
        <v>475</v>
      </c>
      <c r="C3108" t="s">
        <v>476</v>
      </c>
    </row>
    <row r="3109" spans="2:3" x14ac:dyDescent="0.35">
      <c r="B3109" t="s">
        <v>622</v>
      </c>
      <c r="C3109" t="s">
        <v>623</v>
      </c>
    </row>
    <row r="3110" spans="2:3" x14ac:dyDescent="0.35">
      <c r="B3110" t="s">
        <v>787</v>
      </c>
      <c r="C3110" t="s">
        <v>788</v>
      </c>
    </row>
    <row r="3111" spans="2:3" x14ac:dyDescent="0.35">
      <c r="B3111" t="s">
        <v>318</v>
      </c>
      <c r="C3111" t="s">
        <v>319</v>
      </c>
    </row>
    <row r="3112" spans="2:3" x14ac:dyDescent="0.35">
      <c r="B3112" t="s">
        <v>787</v>
      </c>
      <c r="C3112" t="s">
        <v>788</v>
      </c>
    </row>
    <row r="3113" spans="2:3" x14ac:dyDescent="0.35">
      <c r="B3113" t="s">
        <v>549</v>
      </c>
      <c r="C3113" t="s">
        <v>550</v>
      </c>
    </row>
    <row r="3114" spans="2:3" x14ac:dyDescent="0.35">
      <c r="B3114" t="s">
        <v>640</v>
      </c>
      <c r="C3114" t="s">
        <v>641</v>
      </c>
    </row>
    <row r="3115" spans="2:3" x14ac:dyDescent="0.35">
      <c r="B3115" t="s">
        <v>787</v>
      </c>
      <c r="C3115" t="s">
        <v>788</v>
      </c>
    </row>
    <row r="3116" spans="2:3" x14ac:dyDescent="0.35">
      <c r="B3116" t="s">
        <v>674</v>
      </c>
      <c r="C3116" t="s">
        <v>675</v>
      </c>
    </row>
    <row r="3117" spans="2:3" x14ac:dyDescent="0.35">
      <c r="B3117" t="s">
        <v>529</v>
      </c>
      <c r="C3117" t="s">
        <v>530</v>
      </c>
    </row>
    <row r="3118" spans="2:3" x14ac:dyDescent="0.35">
      <c r="B3118" t="s">
        <v>559</v>
      </c>
      <c r="C3118" t="s">
        <v>560</v>
      </c>
    </row>
    <row r="3119" spans="2:3" x14ac:dyDescent="0.35">
      <c r="B3119" t="s">
        <v>84</v>
      </c>
      <c r="C3119" t="s">
        <v>85</v>
      </c>
    </row>
    <row r="3120" spans="2:3" x14ac:dyDescent="0.35">
      <c r="B3120" t="s">
        <v>787</v>
      </c>
      <c r="C3120" t="s">
        <v>788</v>
      </c>
    </row>
    <row r="3121" spans="2:3" x14ac:dyDescent="0.35">
      <c r="B3121" t="s">
        <v>700</v>
      </c>
      <c r="C3121" t="s">
        <v>701</v>
      </c>
    </row>
    <row r="3122" spans="2:3" x14ac:dyDescent="0.35">
      <c r="B3122" t="s">
        <v>527</v>
      </c>
      <c r="C3122" t="s">
        <v>528</v>
      </c>
    </row>
    <row r="3123" spans="2:3" x14ac:dyDescent="0.35">
      <c r="B3123" t="s">
        <v>787</v>
      </c>
      <c r="C3123" t="s">
        <v>788</v>
      </c>
    </row>
    <row r="3124" spans="2:3" x14ac:dyDescent="0.35">
      <c r="B3124" t="s">
        <v>1061</v>
      </c>
      <c r="C3124" t="s">
        <v>1062</v>
      </c>
    </row>
    <row r="3125" spans="2:3" x14ac:dyDescent="0.35">
      <c r="B3125" t="s">
        <v>453</v>
      </c>
      <c r="C3125" t="s">
        <v>454</v>
      </c>
    </row>
    <row r="3126" spans="2:3" x14ac:dyDescent="0.35">
      <c r="B3126" t="s">
        <v>350</v>
      </c>
      <c r="C3126" t="s">
        <v>351</v>
      </c>
    </row>
    <row r="3127" spans="2:3" x14ac:dyDescent="0.35">
      <c r="B3127" t="s">
        <v>787</v>
      </c>
      <c r="C3127" t="s">
        <v>788</v>
      </c>
    </row>
    <row r="3128" spans="2:3" x14ac:dyDescent="0.35">
      <c r="B3128" t="s">
        <v>664</v>
      </c>
      <c r="C3128" t="s">
        <v>665</v>
      </c>
    </row>
    <row r="3129" spans="2:3" x14ac:dyDescent="0.35">
      <c r="B3129" t="s">
        <v>437</v>
      </c>
      <c r="C3129" t="s">
        <v>438</v>
      </c>
    </row>
    <row r="3130" spans="2:3" x14ac:dyDescent="0.35">
      <c r="B3130" t="s">
        <v>236</v>
      </c>
      <c r="C3130" t="s">
        <v>237</v>
      </c>
    </row>
    <row r="3131" spans="2:3" x14ac:dyDescent="0.35">
      <c r="B3131" t="s">
        <v>128</v>
      </c>
      <c r="C3131" t="s">
        <v>129</v>
      </c>
    </row>
    <row r="3132" spans="2:3" x14ac:dyDescent="0.35">
      <c r="B3132" t="s">
        <v>787</v>
      </c>
      <c r="C3132" t="s">
        <v>788</v>
      </c>
    </row>
    <row r="3133" spans="2:3" x14ac:dyDescent="0.35">
      <c r="B3133" t="s">
        <v>1079</v>
      </c>
      <c r="C3133" t="s">
        <v>1080</v>
      </c>
    </row>
    <row r="3134" spans="2:3" x14ac:dyDescent="0.35">
      <c r="B3134" t="s">
        <v>559</v>
      </c>
      <c r="C3134" t="s">
        <v>560</v>
      </c>
    </row>
    <row r="3135" spans="2:3" x14ac:dyDescent="0.35">
      <c r="B3135" t="s">
        <v>410</v>
      </c>
      <c r="C3135" t="s">
        <v>411</v>
      </c>
    </row>
    <row r="3136" spans="2:3" x14ac:dyDescent="0.35">
      <c r="B3136" t="s">
        <v>545</v>
      </c>
      <c r="C3136" t="s">
        <v>546</v>
      </c>
    </row>
    <row r="3137" spans="2:3" x14ac:dyDescent="0.35">
      <c r="B3137" t="s">
        <v>545</v>
      </c>
      <c r="C3137" t="s">
        <v>546</v>
      </c>
    </row>
    <row r="3138" spans="2:3" x14ac:dyDescent="0.35">
      <c r="B3138" t="s">
        <v>410</v>
      </c>
      <c r="C3138" t="s">
        <v>411</v>
      </c>
    </row>
    <row r="3139" spans="2:3" x14ac:dyDescent="0.35">
      <c r="B3139" t="s">
        <v>591</v>
      </c>
      <c r="C3139" t="s">
        <v>592</v>
      </c>
    </row>
    <row r="3140" spans="2:3" x14ac:dyDescent="0.35">
      <c r="B3140" t="s">
        <v>559</v>
      </c>
      <c r="C3140" t="s">
        <v>560</v>
      </c>
    </row>
    <row r="3141" spans="2:3" x14ac:dyDescent="0.35">
      <c r="B3141" t="s">
        <v>601</v>
      </c>
      <c r="C3141" t="s">
        <v>602</v>
      </c>
    </row>
    <row r="3142" spans="2:3" x14ac:dyDescent="0.35">
      <c r="B3142" t="s">
        <v>485</v>
      </c>
      <c r="C3142" t="s">
        <v>486</v>
      </c>
    </row>
    <row r="3143" spans="2:3" x14ac:dyDescent="0.35">
      <c r="B3143" t="s">
        <v>437</v>
      </c>
      <c r="C3143" t="s">
        <v>438</v>
      </c>
    </row>
    <row r="3144" spans="2:3" x14ac:dyDescent="0.35">
      <c r="B3144" t="s">
        <v>787</v>
      </c>
      <c r="C3144" t="s">
        <v>788</v>
      </c>
    </row>
    <row r="3145" spans="2:3" x14ac:dyDescent="0.35">
      <c r="B3145" t="s">
        <v>692</v>
      </c>
      <c r="C3145" t="s">
        <v>693</v>
      </c>
    </row>
    <row r="3146" spans="2:3" x14ac:dyDescent="0.35">
      <c r="B3146" t="s">
        <v>467</v>
      </c>
      <c r="C3146" t="s">
        <v>468</v>
      </c>
    </row>
    <row r="3147" spans="2:3" x14ac:dyDescent="0.35">
      <c r="B3147" t="s">
        <v>787</v>
      </c>
      <c r="C3147" t="s">
        <v>788</v>
      </c>
    </row>
    <row r="3148" spans="2:3" x14ac:dyDescent="0.35">
      <c r="B3148" t="s">
        <v>283</v>
      </c>
      <c r="C3148" t="s">
        <v>284</v>
      </c>
    </row>
    <row r="3149" spans="2:3" x14ac:dyDescent="0.35">
      <c r="B3149" t="s">
        <v>571</v>
      </c>
      <c r="C3149" t="s">
        <v>572</v>
      </c>
    </row>
    <row r="3150" spans="2:3" x14ac:dyDescent="0.35">
      <c r="B3150" t="s">
        <v>787</v>
      </c>
      <c r="C3150" t="s">
        <v>788</v>
      </c>
    </row>
    <row r="3151" spans="2:3" x14ac:dyDescent="0.35">
      <c r="B3151" t="s">
        <v>658</v>
      </c>
      <c r="C3151" t="s">
        <v>659</v>
      </c>
    </row>
    <row r="3152" spans="2:3" x14ac:dyDescent="0.35">
      <c r="B3152" t="s">
        <v>537</v>
      </c>
      <c r="C3152" t="s">
        <v>538</v>
      </c>
    </row>
    <row r="3153" spans="2:3" x14ac:dyDescent="0.35">
      <c r="B3153" t="s">
        <v>105</v>
      </c>
      <c r="C3153" t="s">
        <v>106</v>
      </c>
    </row>
    <row r="3154" spans="2:3" x14ac:dyDescent="0.35">
      <c r="B3154" t="s">
        <v>692</v>
      </c>
      <c r="C3154" t="s">
        <v>693</v>
      </c>
    </row>
    <row r="3155" spans="2:3" x14ac:dyDescent="0.35">
      <c r="B3155" t="s">
        <v>120</v>
      </c>
      <c r="C3155" t="s">
        <v>121</v>
      </c>
    </row>
    <row r="3156" spans="2:3" x14ac:dyDescent="0.35">
      <c r="B3156" t="s">
        <v>787</v>
      </c>
      <c r="C3156" t="s">
        <v>788</v>
      </c>
    </row>
    <row r="3157" spans="2:3" x14ac:dyDescent="0.35">
      <c r="B3157" t="s">
        <v>90</v>
      </c>
      <c r="C3157" t="s">
        <v>91</v>
      </c>
    </row>
    <row r="3158" spans="2:3" x14ac:dyDescent="0.35">
      <c r="B3158" t="s">
        <v>515</v>
      </c>
      <c r="C3158" t="s">
        <v>516</v>
      </c>
    </row>
    <row r="3159" spans="2:3" x14ac:dyDescent="0.35">
      <c r="B3159" t="s">
        <v>90</v>
      </c>
      <c r="C3159" t="s">
        <v>91</v>
      </c>
    </row>
    <row r="3160" spans="2:3" x14ac:dyDescent="0.35">
      <c r="B3160" t="s">
        <v>72</v>
      </c>
      <c r="C3160" t="s">
        <v>73</v>
      </c>
    </row>
    <row r="3161" spans="2:3" x14ac:dyDescent="0.35">
      <c r="B3161" t="s">
        <v>230</v>
      </c>
      <c r="C3161" t="s">
        <v>231</v>
      </c>
    </row>
    <row r="3162" spans="2:3" x14ac:dyDescent="0.35">
      <c r="B3162" t="s">
        <v>281</v>
      </c>
      <c r="C3162" t="s">
        <v>282</v>
      </c>
    </row>
    <row r="3163" spans="2:3" x14ac:dyDescent="0.35">
      <c r="B3163" t="s">
        <v>787</v>
      </c>
      <c r="C3163" t="s">
        <v>788</v>
      </c>
    </row>
    <row r="3164" spans="2:3" x14ac:dyDescent="0.35">
      <c r="B3164" t="s">
        <v>376</v>
      </c>
      <c r="C3164" t="s">
        <v>377</v>
      </c>
    </row>
    <row r="3165" spans="2:3" x14ac:dyDescent="0.35">
      <c r="B3165" t="s">
        <v>110</v>
      </c>
      <c r="C3165" t="s">
        <v>111</v>
      </c>
    </row>
    <row r="3166" spans="2:3" x14ac:dyDescent="0.35">
      <c r="B3166" t="s">
        <v>787</v>
      </c>
      <c r="C3166" t="s">
        <v>788</v>
      </c>
    </row>
    <row r="3167" spans="2:3" x14ac:dyDescent="0.35">
      <c r="B3167" t="s">
        <v>857</v>
      </c>
      <c r="C3167" t="s">
        <v>858</v>
      </c>
    </row>
    <row r="3168" spans="2:3" x14ac:dyDescent="0.35">
      <c r="B3168" t="s">
        <v>787</v>
      </c>
      <c r="C3168" t="s">
        <v>788</v>
      </c>
    </row>
    <row r="3169" spans="2:3" x14ac:dyDescent="0.35">
      <c r="B3169" t="s">
        <v>443</v>
      </c>
      <c r="C3169" t="s">
        <v>444</v>
      </c>
    </row>
    <row r="3170" spans="2:3" x14ac:dyDescent="0.35">
      <c r="B3170" t="s">
        <v>543</v>
      </c>
      <c r="C3170" t="s">
        <v>544</v>
      </c>
    </row>
    <row r="3171" spans="2:3" x14ac:dyDescent="0.35">
      <c r="B3171" t="s">
        <v>553</v>
      </c>
      <c r="C3171" t="s">
        <v>554</v>
      </c>
    </row>
    <row r="3172" spans="2:3" x14ac:dyDescent="0.35">
      <c r="B3172" t="s">
        <v>212</v>
      </c>
      <c r="C3172" t="s">
        <v>213</v>
      </c>
    </row>
    <row r="3173" spans="2:3" x14ac:dyDescent="0.35">
      <c r="B3173" t="s">
        <v>120</v>
      </c>
      <c r="C3173" t="s">
        <v>121</v>
      </c>
    </row>
    <row r="3174" spans="2:3" x14ac:dyDescent="0.35">
      <c r="B3174" t="s">
        <v>378</v>
      </c>
      <c r="C3174" t="s">
        <v>379</v>
      </c>
    </row>
    <row r="3175" spans="2:3" x14ac:dyDescent="0.35">
      <c r="B3175" t="s">
        <v>638</v>
      </c>
      <c r="C3175" t="s">
        <v>639</v>
      </c>
    </row>
    <row r="3176" spans="2:3" x14ac:dyDescent="0.35">
      <c r="B3176" t="s">
        <v>174</v>
      </c>
      <c r="C3176" t="s">
        <v>175</v>
      </c>
    </row>
    <row r="3177" spans="2:3" x14ac:dyDescent="0.35">
      <c r="B3177" t="s">
        <v>445</v>
      </c>
      <c r="C3177" t="s">
        <v>446</v>
      </c>
    </row>
    <row r="3178" spans="2:3" x14ac:dyDescent="0.35">
      <c r="B3178" t="s">
        <v>84</v>
      </c>
      <c r="C3178" t="s">
        <v>85</v>
      </c>
    </row>
    <row r="3179" spans="2:3" x14ac:dyDescent="0.35">
      <c r="B3179" t="s">
        <v>787</v>
      </c>
      <c r="C3179" t="s">
        <v>788</v>
      </c>
    </row>
    <row r="3180" spans="2:3" x14ac:dyDescent="0.35">
      <c r="B3180" t="s">
        <v>787</v>
      </c>
      <c r="C3180" t="s">
        <v>788</v>
      </c>
    </row>
    <row r="3181" spans="2:3" x14ac:dyDescent="0.35">
      <c r="B3181" t="s">
        <v>543</v>
      </c>
      <c r="C3181" t="s">
        <v>544</v>
      </c>
    </row>
    <row r="3182" spans="2:3" x14ac:dyDescent="0.35">
      <c r="B3182" t="s">
        <v>316</v>
      </c>
      <c r="C3182" t="s">
        <v>317</v>
      </c>
    </row>
    <row r="3183" spans="2:3" x14ac:dyDescent="0.35">
      <c r="B3183" t="s">
        <v>287</v>
      </c>
      <c r="C3183" t="s">
        <v>288</v>
      </c>
    </row>
    <row r="3184" spans="2:3" x14ac:dyDescent="0.35">
      <c r="B3184" t="s">
        <v>640</v>
      </c>
      <c r="C3184" t="s">
        <v>641</v>
      </c>
    </row>
    <row r="3185" spans="2:3" x14ac:dyDescent="0.35">
      <c r="B3185" t="s">
        <v>787</v>
      </c>
      <c r="C3185" t="s">
        <v>788</v>
      </c>
    </row>
    <row r="3186" spans="2:3" x14ac:dyDescent="0.35">
      <c r="B3186" t="s">
        <v>787</v>
      </c>
      <c r="C3186" t="s">
        <v>788</v>
      </c>
    </row>
    <row r="3187" spans="2:3" x14ac:dyDescent="0.35">
      <c r="B3187" t="s">
        <v>787</v>
      </c>
      <c r="C3187" t="s">
        <v>788</v>
      </c>
    </row>
    <row r="3188" spans="2:3" x14ac:dyDescent="0.35">
      <c r="B3188" t="s">
        <v>787</v>
      </c>
      <c r="C3188" t="s">
        <v>788</v>
      </c>
    </row>
    <row r="3189" spans="2:3" x14ac:dyDescent="0.35">
      <c r="B3189" t="s">
        <v>787</v>
      </c>
      <c r="C3189" t="s">
        <v>788</v>
      </c>
    </row>
    <row r="3190" spans="2:3" x14ac:dyDescent="0.35">
      <c r="B3190" t="s">
        <v>787</v>
      </c>
      <c r="C3190" t="s">
        <v>788</v>
      </c>
    </row>
    <row r="3191" spans="2:3" x14ac:dyDescent="0.35">
      <c r="B3191" t="s">
        <v>475</v>
      </c>
      <c r="C3191" t="s">
        <v>476</v>
      </c>
    </row>
    <row r="3192" spans="2:3" x14ac:dyDescent="0.35">
      <c r="B3192" t="s">
        <v>219</v>
      </c>
      <c r="C3192" t="s">
        <v>220</v>
      </c>
    </row>
    <row r="3193" spans="2:3" x14ac:dyDescent="0.35">
      <c r="B3193" t="s">
        <v>589</v>
      </c>
      <c r="C3193" t="s">
        <v>590</v>
      </c>
    </row>
    <row r="3194" spans="2:3" x14ac:dyDescent="0.35">
      <c r="B3194" t="s">
        <v>202</v>
      </c>
      <c r="C3194" t="s">
        <v>203</v>
      </c>
    </row>
    <row r="3195" spans="2:3" x14ac:dyDescent="0.35">
      <c r="B3195" t="s">
        <v>541</v>
      </c>
      <c r="C3195" t="s">
        <v>542</v>
      </c>
    </row>
    <row r="3196" spans="2:3" x14ac:dyDescent="0.35">
      <c r="B3196" t="s">
        <v>384</v>
      </c>
      <c r="C3196" t="s">
        <v>385</v>
      </c>
    </row>
    <row r="3197" spans="2:3" x14ac:dyDescent="0.35">
      <c r="B3197" t="s">
        <v>787</v>
      </c>
      <c r="C3197" t="s">
        <v>788</v>
      </c>
    </row>
    <row r="3198" spans="2:3" x14ac:dyDescent="0.35">
      <c r="B3198" t="s">
        <v>599</v>
      </c>
      <c r="C3198" t="s">
        <v>600</v>
      </c>
    </row>
    <row r="3199" spans="2:3" x14ac:dyDescent="0.35">
      <c r="B3199" t="s">
        <v>208</v>
      </c>
      <c r="C3199" t="s">
        <v>209</v>
      </c>
    </row>
    <row r="3200" spans="2:3" x14ac:dyDescent="0.35">
      <c r="B3200" t="s">
        <v>658</v>
      </c>
      <c r="C3200" t="s">
        <v>659</v>
      </c>
    </row>
    <row r="3201" spans="2:3" x14ac:dyDescent="0.35">
      <c r="B3201" t="s">
        <v>658</v>
      </c>
      <c r="C3201" t="s">
        <v>659</v>
      </c>
    </row>
    <row r="3202" spans="2:3" x14ac:dyDescent="0.35">
      <c r="B3202" t="s">
        <v>561</v>
      </c>
      <c r="C3202" t="s">
        <v>562</v>
      </c>
    </row>
    <row r="3203" spans="2:3" x14ac:dyDescent="0.35">
      <c r="B3203" t="s">
        <v>295</v>
      </c>
      <c r="C3203" t="s">
        <v>296</v>
      </c>
    </row>
    <row r="3204" spans="2:3" x14ac:dyDescent="0.35">
      <c r="B3204" t="s">
        <v>208</v>
      </c>
      <c r="C3204" t="s">
        <v>209</v>
      </c>
    </row>
    <row r="3205" spans="2:3" x14ac:dyDescent="0.35">
      <c r="B3205" t="s">
        <v>208</v>
      </c>
      <c r="C3205" t="s">
        <v>209</v>
      </c>
    </row>
    <row r="3206" spans="2:3" x14ac:dyDescent="0.35">
      <c r="B3206" t="s">
        <v>787</v>
      </c>
      <c r="C3206" t="s">
        <v>788</v>
      </c>
    </row>
    <row r="3207" spans="2:3" x14ac:dyDescent="0.35">
      <c r="B3207" t="s">
        <v>1061</v>
      </c>
      <c r="C3207" t="s">
        <v>1062</v>
      </c>
    </row>
    <row r="3208" spans="2:3" x14ac:dyDescent="0.35">
      <c r="B3208" t="s">
        <v>799</v>
      </c>
      <c r="C3208" t="s">
        <v>800</v>
      </c>
    </row>
    <row r="3209" spans="2:3" x14ac:dyDescent="0.35">
      <c r="B3209" t="s">
        <v>335</v>
      </c>
      <c r="C3209" t="s">
        <v>336</v>
      </c>
    </row>
    <row r="3210" spans="2:3" x14ac:dyDescent="0.35">
      <c r="B3210" t="s">
        <v>674</v>
      </c>
      <c r="C3210" t="s">
        <v>675</v>
      </c>
    </row>
    <row r="3211" spans="2:3" x14ac:dyDescent="0.35">
      <c r="B3211" t="s">
        <v>557</v>
      </c>
      <c r="C3211" t="s">
        <v>558</v>
      </c>
    </row>
    <row r="3212" spans="2:3" x14ac:dyDescent="0.35">
      <c r="B3212" t="s">
        <v>787</v>
      </c>
      <c r="C3212" t="s">
        <v>788</v>
      </c>
    </row>
    <row r="3213" spans="2:3" x14ac:dyDescent="0.35">
      <c r="B3213" t="s">
        <v>120</v>
      </c>
      <c r="C3213" t="s">
        <v>121</v>
      </c>
    </row>
    <row r="3214" spans="2:3" x14ac:dyDescent="0.35">
      <c r="B3214" t="s">
        <v>545</v>
      </c>
      <c r="C3214" t="s">
        <v>546</v>
      </c>
    </row>
    <row r="3215" spans="2:3" x14ac:dyDescent="0.35">
      <c r="B3215" t="s">
        <v>591</v>
      </c>
      <c r="C3215" t="s">
        <v>592</v>
      </c>
    </row>
    <row r="3216" spans="2:3" x14ac:dyDescent="0.35">
      <c r="B3216" t="s">
        <v>110</v>
      </c>
      <c r="C3216" t="s">
        <v>111</v>
      </c>
    </row>
    <row r="3217" spans="2:3" x14ac:dyDescent="0.35">
      <c r="B3217" t="s">
        <v>84</v>
      </c>
      <c r="C3217" t="s">
        <v>85</v>
      </c>
    </row>
    <row r="3218" spans="2:3" x14ac:dyDescent="0.35">
      <c r="B3218" t="s">
        <v>787</v>
      </c>
      <c r="C3218" t="s">
        <v>788</v>
      </c>
    </row>
    <row r="3219" spans="2:3" x14ac:dyDescent="0.35">
      <c r="B3219" t="s">
        <v>163</v>
      </c>
      <c r="C3219" t="s">
        <v>164</v>
      </c>
    </row>
    <row r="3220" spans="2:3" x14ac:dyDescent="0.35">
      <c r="B3220" t="s">
        <v>640</v>
      </c>
      <c r="C3220" t="s">
        <v>641</v>
      </c>
    </row>
    <row r="3221" spans="2:3" x14ac:dyDescent="0.35">
      <c r="B3221" t="s">
        <v>787</v>
      </c>
      <c r="C3221" t="s">
        <v>788</v>
      </c>
    </row>
    <row r="3222" spans="2:3" x14ac:dyDescent="0.35">
      <c r="B3222" t="s">
        <v>870</v>
      </c>
      <c r="C3222" t="s">
        <v>871</v>
      </c>
    </row>
    <row r="3223" spans="2:3" x14ac:dyDescent="0.35">
      <c r="B3223" t="s">
        <v>260</v>
      </c>
      <c r="C3223" t="s">
        <v>261</v>
      </c>
    </row>
    <row r="3224" spans="2:3" x14ac:dyDescent="0.35">
      <c r="B3224" t="s">
        <v>82</v>
      </c>
      <c r="C3224" t="s">
        <v>83</v>
      </c>
    </row>
    <row r="3225" spans="2:3" x14ac:dyDescent="0.35">
      <c r="B3225" t="s">
        <v>56</v>
      </c>
      <c r="C3225" t="s">
        <v>57</v>
      </c>
    </row>
    <row r="3226" spans="2:3" x14ac:dyDescent="0.35">
      <c r="B3226" t="s">
        <v>105</v>
      </c>
      <c r="C3226" t="s">
        <v>106</v>
      </c>
    </row>
    <row r="3227" spans="2:3" x14ac:dyDescent="0.35">
      <c r="B3227" t="s">
        <v>640</v>
      </c>
      <c r="C3227" t="s">
        <v>641</v>
      </c>
    </row>
    <row r="3228" spans="2:3" x14ac:dyDescent="0.35">
      <c r="B3228" t="s">
        <v>961</v>
      </c>
      <c r="C3228" t="s">
        <v>962</v>
      </c>
    </row>
    <row r="3229" spans="2:3" x14ac:dyDescent="0.35">
      <c r="B3229" t="s">
        <v>868</v>
      </c>
      <c r="C3229" t="s">
        <v>869</v>
      </c>
    </row>
    <row r="3230" spans="2:3" x14ac:dyDescent="0.35">
      <c r="B3230" t="s">
        <v>674</v>
      </c>
      <c r="C3230" t="s">
        <v>675</v>
      </c>
    </row>
    <row r="3231" spans="2:3" x14ac:dyDescent="0.35">
      <c r="B3231" t="s">
        <v>787</v>
      </c>
      <c r="C3231" t="s">
        <v>788</v>
      </c>
    </row>
    <row r="3232" spans="2:3" x14ac:dyDescent="0.35">
      <c r="B3232" t="s">
        <v>200</v>
      </c>
      <c r="C3232" t="s">
        <v>201</v>
      </c>
    </row>
    <row r="3233" spans="2:3" x14ac:dyDescent="0.35">
      <c r="B3233" t="s">
        <v>963</v>
      </c>
      <c r="C3233" t="s">
        <v>964</v>
      </c>
    </row>
    <row r="3234" spans="2:3" x14ac:dyDescent="0.35">
      <c r="B3234" t="s">
        <v>56</v>
      </c>
      <c r="C3234" t="s">
        <v>57</v>
      </c>
    </row>
    <row r="3235" spans="2:3" x14ac:dyDescent="0.35">
      <c r="B3235" t="s">
        <v>465</v>
      </c>
      <c r="C3235" t="s">
        <v>466</v>
      </c>
    </row>
    <row r="3236" spans="2:3" x14ac:dyDescent="0.35">
      <c r="B3236" t="s">
        <v>316</v>
      </c>
      <c r="C3236" t="s">
        <v>317</v>
      </c>
    </row>
    <row r="3237" spans="2:3" x14ac:dyDescent="0.35">
      <c r="B3237" t="s">
        <v>1061</v>
      </c>
      <c r="C3237" t="s">
        <v>1062</v>
      </c>
    </row>
    <row r="3238" spans="2:3" x14ac:dyDescent="0.35">
      <c r="B3238" t="s">
        <v>571</v>
      </c>
      <c r="C3238" t="s">
        <v>572</v>
      </c>
    </row>
    <row r="3239" spans="2:3" x14ac:dyDescent="0.35">
      <c r="B3239" t="s">
        <v>703</v>
      </c>
      <c r="C3239" t="s">
        <v>704</v>
      </c>
    </row>
    <row r="3240" spans="2:3" x14ac:dyDescent="0.35">
      <c r="B3240" t="s">
        <v>393</v>
      </c>
      <c r="C3240" t="s">
        <v>394</v>
      </c>
    </row>
    <row r="3241" spans="2:3" x14ac:dyDescent="0.35">
      <c r="B3241" t="s">
        <v>961</v>
      </c>
      <c r="C3241" t="s">
        <v>962</v>
      </c>
    </row>
    <row r="3242" spans="2:3" x14ac:dyDescent="0.35">
      <c r="B3242" t="s">
        <v>986</v>
      </c>
      <c r="C3242" t="s">
        <v>987</v>
      </c>
    </row>
    <row r="3243" spans="2:3" x14ac:dyDescent="0.35">
      <c r="B3243" t="s">
        <v>434</v>
      </c>
      <c r="C3243" t="s">
        <v>435</v>
      </c>
    </row>
    <row r="3244" spans="2:3" x14ac:dyDescent="0.35">
      <c r="B3244" t="s">
        <v>543</v>
      </c>
      <c r="C3244" t="s">
        <v>544</v>
      </c>
    </row>
    <row r="3245" spans="2:3" x14ac:dyDescent="0.35">
      <c r="B3245" t="s">
        <v>648</v>
      </c>
      <c r="C3245" t="s">
        <v>649</v>
      </c>
    </row>
    <row r="3246" spans="2:3" x14ac:dyDescent="0.35">
      <c r="B3246" t="s">
        <v>208</v>
      </c>
      <c r="C3246" t="s">
        <v>209</v>
      </c>
    </row>
    <row r="3247" spans="2:3" x14ac:dyDescent="0.35">
      <c r="B3247" t="s">
        <v>230</v>
      </c>
      <c r="C3247" t="s">
        <v>231</v>
      </c>
    </row>
    <row r="3248" spans="2:3" x14ac:dyDescent="0.35">
      <c r="B3248" t="s">
        <v>787</v>
      </c>
      <c r="C3248" t="s">
        <v>788</v>
      </c>
    </row>
    <row r="3249" spans="2:3" x14ac:dyDescent="0.35">
      <c r="B3249" t="s">
        <v>694</v>
      </c>
      <c r="C3249" t="s">
        <v>695</v>
      </c>
    </row>
    <row r="3250" spans="2:3" x14ac:dyDescent="0.35">
      <c r="B3250" t="s">
        <v>694</v>
      </c>
      <c r="C3250" t="s">
        <v>695</v>
      </c>
    </row>
    <row r="3251" spans="2:3" x14ac:dyDescent="0.35">
      <c r="B3251" t="s">
        <v>11</v>
      </c>
      <c r="C3251" t="s">
        <v>12</v>
      </c>
    </row>
    <row r="3252" spans="2:3" x14ac:dyDescent="0.35">
      <c r="B3252" t="s">
        <v>787</v>
      </c>
      <c r="C3252" t="s">
        <v>788</v>
      </c>
    </row>
    <row r="3253" spans="2:3" x14ac:dyDescent="0.35">
      <c r="B3253" t="s">
        <v>200</v>
      </c>
      <c r="C3253" t="s">
        <v>201</v>
      </c>
    </row>
    <row r="3254" spans="2:3" x14ac:dyDescent="0.35">
      <c r="B3254" t="s">
        <v>787</v>
      </c>
      <c r="C3254" t="s">
        <v>788</v>
      </c>
    </row>
    <row r="3255" spans="2:3" x14ac:dyDescent="0.35">
      <c r="B3255" t="s">
        <v>787</v>
      </c>
      <c r="C3255" t="s">
        <v>788</v>
      </c>
    </row>
    <row r="3256" spans="2:3" x14ac:dyDescent="0.35">
      <c r="B3256" t="s">
        <v>1061</v>
      </c>
      <c r="C3256" t="s">
        <v>1062</v>
      </c>
    </row>
    <row r="3257" spans="2:3" x14ac:dyDescent="0.35">
      <c r="B3257" t="s">
        <v>787</v>
      </c>
      <c r="C3257" t="s">
        <v>788</v>
      </c>
    </row>
    <row r="3258" spans="2:3" x14ac:dyDescent="0.35">
      <c r="B3258" t="s">
        <v>378</v>
      </c>
      <c r="C3258" t="s">
        <v>379</v>
      </c>
    </row>
    <row r="3259" spans="2:3" x14ac:dyDescent="0.35">
      <c r="B3259" t="s">
        <v>163</v>
      </c>
      <c r="C3259" t="s">
        <v>164</v>
      </c>
    </row>
    <row r="3260" spans="2:3" x14ac:dyDescent="0.35">
      <c r="B3260" t="s">
        <v>958</v>
      </c>
      <c r="C3260" t="s">
        <v>959</v>
      </c>
    </row>
    <row r="3261" spans="2:3" x14ac:dyDescent="0.35">
      <c r="B3261" t="s">
        <v>656</v>
      </c>
      <c r="C3261" t="s">
        <v>657</v>
      </c>
    </row>
    <row r="3262" spans="2:3" x14ac:dyDescent="0.35">
      <c r="B3262" t="s">
        <v>549</v>
      </c>
      <c r="C3262" t="s">
        <v>550</v>
      </c>
    </row>
    <row r="3263" spans="2:3" x14ac:dyDescent="0.35">
      <c r="B3263" t="s">
        <v>658</v>
      </c>
      <c r="C3263" t="s">
        <v>659</v>
      </c>
    </row>
    <row r="3264" spans="2:3" x14ac:dyDescent="0.35">
      <c r="B3264" t="s">
        <v>358</v>
      </c>
      <c r="C3264" t="s">
        <v>359</v>
      </c>
    </row>
    <row r="3265" spans="2:3" x14ac:dyDescent="0.35">
      <c r="B3265" t="s">
        <v>787</v>
      </c>
      <c r="C3265" t="s">
        <v>788</v>
      </c>
    </row>
    <row r="3266" spans="2:3" x14ac:dyDescent="0.35">
      <c r="B3266" t="s">
        <v>787</v>
      </c>
      <c r="C3266" t="s">
        <v>788</v>
      </c>
    </row>
    <row r="3267" spans="2:3" x14ac:dyDescent="0.35">
      <c r="B3267" t="s">
        <v>176</v>
      </c>
      <c r="C3267" t="s">
        <v>177</v>
      </c>
    </row>
    <row r="3268" spans="2:3" x14ac:dyDescent="0.35">
      <c r="B3268" t="s">
        <v>434</v>
      </c>
      <c r="C3268" t="s">
        <v>435</v>
      </c>
    </row>
    <row r="3269" spans="2:3" x14ac:dyDescent="0.35">
      <c r="B3269" t="s">
        <v>787</v>
      </c>
      <c r="C3269" t="s">
        <v>788</v>
      </c>
    </row>
    <row r="3270" spans="2:3" x14ac:dyDescent="0.35">
      <c r="B3270" t="s">
        <v>412</v>
      </c>
      <c r="C3270" t="s">
        <v>413</v>
      </c>
    </row>
    <row r="3271" spans="2:3" x14ac:dyDescent="0.35">
      <c r="B3271" t="s">
        <v>316</v>
      </c>
      <c r="C3271" t="s">
        <v>317</v>
      </c>
    </row>
    <row r="3272" spans="2:3" x14ac:dyDescent="0.35">
      <c r="B3272" t="s">
        <v>541</v>
      </c>
      <c r="C3272" t="s">
        <v>542</v>
      </c>
    </row>
    <row r="3273" spans="2:3" x14ac:dyDescent="0.35">
      <c r="B3273" t="s">
        <v>577</v>
      </c>
      <c r="C3273" t="s">
        <v>578</v>
      </c>
    </row>
    <row r="3274" spans="2:3" x14ac:dyDescent="0.35">
      <c r="B3274" t="s">
        <v>632</v>
      </c>
      <c r="C3274" t="s">
        <v>633</v>
      </c>
    </row>
    <row r="3275" spans="2:3" x14ac:dyDescent="0.35">
      <c r="B3275" t="s">
        <v>700</v>
      </c>
      <c r="C3275" t="s">
        <v>701</v>
      </c>
    </row>
    <row r="3276" spans="2:3" x14ac:dyDescent="0.35">
      <c r="B3276" t="s">
        <v>700</v>
      </c>
      <c r="C3276" t="s">
        <v>701</v>
      </c>
    </row>
    <row r="3277" spans="2:3" x14ac:dyDescent="0.35">
      <c r="B3277" t="s">
        <v>219</v>
      </c>
      <c r="C3277" t="s">
        <v>220</v>
      </c>
    </row>
    <row r="3278" spans="2:3" x14ac:dyDescent="0.35">
      <c r="B3278" t="s">
        <v>703</v>
      </c>
      <c r="C3278" t="s">
        <v>704</v>
      </c>
    </row>
    <row r="3279" spans="2:3" x14ac:dyDescent="0.35">
      <c r="B3279" t="s">
        <v>225</v>
      </c>
      <c r="C3279" t="s">
        <v>226</v>
      </c>
    </row>
    <row r="3280" spans="2:3" x14ac:dyDescent="0.35">
      <c r="B3280" t="s">
        <v>963</v>
      </c>
      <c r="C3280" t="s">
        <v>964</v>
      </c>
    </row>
    <row r="3281" spans="2:3" x14ac:dyDescent="0.35">
      <c r="B3281" t="s">
        <v>105</v>
      </c>
      <c r="C3281" t="s">
        <v>106</v>
      </c>
    </row>
    <row r="3282" spans="2:3" x14ac:dyDescent="0.35">
      <c r="B3282" t="s">
        <v>322</v>
      </c>
      <c r="C3282" t="s">
        <v>323</v>
      </c>
    </row>
    <row r="3283" spans="2:3" x14ac:dyDescent="0.35">
      <c r="B3283" t="s">
        <v>56</v>
      </c>
      <c r="C3283" t="s">
        <v>57</v>
      </c>
    </row>
    <row r="3284" spans="2:3" x14ac:dyDescent="0.35">
      <c r="B3284" t="s">
        <v>219</v>
      </c>
      <c r="C3284" t="s">
        <v>220</v>
      </c>
    </row>
    <row r="3285" spans="2:3" x14ac:dyDescent="0.35">
      <c r="B3285" t="s">
        <v>559</v>
      </c>
      <c r="C3285" t="s">
        <v>560</v>
      </c>
    </row>
    <row r="3286" spans="2:3" x14ac:dyDescent="0.35">
      <c r="B3286" t="s">
        <v>202</v>
      </c>
      <c r="C3286" t="s">
        <v>203</v>
      </c>
    </row>
    <row r="3287" spans="2:3" x14ac:dyDescent="0.35">
      <c r="B3287" t="s">
        <v>202</v>
      </c>
      <c r="C3287" t="s">
        <v>203</v>
      </c>
    </row>
    <row r="3288" spans="2:3" x14ac:dyDescent="0.35">
      <c r="B3288" t="s">
        <v>378</v>
      </c>
      <c r="C3288" t="s">
        <v>379</v>
      </c>
    </row>
    <row r="3289" spans="2:3" x14ac:dyDescent="0.35">
      <c r="B3289" t="s">
        <v>254</v>
      </c>
      <c r="C3289" t="s">
        <v>255</v>
      </c>
    </row>
    <row r="3290" spans="2:3" x14ac:dyDescent="0.35">
      <c r="B3290" t="s">
        <v>202</v>
      </c>
      <c r="C3290" t="s">
        <v>203</v>
      </c>
    </row>
    <row r="3291" spans="2:3" x14ac:dyDescent="0.35">
      <c r="B3291" t="s">
        <v>787</v>
      </c>
      <c r="C3291" t="s">
        <v>788</v>
      </c>
    </row>
    <row r="3292" spans="2:3" x14ac:dyDescent="0.35">
      <c r="B3292" t="s">
        <v>335</v>
      </c>
      <c r="C3292" t="s">
        <v>336</v>
      </c>
    </row>
    <row r="3293" spans="2:3" x14ac:dyDescent="0.35">
      <c r="B3293" t="s">
        <v>107</v>
      </c>
      <c r="C3293" t="s">
        <v>108</v>
      </c>
    </row>
    <row r="3294" spans="2:3" x14ac:dyDescent="0.35">
      <c r="B3294" t="s">
        <v>84</v>
      </c>
      <c r="C3294" t="s">
        <v>85</v>
      </c>
    </row>
    <row r="3295" spans="2:3" x14ac:dyDescent="0.35">
      <c r="B3295" t="s">
        <v>601</v>
      </c>
      <c r="C3295" t="s">
        <v>602</v>
      </c>
    </row>
    <row r="3296" spans="2:3" x14ac:dyDescent="0.35">
      <c r="B3296" t="s">
        <v>208</v>
      </c>
      <c r="C3296" t="s">
        <v>209</v>
      </c>
    </row>
    <row r="3297" spans="2:3" x14ac:dyDescent="0.35">
      <c r="B3297" t="s">
        <v>1061</v>
      </c>
      <c r="C3297" t="s">
        <v>1062</v>
      </c>
    </row>
    <row r="3298" spans="2:3" x14ac:dyDescent="0.35">
      <c r="B3298" t="s">
        <v>787</v>
      </c>
      <c r="C3298" t="s">
        <v>788</v>
      </c>
    </row>
    <row r="3299" spans="2:3" x14ac:dyDescent="0.35">
      <c r="B3299" t="s">
        <v>859</v>
      </c>
      <c r="C3299" t="s">
        <v>860</v>
      </c>
    </row>
    <row r="3300" spans="2:3" x14ac:dyDescent="0.35">
      <c r="B3300" t="s">
        <v>254</v>
      </c>
      <c r="C3300" t="s">
        <v>255</v>
      </c>
    </row>
    <row r="3301" spans="2:3" x14ac:dyDescent="0.35">
      <c r="B3301" t="s">
        <v>260</v>
      </c>
      <c r="C3301" t="s">
        <v>261</v>
      </c>
    </row>
    <row r="3302" spans="2:3" x14ac:dyDescent="0.35">
      <c r="B3302" t="s">
        <v>384</v>
      </c>
      <c r="C3302" t="s">
        <v>385</v>
      </c>
    </row>
    <row r="3303" spans="2:3" x14ac:dyDescent="0.35">
      <c r="B3303" t="s">
        <v>700</v>
      </c>
      <c r="C3303" t="s">
        <v>701</v>
      </c>
    </row>
    <row r="3304" spans="2:3" x14ac:dyDescent="0.35">
      <c r="B3304" t="s">
        <v>202</v>
      </c>
      <c r="C3304" t="s">
        <v>203</v>
      </c>
    </row>
    <row r="3305" spans="2:3" x14ac:dyDescent="0.35">
      <c r="B3305" t="s">
        <v>350</v>
      </c>
      <c r="C3305" t="s">
        <v>351</v>
      </c>
    </row>
    <row r="3306" spans="2:3" x14ac:dyDescent="0.35">
      <c r="B3306" t="s">
        <v>293</v>
      </c>
      <c r="C3306" t="s">
        <v>294</v>
      </c>
    </row>
    <row r="3307" spans="2:3" x14ac:dyDescent="0.35">
      <c r="B3307" t="s">
        <v>84</v>
      </c>
      <c r="C3307" t="s">
        <v>85</v>
      </c>
    </row>
    <row r="3308" spans="2:3" x14ac:dyDescent="0.35">
      <c r="B3308" t="s">
        <v>692</v>
      </c>
      <c r="C3308" t="s">
        <v>693</v>
      </c>
    </row>
    <row r="3309" spans="2:3" x14ac:dyDescent="0.35">
      <c r="B3309" t="s">
        <v>273</v>
      </c>
      <c r="C3309" t="s">
        <v>274</v>
      </c>
    </row>
    <row r="3310" spans="2:3" x14ac:dyDescent="0.35">
      <c r="B3310" t="s">
        <v>543</v>
      </c>
      <c r="C3310" t="s">
        <v>544</v>
      </c>
    </row>
    <row r="3311" spans="2:3" x14ac:dyDescent="0.35">
      <c r="B3311" t="s">
        <v>561</v>
      </c>
      <c r="C3311" t="s">
        <v>562</v>
      </c>
    </row>
    <row r="3312" spans="2:3" x14ac:dyDescent="0.35">
      <c r="B3312" t="s">
        <v>252</v>
      </c>
      <c r="C3312" t="s">
        <v>253</v>
      </c>
    </row>
    <row r="3313" spans="2:3" x14ac:dyDescent="0.35">
      <c r="B3313" t="s">
        <v>872</v>
      </c>
      <c r="C3313" t="s">
        <v>873</v>
      </c>
    </row>
    <row r="3314" spans="2:3" x14ac:dyDescent="0.35">
      <c r="B3314" t="s">
        <v>662</v>
      </c>
      <c r="C3314" t="s">
        <v>663</v>
      </c>
    </row>
    <row r="3315" spans="2:3" x14ac:dyDescent="0.35">
      <c r="B3315" t="s">
        <v>787</v>
      </c>
      <c r="C3315" t="s">
        <v>788</v>
      </c>
    </row>
    <row r="3316" spans="2:3" x14ac:dyDescent="0.35">
      <c r="B3316" t="s">
        <v>285</v>
      </c>
      <c r="C3316" t="s">
        <v>286</v>
      </c>
    </row>
    <row r="3317" spans="2:3" x14ac:dyDescent="0.35">
      <c r="B3317" t="s">
        <v>557</v>
      </c>
      <c r="C3317" t="s">
        <v>558</v>
      </c>
    </row>
    <row r="3318" spans="2:3" x14ac:dyDescent="0.35">
      <c r="B3318" t="s">
        <v>648</v>
      </c>
      <c r="C3318" t="s">
        <v>649</v>
      </c>
    </row>
    <row r="3319" spans="2:3" x14ac:dyDescent="0.35">
      <c r="B3319" t="s">
        <v>404</v>
      </c>
      <c r="C3319" t="s">
        <v>405</v>
      </c>
    </row>
    <row r="3320" spans="2:3" x14ac:dyDescent="0.35">
      <c r="B3320" t="s">
        <v>283</v>
      </c>
      <c r="C3320" t="s">
        <v>284</v>
      </c>
    </row>
    <row r="3321" spans="2:3" x14ac:dyDescent="0.35">
      <c r="B3321" t="s">
        <v>219</v>
      </c>
      <c r="C3321" t="s">
        <v>220</v>
      </c>
    </row>
    <row r="3322" spans="2:3" x14ac:dyDescent="0.35">
      <c r="B3322" t="s">
        <v>694</v>
      </c>
      <c r="C3322" t="s">
        <v>695</v>
      </c>
    </row>
    <row r="3323" spans="2:3" x14ac:dyDescent="0.35">
      <c r="B3323" t="s">
        <v>453</v>
      </c>
      <c r="C3323" t="s">
        <v>454</v>
      </c>
    </row>
    <row r="3324" spans="2:3" x14ac:dyDescent="0.35">
      <c r="B3324" t="s">
        <v>509</v>
      </c>
      <c r="C3324" t="s">
        <v>510</v>
      </c>
    </row>
    <row r="3325" spans="2:3" x14ac:dyDescent="0.35">
      <c r="B3325" t="s">
        <v>90</v>
      </c>
      <c r="C3325" t="s">
        <v>91</v>
      </c>
    </row>
    <row r="3326" spans="2:3" x14ac:dyDescent="0.35">
      <c r="B3326" t="s">
        <v>872</v>
      </c>
      <c r="C3326" t="s">
        <v>873</v>
      </c>
    </row>
    <row r="3327" spans="2:3" x14ac:dyDescent="0.35">
      <c r="B3327" t="s">
        <v>346</v>
      </c>
      <c r="C3327" t="s">
        <v>347</v>
      </c>
    </row>
    <row r="3328" spans="2:3" x14ac:dyDescent="0.35">
      <c r="B3328" t="s">
        <v>384</v>
      </c>
      <c r="C3328" t="s">
        <v>385</v>
      </c>
    </row>
    <row r="3329" spans="2:3" x14ac:dyDescent="0.35">
      <c r="B3329" t="s">
        <v>163</v>
      </c>
      <c r="C3329" t="s">
        <v>164</v>
      </c>
    </row>
    <row r="3330" spans="2:3" x14ac:dyDescent="0.35">
      <c r="B3330" t="s">
        <v>523</v>
      </c>
      <c r="C3330" t="s">
        <v>524</v>
      </c>
    </row>
    <row r="3331" spans="2:3" x14ac:dyDescent="0.35">
      <c r="B3331" t="s">
        <v>350</v>
      </c>
      <c r="C3331" t="s">
        <v>351</v>
      </c>
    </row>
    <row r="3332" spans="2:3" x14ac:dyDescent="0.35">
      <c r="B3332" t="s">
        <v>787</v>
      </c>
      <c r="C3332" t="s">
        <v>788</v>
      </c>
    </row>
    <row r="3333" spans="2:3" x14ac:dyDescent="0.35">
      <c r="B3333" t="s">
        <v>787</v>
      </c>
      <c r="C3333" t="s">
        <v>788</v>
      </c>
    </row>
    <row r="3334" spans="2:3" x14ac:dyDescent="0.35">
      <c r="B3334" t="s">
        <v>58</v>
      </c>
      <c r="C3334" t="s">
        <v>59</v>
      </c>
    </row>
    <row r="3335" spans="2:3" x14ac:dyDescent="0.35">
      <c r="B3335" t="s">
        <v>607</v>
      </c>
      <c r="C3335" t="s">
        <v>608</v>
      </c>
    </row>
    <row r="3336" spans="2:3" x14ac:dyDescent="0.35">
      <c r="B3336" t="s">
        <v>541</v>
      </c>
      <c r="C3336" t="s">
        <v>542</v>
      </c>
    </row>
    <row r="3337" spans="2:3" x14ac:dyDescent="0.35">
      <c r="B3337" t="s">
        <v>559</v>
      </c>
      <c r="C3337" t="s">
        <v>560</v>
      </c>
    </row>
    <row r="3338" spans="2:3" x14ac:dyDescent="0.35">
      <c r="B3338" t="s">
        <v>258</v>
      </c>
      <c r="C3338" t="s">
        <v>259</v>
      </c>
    </row>
    <row r="3339" spans="2:3" x14ac:dyDescent="0.35">
      <c r="B3339" t="s">
        <v>787</v>
      </c>
      <c r="C3339" t="s">
        <v>788</v>
      </c>
    </row>
    <row r="3340" spans="2:3" x14ac:dyDescent="0.35">
      <c r="B3340" t="s">
        <v>163</v>
      </c>
      <c r="C3340" t="s">
        <v>164</v>
      </c>
    </row>
    <row r="3341" spans="2:3" x14ac:dyDescent="0.35">
      <c r="B3341" t="s">
        <v>874</v>
      </c>
      <c r="C3341" t="s">
        <v>875</v>
      </c>
    </row>
    <row r="3342" spans="2:3" x14ac:dyDescent="0.35">
      <c r="B3342" t="s">
        <v>593</v>
      </c>
      <c r="C3342" t="s">
        <v>594</v>
      </c>
    </row>
    <row r="3343" spans="2:3" x14ac:dyDescent="0.35">
      <c r="B3343" t="s">
        <v>557</v>
      </c>
      <c r="C3343" t="s">
        <v>558</v>
      </c>
    </row>
    <row r="3344" spans="2:3" x14ac:dyDescent="0.35">
      <c r="B3344" t="s">
        <v>654</v>
      </c>
      <c r="C3344" t="s">
        <v>655</v>
      </c>
    </row>
    <row r="3345" spans="2:3" x14ac:dyDescent="0.35">
      <c r="B3345" t="s">
        <v>595</v>
      </c>
      <c r="C3345" t="s">
        <v>596</v>
      </c>
    </row>
    <row r="3346" spans="2:3" x14ac:dyDescent="0.35">
      <c r="B3346" t="s">
        <v>694</v>
      </c>
      <c r="C3346" t="s">
        <v>695</v>
      </c>
    </row>
    <row r="3347" spans="2:3" x14ac:dyDescent="0.35">
      <c r="B3347" t="s">
        <v>787</v>
      </c>
      <c r="C3347" t="s">
        <v>788</v>
      </c>
    </row>
    <row r="3348" spans="2:3" x14ac:dyDescent="0.35">
      <c r="B3348" t="s">
        <v>46</v>
      </c>
      <c r="C3348" t="s">
        <v>47</v>
      </c>
    </row>
    <row r="3349" spans="2:3" x14ac:dyDescent="0.35">
      <c r="B3349" t="s">
        <v>694</v>
      </c>
      <c r="C3349" t="s">
        <v>695</v>
      </c>
    </row>
    <row r="3350" spans="2:3" x14ac:dyDescent="0.35">
      <c r="B3350" t="s">
        <v>202</v>
      </c>
      <c r="C3350" t="s">
        <v>203</v>
      </c>
    </row>
    <row r="3351" spans="2:3" x14ac:dyDescent="0.35">
      <c r="B3351" t="s">
        <v>853</v>
      </c>
      <c r="C3351" t="s">
        <v>854</v>
      </c>
    </row>
    <row r="3352" spans="2:3" x14ac:dyDescent="0.35">
      <c r="B3352" t="s">
        <v>961</v>
      </c>
      <c r="C3352" t="s">
        <v>962</v>
      </c>
    </row>
    <row r="3353" spans="2:3" x14ac:dyDescent="0.35">
      <c r="B3353" t="s">
        <v>614</v>
      </c>
      <c r="C3353" t="s">
        <v>615</v>
      </c>
    </row>
    <row r="3354" spans="2:3" x14ac:dyDescent="0.35">
      <c r="B3354" t="s">
        <v>874</v>
      </c>
      <c r="C3354" t="s">
        <v>875</v>
      </c>
    </row>
    <row r="3355" spans="2:3" x14ac:dyDescent="0.35">
      <c r="B3355" t="s">
        <v>618</v>
      </c>
      <c r="C3355" t="s">
        <v>619</v>
      </c>
    </row>
    <row r="3356" spans="2:3" x14ac:dyDescent="0.35">
      <c r="B3356" t="s">
        <v>346</v>
      </c>
      <c r="C3356" t="s">
        <v>347</v>
      </c>
    </row>
    <row r="3357" spans="2:3" x14ac:dyDescent="0.35">
      <c r="B3357" t="s">
        <v>285</v>
      </c>
      <c r="C3357" t="s">
        <v>286</v>
      </c>
    </row>
    <row r="3358" spans="2:3" x14ac:dyDescent="0.35">
      <c r="B3358" t="s">
        <v>416</v>
      </c>
      <c r="C3358" t="s">
        <v>417</v>
      </c>
    </row>
    <row r="3359" spans="2:3" x14ac:dyDescent="0.35">
      <c r="B3359" t="s">
        <v>859</v>
      </c>
      <c r="C3359" t="s">
        <v>860</v>
      </c>
    </row>
    <row r="3360" spans="2:3" x14ac:dyDescent="0.35">
      <c r="B3360" t="s">
        <v>455</v>
      </c>
      <c r="C3360" t="s">
        <v>456</v>
      </c>
    </row>
    <row r="3361" spans="2:3" x14ac:dyDescent="0.35">
      <c r="B3361" t="s">
        <v>549</v>
      </c>
      <c r="C3361" t="s">
        <v>550</v>
      </c>
    </row>
    <row r="3362" spans="2:3" x14ac:dyDescent="0.35">
      <c r="B3362" t="s">
        <v>260</v>
      </c>
      <c r="C3362" t="s">
        <v>261</v>
      </c>
    </row>
    <row r="3363" spans="2:3" x14ac:dyDescent="0.35">
      <c r="B3363" t="s">
        <v>210</v>
      </c>
      <c r="C3363" t="s">
        <v>211</v>
      </c>
    </row>
    <row r="3364" spans="2:3" x14ac:dyDescent="0.35">
      <c r="B3364" t="s">
        <v>509</v>
      </c>
      <c r="C3364" t="s">
        <v>510</v>
      </c>
    </row>
    <row r="3365" spans="2:3" x14ac:dyDescent="0.35">
      <c r="B3365" t="s">
        <v>787</v>
      </c>
      <c r="C3365" t="s">
        <v>788</v>
      </c>
    </row>
    <row r="3366" spans="2:3" x14ac:dyDescent="0.35">
      <c r="B3366" t="s">
        <v>703</v>
      </c>
      <c r="C3366" t="s">
        <v>704</v>
      </c>
    </row>
    <row r="3367" spans="2:3" x14ac:dyDescent="0.35">
      <c r="B3367" t="s">
        <v>219</v>
      </c>
      <c r="C3367" t="s">
        <v>220</v>
      </c>
    </row>
    <row r="3368" spans="2:3" x14ac:dyDescent="0.35">
      <c r="B3368" t="s">
        <v>485</v>
      </c>
      <c r="C3368" t="s">
        <v>486</v>
      </c>
    </row>
    <row r="3369" spans="2:3" x14ac:dyDescent="0.35">
      <c r="B3369" t="s">
        <v>787</v>
      </c>
      <c r="C3369" t="s">
        <v>788</v>
      </c>
    </row>
    <row r="3370" spans="2:3" x14ac:dyDescent="0.35">
      <c r="B3370" t="s">
        <v>787</v>
      </c>
      <c r="C3370" t="s">
        <v>788</v>
      </c>
    </row>
    <row r="3371" spans="2:3" x14ac:dyDescent="0.35">
      <c r="B3371" t="s">
        <v>787</v>
      </c>
      <c r="C3371" t="s">
        <v>788</v>
      </c>
    </row>
    <row r="3372" spans="2:3" x14ac:dyDescent="0.35">
      <c r="B3372" t="s">
        <v>202</v>
      </c>
      <c r="C3372" t="s">
        <v>203</v>
      </c>
    </row>
    <row r="3373" spans="2:3" x14ac:dyDescent="0.35">
      <c r="B3373" t="s">
        <v>384</v>
      </c>
      <c r="C3373" t="s">
        <v>385</v>
      </c>
    </row>
    <row r="3374" spans="2:3" x14ac:dyDescent="0.35">
      <c r="B3374" t="s">
        <v>676</v>
      </c>
      <c r="C3374" t="s">
        <v>677</v>
      </c>
    </row>
    <row r="3375" spans="2:3" x14ac:dyDescent="0.35">
      <c r="B3375" t="s">
        <v>787</v>
      </c>
      <c r="C3375" t="s">
        <v>788</v>
      </c>
    </row>
    <row r="3376" spans="2:3" x14ac:dyDescent="0.35">
      <c r="B3376" t="s">
        <v>963</v>
      </c>
      <c r="C3376" t="s">
        <v>964</v>
      </c>
    </row>
    <row r="3377" spans="2:3" x14ac:dyDescent="0.35">
      <c r="B3377" t="s">
        <v>258</v>
      </c>
      <c r="C3377" t="s">
        <v>259</v>
      </c>
    </row>
    <row r="3378" spans="2:3" x14ac:dyDescent="0.35">
      <c r="B3378" t="s">
        <v>1061</v>
      </c>
      <c r="C3378" t="s">
        <v>1062</v>
      </c>
    </row>
    <row r="3379" spans="2:3" x14ac:dyDescent="0.35">
      <c r="B3379" t="s">
        <v>557</v>
      </c>
      <c r="C3379" t="s">
        <v>558</v>
      </c>
    </row>
    <row r="3380" spans="2:3" x14ac:dyDescent="0.35">
      <c r="B3380" t="s">
        <v>537</v>
      </c>
      <c r="C3380" t="s">
        <v>538</v>
      </c>
    </row>
    <row r="3381" spans="2:3" x14ac:dyDescent="0.35">
      <c r="B3381" t="s">
        <v>787</v>
      </c>
      <c r="C3381" t="s">
        <v>788</v>
      </c>
    </row>
    <row r="3382" spans="2:3" x14ac:dyDescent="0.35">
      <c r="B3382" t="s">
        <v>589</v>
      </c>
      <c r="C3382" t="s">
        <v>590</v>
      </c>
    </row>
    <row r="3383" spans="2:3" x14ac:dyDescent="0.35">
      <c r="B3383" t="s">
        <v>559</v>
      </c>
      <c r="C3383" t="s">
        <v>560</v>
      </c>
    </row>
    <row r="3384" spans="2:3" x14ac:dyDescent="0.35">
      <c r="B3384" t="s">
        <v>434</v>
      </c>
      <c r="C3384" t="s">
        <v>435</v>
      </c>
    </row>
    <row r="3385" spans="2:3" x14ac:dyDescent="0.35">
      <c r="B3385" t="s">
        <v>84</v>
      </c>
      <c r="C3385" t="s">
        <v>85</v>
      </c>
    </row>
    <row r="3386" spans="2:3" x14ac:dyDescent="0.35">
      <c r="B3386" t="s">
        <v>509</v>
      </c>
      <c r="C3386" t="s">
        <v>510</v>
      </c>
    </row>
    <row r="3387" spans="2:3" x14ac:dyDescent="0.35">
      <c r="B3387" t="s">
        <v>787</v>
      </c>
      <c r="C3387" t="s">
        <v>788</v>
      </c>
    </row>
    <row r="3388" spans="2:3" x14ac:dyDescent="0.35">
      <c r="B3388" t="s">
        <v>591</v>
      </c>
      <c r="C3388" t="s">
        <v>592</v>
      </c>
    </row>
    <row r="3389" spans="2:3" x14ac:dyDescent="0.35">
      <c r="B3389" t="s">
        <v>656</v>
      </c>
      <c r="C3389" t="s">
        <v>657</v>
      </c>
    </row>
    <row r="3390" spans="2:3" x14ac:dyDescent="0.35">
      <c r="B3390" t="s">
        <v>642</v>
      </c>
      <c r="C3390" t="s">
        <v>643</v>
      </c>
    </row>
    <row r="3391" spans="2:3" x14ac:dyDescent="0.35">
      <c r="B3391" t="s">
        <v>410</v>
      </c>
      <c r="C3391" t="s">
        <v>411</v>
      </c>
    </row>
    <row r="3392" spans="2:3" x14ac:dyDescent="0.35">
      <c r="B3392" t="s">
        <v>384</v>
      </c>
      <c r="C3392" t="s">
        <v>385</v>
      </c>
    </row>
    <row r="3393" spans="2:3" x14ac:dyDescent="0.35">
      <c r="B3393" t="s">
        <v>176</v>
      </c>
      <c r="C3393" t="s">
        <v>177</v>
      </c>
    </row>
    <row r="3394" spans="2:3" x14ac:dyDescent="0.35">
      <c r="B3394" t="s">
        <v>874</v>
      </c>
      <c r="C3394" t="s">
        <v>875</v>
      </c>
    </row>
    <row r="3395" spans="2:3" x14ac:dyDescent="0.35">
      <c r="B3395" t="s">
        <v>202</v>
      </c>
      <c r="C3395" t="s">
        <v>203</v>
      </c>
    </row>
    <row r="3396" spans="2:3" x14ac:dyDescent="0.35">
      <c r="B3396" t="s">
        <v>787</v>
      </c>
      <c r="C3396" t="s">
        <v>788</v>
      </c>
    </row>
    <row r="3397" spans="2:3" x14ac:dyDescent="0.35">
      <c r="B3397" t="s">
        <v>787</v>
      </c>
      <c r="C3397" t="s">
        <v>788</v>
      </c>
    </row>
    <row r="3398" spans="2:3" x14ac:dyDescent="0.35">
      <c r="B3398" t="s">
        <v>787</v>
      </c>
      <c r="C3398" t="s">
        <v>788</v>
      </c>
    </row>
    <row r="3399" spans="2:3" x14ac:dyDescent="0.35">
      <c r="B3399" t="s">
        <v>46</v>
      </c>
      <c r="C3399" t="s">
        <v>47</v>
      </c>
    </row>
    <row r="3400" spans="2:3" x14ac:dyDescent="0.35">
      <c r="B3400" t="s">
        <v>1061</v>
      </c>
      <c r="C3400" t="s">
        <v>1062</v>
      </c>
    </row>
    <row r="3401" spans="2:3" x14ac:dyDescent="0.35">
      <c r="B3401" t="s">
        <v>219</v>
      </c>
      <c r="C3401" t="s">
        <v>220</v>
      </c>
    </row>
    <row r="3402" spans="2:3" x14ac:dyDescent="0.35">
      <c r="B3402" t="s">
        <v>642</v>
      </c>
      <c r="C3402" t="s">
        <v>643</v>
      </c>
    </row>
    <row r="3403" spans="2:3" x14ac:dyDescent="0.35">
      <c r="B3403" t="s">
        <v>638</v>
      </c>
      <c r="C3403" t="s">
        <v>639</v>
      </c>
    </row>
    <row r="3404" spans="2:3" x14ac:dyDescent="0.35">
      <c r="B3404" t="s">
        <v>208</v>
      </c>
      <c r="C3404" t="s">
        <v>209</v>
      </c>
    </row>
    <row r="3405" spans="2:3" x14ac:dyDescent="0.35">
      <c r="B3405" t="s">
        <v>64</v>
      </c>
      <c r="C3405" t="s">
        <v>65</v>
      </c>
    </row>
    <row r="3406" spans="2:3" x14ac:dyDescent="0.35">
      <c r="B3406" t="s">
        <v>174</v>
      </c>
      <c r="C3406" t="s">
        <v>175</v>
      </c>
    </row>
    <row r="3407" spans="2:3" x14ac:dyDescent="0.35">
      <c r="B3407" t="s">
        <v>640</v>
      </c>
      <c r="C3407" t="s">
        <v>641</v>
      </c>
    </row>
    <row r="3408" spans="2:3" x14ac:dyDescent="0.35">
      <c r="B3408" t="s">
        <v>232</v>
      </c>
      <c r="C3408" t="s">
        <v>233</v>
      </c>
    </row>
    <row r="3409" spans="2:3" x14ac:dyDescent="0.35">
      <c r="B3409" t="s">
        <v>658</v>
      </c>
      <c r="C3409" t="s">
        <v>659</v>
      </c>
    </row>
    <row r="3410" spans="2:3" x14ac:dyDescent="0.35">
      <c r="B3410" t="s">
        <v>202</v>
      </c>
      <c r="C3410" t="s">
        <v>203</v>
      </c>
    </row>
    <row r="3411" spans="2:3" x14ac:dyDescent="0.35">
      <c r="B3411" t="s">
        <v>202</v>
      </c>
      <c r="C3411" t="s">
        <v>203</v>
      </c>
    </row>
    <row r="3412" spans="2:3" x14ac:dyDescent="0.35">
      <c r="B3412" t="s">
        <v>128</v>
      </c>
      <c r="C3412" t="s">
        <v>129</v>
      </c>
    </row>
    <row r="3413" spans="2:3" x14ac:dyDescent="0.35">
      <c r="B3413" t="s">
        <v>648</v>
      </c>
      <c r="C3413" t="s">
        <v>649</v>
      </c>
    </row>
    <row r="3414" spans="2:3" x14ac:dyDescent="0.35">
      <c r="B3414" t="s">
        <v>322</v>
      </c>
      <c r="C3414" t="s">
        <v>323</v>
      </c>
    </row>
    <row r="3415" spans="2:3" x14ac:dyDescent="0.35">
      <c r="B3415" t="s">
        <v>601</v>
      </c>
      <c r="C3415" t="s">
        <v>602</v>
      </c>
    </row>
    <row r="3416" spans="2:3" x14ac:dyDescent="0.35">
      <c r="B3416" t="s">
        <v>694</v>
      </c>
      <c r="C3416" t="s">
        <v>695</v>
      </c>
    </row>
    <row r="3417" spans="2:3" x14ac:dyDescent="0.35">
      <c r="B3417" t="s">
        <v>219</v>
      </c>
      <c r="C3417" t="s">
        <v>220</v>
      </c>
    </row>
    <row r="3418" spans="2:3" x14ac:dyDescent="0.35">
      <c r="B3418" t="s">
        <v>787</v>
      </c>
      <c r="C3418" t="s">
        <v>788</v>
      </c>
    </row>
    <row r="3419" spans="2:3" x14ac:dyDescent="0.35">
      <c r="B3419" t="s">
        <v>252</v>
      </c>
      <c r="C3419" t="s">
        <v>253</v>
      </c>
    </row>
    <row r="3420" spans="2:3" x14ac:dyDescent="0.35">
      <c r="B3420" t="s">
        <v>455</v>
      </c>
      <c r="C3420" t="s">
        <v>456</v>
      </c>
    </row>
    <row r="3421" spans="2:3" x14ac:dyDescent="0.35">
      <c r="B3421" t="s">
        <v>963</v>
      </c>
      <c r="C3421" t="s">
        <v>964</v>
      </c>
    </row>
    <row r="3422" spans="2:3" x14ac:dyDescent="0.35">
      <c r="B3422" t="s">
        <v>465</v>
      </c>
      <c r="C3422" t="s">
        <v>466</v>
      </c>
    </row>
    <row r="3423" spans="2:3" x14ac:dyDescent="0.35">
      <c r="B3423" t="s">
        <v>787</v>
      </c>
      <c r="C3423" t="s">
        <v>788</v>
      </c>
    </row>
    <row r="3424" spans="2:3" x14ac:dyDescent="0.35">
      <c r="B3424" t="s">
        <v>787</v>
      </c>
      <c r="C3424" t="s">
        <v>788</v>
      </c>
    </row>
    <row r="3425" spans="2:3" x14ac:dyDescent="0.35">
      <c r="B3425" t="s">
        <v>293</v>
      </c>
      <c r="C3425" t="s">
        <v>294</v>
      </c>
    </row>
    <row r="3426" spans="2:3" x14ac:dyDescent="0.35">
      <c r="B3426" t="s">
        <v>465</v>
      </c>
      <c r="C3426" t="s">
        <v>466</v>
      </c>
    </row>
    <row r="3427" spans="2:3" x14ac:dyDescent="0.35">
      <c r="B3427" t="s">
        <v>163</v>
      </c>
      <c r="C3427" t="s">
        <v>164</v>
      </c>
    </row>
    <row r="3428" spans="2:3" x14ac:dyDescent="0.35">
      <c r="B3428" t="s">
        <v>252</v>
      </c>
      <c r="C3428" t="s">
        <v>253</v>
      </c>
    </row>
    <row r="3429" spans="2:3" x14ac:dyDescent="0.35">
      <c r="B3429" t="s">
        <v>703</v>
      </c>
      <c r="C3429" t="s">
        <v>704</v>
      </c>
    </row>
    <row r="3430" spans="2:3" x14ac:dyDescent="0.35">
      <c r="B3430" t="s">
        <v>545</v>
      </c>
      <c r="C3430" t="s">
        <v>546</v>
      </c>
    </row>
    <row r="3431" spans="2:3" x14ac:dyDescent="0.35">
      <c r="B3431" t="s">
        <v>575</v>
      </c>
      <c r="C3431" t="s">
        <v>576</v>
      </c>
    </row>
    <row r="3432" spans="2:3" x14ac:dyDescent="0.35">
      <c r="B3432" t="s">
        <v>787</v>
      </c>
      <c r="C3432" t="s">
        <v>788</v>
      </c>
    </row>
    <row r="3433" spans="2:3" x14ac:dyDescent="0.35">
      <c r="B3433" t="s">
        <v>787</v>
      </c>
      <c r="C3433" t="s">
        <v>788</v>
      </c>
    </row>
    <row r="3434" spans="2:3" x14ac:dyDescent="0.35">
      <c r="B3434" t="s">
        <v>654</v>
      </c>
      <c r="C3434" t="s">
        <v>655</v>
      </c>
    </row>
    <row r="3435" spans="2:3" x14ac:dyDescent="0.35">
      <c r="B3435" t="s">
        <v>866</v>
      </c>
      <c r="C3435" t="s">
        <v>867</v>
      </c>
    </row>
    <row r="3436" spans="2:3" x14ac:dyDescent="0.35">
      <c r="B3436" t="s">
        <v>577</v>
      </c>
      <c r="C3436" t="s">
        <v>578</v>
      </c>
    </row>
    <row r="3437" spans="2:3" x14ac:dyDescent="0.35">
      <c r="B3437" t="s">
        <v>545</v>
      </c>
      <c r="C3437" t="s">
        <v>546</v>
      </c>
    </row>
    <row r="3438" spans="2:3" x14ac:dyDescent="0.35">
      <c r="B3438" t="s">
        <v>545</v>
      </c>
      <c r="C3438" t="s">
        <v>546</v>
      </c>
    </row>
    <row r="3439" spans="2:3" x14ac:dyDescent="0.35">
      <c r="B3439" t="s">
        <v>279</v>
      </c>
      <c r="C3439" t="s">
        <v>280</v>
      </c>
    </row>
    <row r="3440" spans="2:3" x14ac:dyDescent="0.35">
      <c r="B3440" t="s">
        <v>260</v>
      </c>
      <c r="C3440" t="s">
        <v>261</v>
      </c>
    </row>
    <row r="3441" spans="2:3" x14ac:dyDescent="0.35">
      <c r="B3441" t="s">
        <v>176</v>
      </c>
      <c r="C3441" t="s">
        <v>177</v>
      </c>
    </row>
    <row r="3442" spans="2:3" x14ac:dyDescent="0.35">
      <c r="B3442" t="s">
        <v>787</v>
      </c>
      <c r="C3442" t="s">
        <v>788</v>
      </c>
    </row>
    <row r="3443" spans="2:3" x14ac:dyDescent="0.35">
      <c r="B3443" t="s">
        <v>787</v>
      </c>
      <c r="C3443" t="s">
        <v>788</v>
      </c>
    </row>
    <row r="3444" spans="2:3" x14ac:dyDescent="0.35">
      <c r="B3444" t="s">
        <v>787</v>
      </c>
      <c r="C3444" t="s">
        <v>788</v>
      </c>
    </row>
    <row r="3445" spans="2:3" x14ac:dyDescent="0.35">
      <c r="B3445" t="s">
        <v>787</v>
      </c>
      <c r="C3445" t="s">
        <v>788</v>
      </c>
    </row>
    <row r="3446" spans="2:3" x14ac:dyDescent="0.35">
      <c r="B3446" t="s">
        <v>787</v>
      </c>
      <c r="C3446" t="s">
        <v>788</v>
      </c>
    </row>
    <row r="3447" spans="2:3" x14ac:dyDescent="0.35">
      <c r="B3447" t="s">
        <v>176</v>
      </c>
      <c r="C3447" t="s">
        <v>177</v>
      </c>
    </row>
    <row r="3448" spans="2:3" x14ac:dyDescent="0.35">
      <c r="B3448" t="s">
        <v>549</v>
      </c>
      <c r="C3448" t="s">
        <v>550</v>
      </c>
    </row>
    <row r="3449" spans="2:3" x14ac:dyDescent="0.35">
      <c r="B3449" t="s">
        <v>694</v>
      </c>
      <c r="C3449" t="s">
        <v>695</v>
      </c>
    </row>
    <row r="3450" spans="2:3" x14ac:dyDescent="0.35">
      <c r="B3450" t="s">
        <v>202</v>
      </c>
      <c r="C3450" t="s">
        <v>203</v>
      </c>
    </row>
    <row r="3451" spans="2:3" x14ac:dyDescent="0.35">
      <c r="B3451" t="s">
        <v>537</v>
      </c>
      <c r="C3451" t="s">
        <v>538</v>
      </c>
    </row>
    <row r="3452" spans="2:3" x14ac:dyDescent="0.35">
      <c r="B3452" t="s">
        <v>787</v>
      </c>
      <c r="C3452" t="s">
        <v>788</v>
      </c>
    </row>
    <row r="3453" spans="2:3" x14ac:dyDescent="0.35">
      <c r="B3453" t="s">
        <v>559</v>
      </c>
      <c r="C3453" t="s">
        <v>560</v>
      </c>
    </row>
    <row r="3454" spans="2:3" x14ac:dyDescent="0.35">
      <c r="B3454" t="s">
        <v>523</v>
      </c>
      <c r="C3454" t="s">
        <v>524</v>
      </c>
    </row>
    <row r="3455" spans="2:3" x14ac:dyDescent="0.35">
      <c r="B3455" t="s">
        <v>853</v>
      </c>
      <c r="C3455" t="s">
        <v>854</v>
      </c>
    </row>
    <row r="3456" spans="2:3" x14ac:dyDescent="0.35">
      <c r="B3456" t="s">
        <v>322</v>
      </c>
      <c r="C3456" t="s">
        <v>323</v>
      </c>
    </row>
    <row r="3457" spans="2:3" x14ac:dyDescent="0.35">
      <c r="B3457" t="s">
        <v>523</v>
      </c>
      <c r="C3457" t="s">
        <v>524</v>
      </c>
    </row>
    <row r="3458" spans="2:3" x14ac:dyDescent="0.35">
      <c r="B3458" t="s">
        <v>870</v>
      </c>
      <c r="C3458" t="s">
        <v>871</v>
      </c>
    </row>
    <row r="3459" spans="2:3" x14ac:dyDescent="0.35">
      <c r="B3459" t="s">
        <v>163</v>
      </c>
      <c r="C3459" t="s">
        <v>164</v>
      </c>
    </row>
    <row r="3460" spans="2:3" x14ac:dyDescent="0.35">
      <c r="B3460" t="s">
        <v>662</v>
      </c>
      <c r="C3460" t="s">
        <v>663</v>
      </c>
    </row>
    <row r="3461" spans="2:3" x14ac:dyDescent="0.35">
      <c r="B3461" t="s">
        <v>208</v>
      </c>
      <c r="C3461" t="s">
        <v>209</v>
      </c>
    </row>
    <row r="3462" spans="2:3" x14ac:dyDescent="0.35">
      <c r="B3462" t="s">
        <v>573</v>
      </c>
      <c r="C3462" t="s">
        <v>574</v>
      </c>
    </row>
    <row r="3463" spans="2:3" x14ac:dyDescent="0.35">
      <c r="B3463" t="s">
        <v>694</v>
      </c>
      <c r="C3463" t="s">
        <v>695</v>
      </c>
    </row>
    <row r="3464" spans="2:3" x14ac:dyDescent="0.35">
      <c r="B3464" t="s">
        <v>859</v>
      </c>
      <c r="C3464" t="s">
        <v>860</v>
      </c>
    </row>
    <row r="3465" spans="2:3" x14ac:dyDescent="0.35">
      <c r="B3465" t="s">
        <v>527</v>
      </c>
      <c r="C3465" t="s">
        <v>528</v>
      </c>
    </row>
    <row r="3466" spans="2:3" x14ac:dyDescent="0.35">
      <c r="B3466" t="s">
        <v>650</v>
      </c>
      <c r="C3466" t="s">
        <v>651</v>
      </c>
    </row>
    <row r="3467" spans="2:3" x14ac:dyDescent="0.35">
      <c r="B3467" t="s">
        <v>863</v>
      </c>
      <c r="C3467" t="s">
        <v>864</v>
      </c>
    </row>
    <row r="3468" spans="2:3" x14ac:dyDescent="0.35">
      <c r="B3468" t="s">
        <v>90</v>
      </c>
      <c r="C3468" t="s">
        <v>91</v>
      </c>
    </row>
    <row r="3469" spans="2:3" x14ac:dyDescent="0.35">
      <c r="B3469" t="s">
        <v>1061</v>
      </c>
      <c r="C3469" t="s">
        <v>1062</v>
      </c>
    </row>
    <row r="3470" spans="2:3" x14ac:dyDescent="0.35">
      <c r="B3470" t="s">
        <v>254</v>
      </c>
      <c r="C3470" t="s">
        <v>255</v>
      </c>
    </row>
    <row r="3471" spans="2:3" x14ac:dyDescent="0.35">
      <c r="B3471" t="s">
        <v>855</v>
      </c>
      <c r="C3471" t="s">
        <v>856</v>
      </c>
    </row>
    <row r="3472" spans="2:3" x14ac:dyDescent="0.35">
      <c r="B3472" t="s">
        <v>787</v>
      </c>
      <c r="C3472" t="s">
        <v>788</v>
      </c>
    </row>
    <row r="3473" spans="2:3" x14ac:dyDescent="0.35">
      <c r="B3473" t="s">
        <v>787</v>
      </c>
      <c r="C3473" t="s">
        <v>788</v>
      </c>
    </row>
    <row r="3474" spans="2:3" x14ac:dyDescent="0.35">
      <c r="B3474" t="s">
        <v>202</v>
      </c>
      <c r="C3474" t="s">
        <v>203</v>
      </c>
    </row>
    <row r="3475" spans="2:3" x14ac:dyDescent="0.35">
      <c r="B3475" t="s">
        <v>501</v>
      </c>
      <c r="C3475" t="s">
        <v>502</v>
      </c>
    </row>
    <row r="3476" spans="2:3" x14ac:dyDescent="0.35">
      <c r="B3476" t="s">
        <v>531</v>
      </c>
      <c r="C3476" t="s">
        <v>532</v>
      </c>
    </row>
    <row r="3477" spans="2:3" x14ac:dyDescent="0.35">
      <c r="B3477" t="s">
        <v>559</v>
      </c>
      <c r="C3477" t="s">
        <v>560</v>
      </c>
    </row>
    <row r="3478" spans="2:3" x14ac:dyDescent="0.35">
      <c r="B3478" t="s">
        <v>271</v>
      </c>
      <c r="C3478" t="s">
        <v>272</v>
      </c>
    </row>
    <row r="3479" spans="2:3" x14ac:dyDescent="0.35">
      <c r="B3479" t="s">
        <v>874</v>
      </c>
      <c r="C3479" t="s">
        <v>875</v>
      </c>
    </row>
    <row r="3480" spans="2:3" x14ac:dyDescent="0.35">
      <c r="B3480" t="s">
        <v>64</v>
      </c>
      <c r="C3480" t="s">
        <v>65</v>
      </c>
    </row>
    <row r="3481" spans="2:3" x14ac:dyDescent="0.35">
      <c r="B3481" t="s">
        <v>465</v>
      </c>
      <c r="C3481" t="s">
        <v>466</v>
      </c>
    </row>
    <row r="3482" spans="2:3" x14ac:dyDescent="0.35">
      <c r="B3482" t="s">
        <v>202</v>
      </c>
      <c r="C3482" t="s">
        <v>203</v>
      </c>
    </row>
    <row r="3483" spans="2:3" x14ac:dyDescent="0.35">
      <c r="B3483" t="s">
        <v>299</v>
      </c>
      <c r="C3483" t="s">
        <v>300</v>
      </c>
    </row>
    <row r="3484" spans="2:3" x14ac:dyDescent="0.35">
      <c r="B3484" t="s">
        <v>1061</v>
      </c>
      <c r="C3484" t="s">
        <v>1062</v>
      </c>
    </row>
    <row r="3485" spans="2:3" x14ac:dyDescent="0.35">
      <c r="B3485" t="s">
        <v>384</v>
      </c>
      <c r="C3485" t="s">
        <v>385</v>
      </c>
    </row>
    <row r="3486" spans="2:3" x14ac:dyDescent="0.35">
      <c r="B3486" t="s">
        <v>163</v>
      </c>
      <c r="C3486" t="s">
        <v>164</v>
      </c>
    </row>
    <row r="3487" spans="2:3" x14ac:dyDescent="0.35">
      <c r="B3487" t="s">
        <v>1195</v>
      </c>
      <c r="C3487" t="s">
        <v>1195</v>
      </c>
    </row>
    <row r="3488" spans="2:3" x14ac:dyDescent="0.35">
      <c r="B3488" t="s">
        <v>527</v>
      </c>
      <c r="C3488" t="s">
        <v>528</v>
      </c>
    </row>
    <row r="3489" spans="2:3" x14ac:dyDescent="0.35">
      <c r="B3489" t="s">
        <v>465</v>
      </c>
      <c r="C3489" t="s">
        <v>466</v>
      </c>
    </row>
    <row r="3490" spans="2:3" x14ac:dyDescent="0.35">
      <c r="B3490" t="s">
        <v>958</v>
      </c>
      <c r="C3490" t="s">
        <v>959</v>
      </c>
    </row>
    <row r="3491" spans="2:3" x14ac:dyDescent="0.35">
      <c r="B3491" t="s">
        <v>378</v>
      </c>
      <c r="C3491" t="s">
        <v>379</v>
      </c>
    </row>
    <row r="3492" spans="2:3" x14ac:dyDescent="0.35">
      <c r="B3492" t="s">
        <v>254</v>
      </c>
      <c r="C3492" t="s">
        <v>255</v>
      </c>
    </row>
    <row r="3493" spans="2:3" x14ac:dyDescent="0.35">
      <c r="B3493" t="s">
        <v>212</v>
      </c>
      <c r="C3493" t="s">
        <v>213</v>
      </c>
    </row>
    <row r="3494" spans="2:3" x14ac:dyDescent="0.35">
      <c r="B3494" t="s">
        <v>694</v>
      </c>
      <c r="C3494" t="s">
        <v>695</v>
      </c>
    </row>
    <row r="3495" spans="2:3" x14ac:dyDescent="0.35">
      <c r="B3495" t="s">
        <v>487</v>
      </c>
      <c r="C3495" t="s">
        <v>488</v>
      </c>
    </row>
    <row r="3496" spans="2:3" x14ac:dyDescent="0.35">
      <c r="B3496" t="s">
        <v>787</v>
      </c>
      <c r="C3496" t="s">
        <v>788</v>
      </c>
    </row>
    <row r="3497" spans="2:3" x14ac:dyDescent="0.35">
      <c r="B3497" t="s">
        <v>787</v>
      </c>
      <c r="C3497" t="s">
        <v>788</v>
      </c>
    </row>
    <row r="3498" spans="2:3" x14ac:dyDescent="0.35">
      <c r="B3498" t="s">
        <v>1061</v>
      </c>
      <c r="C3498" t="s">
        <v>1062</v>
      </c>
    </row>
    <row r="3499" spans="2:3" x14ac:dyDescent="0.35">
      <c r="B3499" t="s">
        <v>475</v>
      </c>
      <c r="C3499" t="s">
        <v>476</v>
      </c>
    </row>
    <row r="3500" spans="2:3" x14ac:dyDescent="0.35">
      <c r="B3500" t="s">
        <v>416</v>
      </c>
      <c r="C3500" t="s">
        <v>417</v>
      </c>
    </row>
    <row r="3501" spans="2:3" x14ac:dyDescent="0.35">
      <c r="B3501" t="s">
        <v>297</v>
      </c>
      <c r="C3501" t="s">
        <v>298</v>
      </c>
    </row>
    <row r="3502" spans="2:3" x14ac:dyDescent="0.35">
      <c r="B3502" t="s">
        <v>571</v>
      </c>
      <c r="C3502" t="s">
        <v>572</v>
      </c>
    </row>
    <row r="3503" spans="2:3" x14ac:dyDescent="0.35">
      <c r="B3503" t="s">
        <v>176</v>
      </c>
      <c r="C3503" t="s">
        <v>177</v>
      </c>
    </row>
    <row r="3504" spans="2:3" x14ac:dyDescent="0.35">
      <c r="B3504" t="s">
        <v>210</v>
      </c>
      <c r="C3504" t="s">
        <v>211</v>
      </c>
    </row>
    <row r="3505" spans="2:3" x14ac:dyDescent="0.35">
      <c r="B3505" t="s">
        <v>230</v>
      </c>
      <c r="C3505" t="s">
        <v>231</v>
      </c>
    </row>
    <row r="3506" spans="2:3" x14ac:dyDescent="0.35">
      <c r="B3506" t="s">
        <v>46</v>
      </c>
      <c r="C3506" t="s">
        <v>47</v>
      </c>
    </row>
    <row r="3507" spans="2:3" x14ac:dyDescent="0.35">
      <c r="B3507" t="s">
        <v>676</v>
      </c>
      <c r="C3507" t="s">
        <v>677</v>
      </c>
    </row>
    <row r="3508" spans="2:3" x14ac:dyDescent="0.35">
      <c r="B3508" t="s">
        <v>281</v>
      </c>
      <c r="C3508" t="s">
        <v>282</v>
      </c>
    </row>
    <row r="3509" spans="2:3" x14ac:dyDescent="0.35">
      <c r="B3509" t="s">
        <v>963</v>
      </c>
      <c r="C3509" t="s">
        <v>964</v>
      </c>
    </row>
    <row r="3510" spans="2:3" x14ac:dyDescent="0.35">
      <c r="B3510" t="s">
        <v>128</v>
      </c>
      <c r="C3510" t="s">
        <v>129</v>
      </c>
    </row>
    <row r="3511" spans="2:3" x14ac:dyDescent="0.35">
      <c r="B3511" t="s">
        <v>597</v>
      </c>
      <c r="C3511" t="s">
        <v>598</v>
      </c>
    </row>
    <row r="3512" spans="2:3" x14ac:dyDescent="0.35">
      <c r="B3512" t="s">
        <v>591</v>
      </c>
      <c r="C3512" t="s">
        <v>592</v>
      </c>
    </row>
    <row r="3513" spans="2:3" x14ac:dyDescent="0.35">
      <c r="B3513" t="s">
        <v>559</v>
      </c>
      <c r="C3513" t="s">
        <v>560</v>
      </c>
    </row>
    <row r="3514" spans="2:3" x14ac:dyDescent="0.35">
      <c r="B3514" t="s">
        <v>208</v>
      </c>
      <c r="C3514" t="s">
        <v>209</v>
      </c>
    </row>
    <row r="3515" spans="2:3" x14ac:dyDescent="0.35">
      <c r="B3515" t="s">
        <v>703</v>
      </c>
      <c r="C3515" t="s">
        <v>704</v>
      </c>
    </row>
    <row r="3516" spans="2:3" x14ac:dyDescent="0.35">
      <c r="B3516" t="s">
        <v>208</v>
      </c>
      <c r="C3516" t="s">
        <v>209</v>
      </c>
    </row>
    <row r="3517" spans="2:3" x14ac:dyDescent="0.35">
      <c r="B3517" t="s">
        <v>346</v>
      </c>
      <c r="C3517" t="s">
        <v>347</v>
      </c>
    </row>
    <row r="3518" spans="2:3" x14ac:dyDescent="0.35">
      <c r="B3518" t="s">
        <v>335</v>
      </c>
      <c r="C3518" t="s">
        <v>336</v>
      </c>
    </row>
    <row r="3519" spans="2:3" x14ac:dyDescent="0.35">
      <c r="B3519" t="s">
        <v>475</v>
      </c>
      <c r="C3519" t="s">
        <v>476</v>
      </c>
    </row>
    <row r="3520" spans="2:3" x14ac:dyDescent="0.35">
      <c r="B3520" t="s">
        <v>202</v>
      </c>
      <c r="C3520" t="s">
        <v>203</v>
      </c>
    </row>
    <row r="3521" spans="2:3" x14ac:dyDescent="0.35">
      <c r="B3521" t="s">
        <v>198</v>
      </c>
      <c r="C3521" t="s">
        <v>199</v>
      </c>
    </row>
    <row r="3522" spans="2:3" x14ac:dyDescent="0.35">
      <c r="B3522" t="s">
        <v>84</v>
      </c>
      <c r="C3522" t="s">
        <v>85</v>
      </c>
    </row>
    <row r="3523" spans="2:3" x14ac:dyDescent="0.35">
      <c r="B3523" t="s">
        <v>260</v>
      </c>
      <c r="C3523" t="s">
        <v>261</v>
      </c>
    </row>
    <row r="3524" spans="2:3" x14ac:dyDescent="0.35">
      <c r="B3524" t="s">
        <v>575</v>
      </c>
      <c r="C3524" t="s">
        <v>576</v>
      </c>
    </row>
    <row r="3525" spans="2:3" x14ac:dyDescent="0.35">
      <c r="B3525" t="s">
        <v>122</v>
      </c>
      <c r="C3525" t="s">
        <v>123</v>
      </c>
    </row>
    <row r="3526" spans="2:3" x14ac:dyDescent="0.35">
      <c r="B3526" t="s">
        <v>174</v>
      </c>
      <c r="C3526" t="s">
        <v>175</v>
      </c>
    </row>
    <row r="3527" spans="2:3" x14ac:dyDescent="0.35">
      <c r="B3527" t="s">
        <v>787</v>
      </c>
      <c r="C3527" t="s">
        <v>788</v>
      </c>
    </row>
    <row r="3528" spans="2:3" x14ac:dyDescent="0.35">
      <c r="B3528" t="s">
        <v>271</v>
      </c>
      <c r="C3528" t="s">
        <v>272</v>
      </c>
    </row>
    <row r="3529" spans="2:3" x14ac:dyDescent="0.35">
      <c r="B3529" t="s">
        <v>543</v>
      </c>
      <c r="C3529" t="s">
        <v>544</v>
      </c>
    </row>
    <row r="3530" spans="2:3" x14ac:dyDescent="0.35">
      <c r="B3530" t="s">
        <v>787</v>
      </c>
      <c r="C3530" t="s">
        <v>788</v>
      </c>
    </row>
    <row r="3531" spans="2:3" x14ac:dyDescent="0.35">
      <c r="B3531" t="s">
        <v>595</v>
      </c>
      <c r="C3531" t="s">
        <v>596</v>
      </c>
    </row>
    <row r="3532" spans="2:3" x14ac:dyDescent="0.35">
      <c r="B3532" t="s">
        <v>254</v>
      </c>
      <c r="C3532" t="s">
        <v>255</v>
      </c>
    </row>
    <row r="3533" spans="2:3" x14ac:dyDescent="0.35">
      <c r="B3533" t="s">
        <v>291</v>
      </c>
      <c r="C3533" t="s">
        <v>292</v>
      </c>
    </row>
    <row r="3534" spans="2:3" x14ac:dyDescent="0.35">
      <c r="B3534" t="s">
        <v>787</v>
      </c>
      <c r="C3534" t="s">
        <v>788</v>
      </c>
    </row>
    <row r="3535" spans="2:3" x14ac:dyDescent="0.35">
      <c r="B3535" t="s">
        <v>605</v>
      </c>
      <c r="C3535" t="s">
        <v>606</v>
      </c>
    </row>
    <row r="3536" spans="2:3" x14ac:dyDescent="0.35">
      <c r="B3536" t="s">
        <v>575</v>
      </c>
      <c r="C3536" t="s">
        <v>576</v>
      </c>
    </row>
    <row r="3537" spans="2:3" x14ac:dyDescent="0.35">
      <c r="B3537" t="s">
        <v>874</v>
      </c>
      <c r="C3537" t="s">
        <v>875</v>
      </c>
    </row>
    <row r="3538" spans="2:3" x14ac:dyDescent="0.35">
      <c r="B3538" t="s">
        <v>958</v>
      </c>
      <c r="C3538" t="s">
        <v>959</v>
      </c>
    </row>
    <row r="3539" spans="2:3" x14ac:dyDescent="0.35">
      <c r="B3539" t="s">
        <v>545</v>
      </c>
      <c r="C3539" t="s">
        <v>546</v>
      </c>
    </row>
    <row r="3540" spans="2:3" x14ac:dyDescent="0.35">
      <c r="B3540" t="s">
        <v>787</v>
      </c>
      <c r="C3540" t="s">
        <v>788</v>
      </c>
    </row>
    <row r="3541" spans="2:3" x14ac:dyDescent="0.35">
      <c r="B3541" t="s">
        <v>110</v>
      </c>
      <c r="C3541" t="s">
        <v>111</v>
      </c>
    </row>
    <row r="3542" spans="2:3" x14ac:dyDescent="0.35">
      <c r="B3542" t="s">
        <v>202</v>
      </c>
      <c r="C3542" t="s">
        <v>203</v>
      </c>
    </row>
    <row r="3543" spans="2:3" x14ac:dyDescent="0.35">
      <c r="B3543" t="s">
        <v>543</v>
      </c>
      <c r="C3543" t="s">
        <v>544</v>
      </c>
    </row>
    <row r="3544" spans="2:3" x14ac:dyDescent="0.35">
      <c r="B3544" t="s">
        <v>591</v>
      </c>
      <c r="C3544" t="s">
        <v>592</v>
      </c>
    </row>
    <row r="3545" spans="2:3" x14ac:dyDescent="0.35">
      <c r="B3545" t="s">
        <v>787</v>
      </c>
      <c r="C3545" t="s">
        <v>788</v>
      </c>
    </row>
    <row r="3546" spans="2:3" x14ac:dyDescent="0.35">
      <c r="B3546" t="s">
        <v>577</v>
      </c>
      <c r="C3546" t="s">
        <v>578</v>
      </c>
    </row>
    <row r="3547" spans="2:3" x14ac:dyDescent="0.35">
      <c r="B3547" t="s">
        <v>412</v>
      </c>
      <c r="C3547" t="s">
        <v>413</v>
      </c>
    </row>
    <row r="3548" spans="2:3" x14ac:dyDescent="0.35">
      <c r="B3548" t="s">
        <v>1195</v>
      </c>
      <c r="C3548" t="s">
        <v>1195</v>
      </c>
    </row>
    <row r="3549" spans="2:3" x14ac:dyDescent="0.35">
      <c r="B3549" t="s">
        <v>416</v>
      </c>
      <c r="C3549" t="s">
        <v>417</v>
      </c>
    </row>
    <row r="3550" spans="2:3" x14ac:dyDescent="0.35">
      <c r="B3550" t="s">
        <v>202</v>
      </c>
      <c r="C3550" t="s">
        <v>203</v>
      </c>
    </row>
    <row r="3551" spans="2:3" x14ac:dyDescent="0.35">
      <c r="B3551" t="s">
        <v>200</v>
      </c>
      <c r="C3551" t="s">
        <v>201</v>
      </c>
    </row>
    <row r="3552" spans="2:3" x14ac:dyDescent="0.35">
      <c r="B3552" t="s">
        <v>1061</v>
      </c>
      <c r="C3552" t="s">
        <v>1062</v>
      </c>
    </row>
    <row r="3553" spans="2:3" x14ac:dyDescent="0.35">
      <c r="B3553" t="s">
        <v>950</v>
      </c>
      <c r="C3553" t="s">
        <v>951</v>
      </c>
    </row>
    <row r="3554" spans="2:3" x14ac:dyDescent="0.35">
      <c r="B3554" t="s">
        <v>559</v>
      </c>
      <c r="C3554" t="s">
        <v>560</v>
      </c>
    </row>
    <row r="3555" spans="2:3" x14ac:dyDescent="0.35">
      <c r="B3555" t="s">
        <v>64</v>
      </c>
      <c r="C3555" t="s">
        <v>65</v>
      </c>
    </row>
    <row r="3556" spans="2:3" x14ac:dyDescent="0.35">
      <c r="B3556" t="s">
        <v>174</v>
      </c>
      <c r="C3556" t="s">
        <v>175</v>
      </c>
    </row>
    <row r="3557" spans="2:3" x14ac:dyDescent="0.35">
      <c r="B3557" t="s">
        <v>378</v>
      </c>
      <c r="C3557" t="s">
        <v>379</v>
      </c>
    </row>
    <row r="3558" spans="2:3" x14ac:dyDescent="0.35">
      <c r="B3558" t="s">
        <v>650</v>
      </c>
      <c r="C3558" t="s">
        <v>651</v>
      </c>
    </row>
    <row r="3559" spans="2:3" x14ac:dyDescent="0.35">
      <c r="B3559" t="s">
        <v>963</v>
      </c>
      <c r="C3559" t="s">
        <v>964</v>
      </c>
    </row>
    <row r="3560" spans="2:3" x14ac:dyDescent="0.35">
      <c r="B3560" t="s">
        <v>531</v>
      </c>
      <c r="C3560" t="s">
        <v>532</v>
      </c>
    </row>
    <row r="3561" spans="2:3" x14ac:dyDescent="0.35">
      <c r="B3561" t="s">
        <v>467</v>
      </c>
      <c r="C3561" t="s">
        <v>468</v>
      </c>
    </row>
    <row r="3562" spans="2:3" x14ac:dyDescent="0.35">
      <c r="B3562" t="s">
        <v>90</v>
      </c>
      <c r="C3562" t="s">
        <v>91</v>
      </c>
    </row>
    <row r="3563" spans="2:3" x14ac:dyDescent="0.35">
      <c r="B3563" t="s">
        <v>120</v>
      </c>
      <c r="C3563" t="s">
        <v>121</v>
      </c>
    </row>
    <row r="3564" spans="2:3" x14ac:dyDescent="0.35">
      <c r="B3564" t="s">
        <v>638</v>
      </c>
      <c r="C3564" t="s">
        <v>639</v>
      </c>
    </row>
    <row r="3565" spans="2:3" x14ac:dyDescent="0.35">
      <c r="B3565" t="s">
        <v>64</v>
      </c>
      <c r="C3565" t="s">
        <v>65</v>
      </c>
    </row>
    <row r="3566" spans="2:3" x14ac:dyDescent="0.35">
      <c r="B3566" t="s">
        <v>787</v>
      </c>
      <c r="C3566" t="s">
        <v>788</v>
      </c>
    </row>
    <row r="3567" spans="2:3" x14ac:dyDescent="0.35">
      <c r="B3567" t="s">
        <v>202</v>
      </c>
      <c r="C3567" t="s">
        <v>203</v>
      </c>
    </row>
    <row r="3568" spans="2:3" x14ac:dyDescent="0.35">
      <c r="B3568" t="s">
        <v>430</v>
      </c>
      <c r="C3568" t="s">
        <v>431</v>
      </c>
    </row>
    <row r="3569" spans="2:3" x14ac:dyDescent="0.35">
      <c r="B3569" t="s">
        <v>273</v>
      </c>
      <c r="C3569" t="s">
        <v>274</v>
      </c>
    </row>
    <row r="3570" spans="2:3" x14ac:dyDescent="0.35">
      <c r="B3570" t="s">
        <v>787</v>
      </c>
      <c r="C3570" t="s">
        <v>788</v>
      </c>
    </row>
    <row r="3571" spans="2:3" x14ac:dyDescent="0.35">
      <c r="B3571" t="s">
        <v>787</v>
      </c>
      <c r="C3571" t="s">
        <v>788</v>
      </c>
    </row>
    <row r="3572" spans="2:3" x14ac:dyDescent="0.35">
      <c r="B3572" t="s">
        <v>202</v>
      </c>
      <c r="C3572" t="s">
        <v>203</v>
      </c>
    </row>
    <row r="3573" spans="2:3" x14ac:dyDescent="0.35">
      <c r="B3573" t="s">
        <v>787</v>
      </c>
      <c r="C3573" t="s">
        <v>788</v>
      </c>
    </row>
    <row r="3574" spans="2:3" x14ac:dyDescent="0.35">
      <c r="B3574" t="s">
        <v>787</v>
      </c>
      <c r="C3574" t="s">
        <v>788</v>
      </c>
    </row>
    <row r="3575" spans="2:3" x14ac:dyDescent="0.35">
      <c r="B3575" t="s">
        <v>642</v>
      </c>
      <c r="C3575" t="s">
        <v>643</v>
      </c>
    </row>
    <row r="3576" spans="2:3" x14ac:dyDescent="0.35">
      <c r="B3576" t="s">
        <v>176</v>
      </c>
      <c r="C3576" t="s">
        <v>177</v>
      </c>
    </row>
    <row r="3577" spans="2:3" x14ac:dyDescent="0.35">
      <c r="B3577" t="s">
        <v>122</v>
      </c>
      <c r="C3577" t="s">
        <v>123</v>
      </c>
    </row>
    <row r="3578" spans="2:3" x14ac:dyDescent="0.35">
      <c r="B3578" t="s">
        <v>430</v>
      </c>
      <c r="C3578" t="s">
        <v>431</v>
      </c>
    </row>
    <row r="3579" spans="2:3" x14ac:dyDescent="0.35">
      <c r="B3579" t="s">
        <v>599</v>
      </c>
      <c r="C3579" t="s">
        <v>600</v>
      </c>
    </row>
    <row r="3580" spans="2:3" x14ac:dyDescent="0.35">
      <c r="B3580" t="s">
        <v>872</v>
      </c>
      <c r="C3580" t="s">
        <v>873</v>
      </c>
    </row>
    <row r="3581" spans="2:3" x14ac:dyDescent="0.35">
      <c r="B3581" t="s">
        <v>260</v>
      </c>
      <c r="C3581" t="s">
        <v>261</v>
      </c>
    </row>
    <row r="3582" spans="2:3" x14ac:dyDescent="0.35">
      <c r="B3582" t="s">
        <v>694</v>
      </c>
      <c r="C3582" t="s">
        <v>695</v>
      </c>
    </row>
    <row r="3583" spans="2:3" x14ac:dyDescent="0.35">
      <c r="B3583" t="s">
        <v>1195</v>
      </c>
      <c r="C3583" t="s">
        <v>1195</v>
      </c>
    </row>
    <row r="3584" spans="2:3" x14ac:dyDescent="0.35">
      <c r="B3584" t="s">
        <v>322</v>
      </c>
      <c r="C3584" t="s">
        <v>323</v>
      </c>
    </row>
    <row r="3585" spans="2:3" x14ac:dyDescent="0.35">
      <c r="B3585" t="s">
        <v>575</v>
      </c>
      <c r="C3585" t="s">
        <v>576</v>
      </c>
    </row>
    <row r="3586" spans="2:3" x14ac:dyDescent="0.35">
      <c r="B3586" t="s">
        <v>202</v>
      </c>
      <c r="C3586" t="s">
        <v>203</v>
      </c>
    </row>
    <row r="3587" spans="2:3" x14ac:dyDescent="0.35">
      <c r="B3587" t="s">
        <v>559</v>
      </c>
      <c r="C3587" t="s">
        <v>560</v>
      </c>
    </row>
    <row r="3588" spans="2:3" x14ac:dyDescent="0.35">
      <c r="B3588" t="s">
        <v>559</v>
      </c>
      <c r="C3588" t="s">
        <v>560</v>
      </c>
    </row>
    <row r="3589" spans="2:3" x14ac:dyDescent="0.35">
      <c r="B3589" t="s">
        <v>787</v>
      </c>
      <c r="C3589" t="s">
        <v>788</v>
      </c>
    </row>
    <row r="3590" spans="2:3" x14ac:dyDescent="0.35">
      <c r="B3590" t="s">
        <v>90</v>
      </c>
      <c r="C3590" t="s">
        <v>91</v>
      </c>
    </row>
    <row r="3591" spans="2:3" x14ac:dyDescent="0.35">
      <c r="B3591" t="s">
        <v>559</v>
      </c>
      <c r="C3591" t="s">
        <v>560</v>
      </c>
    </row>
    <row r="3592" spans="2:3" x14ac:dyDescent="0.35">
      <c r="B3592" t="s">
        <v>393</v>
      </c>
      <c r="C3592" t="s">
        <v>394</v>
      </c>
    </row>
    <row r="3593" spans="2:3" x14ac:dyDescent="0.35">
      <c r="B3593" t="s">
        <v>84</v>
      </c>
      <c r="C3593" t="s">
        <v>85</v>
      </c>
    </row>
    <row r="3594" spans="2:3" x14ac:dyDescent="0.35">
      <c r="B3594" t="s">
        <v>252</v>
      </c>
      <c r="C3594" t="s">
        <v>253</v>
      </c>
    </row>
    <row r="3595" spans="2:3" x14ac:dyDescent="0.35">
      <c r="B3595" t="s">
        <v>485</v>
      </c>
      <c r="C3595" t="s">
        <v>486</v>
      </c>
    </row>
    <row r="3596" spans="2:3" x14ac:dyDescent="0.35">
      <c r="B3596" t="s">
        <v>434</v>
      </c>
      <c r="C3596" t="s">
        <v>435</v>
      </c>
    </row>
    <row r="3597" spans="2:3" x14ac:dyDescent="0.35">
      <c r="B3597" t="s">
        <v>787</v>
      </c>
      <c r="C3597" t="s">
        <v>788</v>
      </c>
    </row>
    <row r="3598" spans="2:3" x14ac:dyDescent="0.35">
      <c r="B3598" t="s">
        <v>640</v>
      </c>
      <c r="C3598" t="s">
        <v>641</v>
      </c>
    </row>
    <row r="3599" spans="2:3" x14ac:dyDescent="0.35">
      <c r="B3599" t="s">
        <v>662</v>
      </c>
      <c r="C3599" t="s">
        <v>663</v>
      </c>
    </row>
    <row r="3600" spans="2:3" x14ac:dyDescent="0.35">
      <c r="B3600" t="s">
        <v>198</v>
      </c>
      <c r="C3600" t="s">
        <v>199</v>
      </c>
    </row>
    <row r="3601" spans="2:3" x14ac:dyDescent="0.35">
      <c r="B3601" t="s">
        <v>963</v>
      </c>
      <c r="C3601" t="s">
        <v>964</v>
      </c>
    </row>
    <row r="3602" spans="2:3" x14ac:dyDescent="0.35">
      <c r="B3602" t="s">
        <v>378</v>
      </c>
      <c r="C3602" t="s">
        <v>379</v>
      </c>
    </row>
    <row r="3603" spans="2:3" x14ac:dyDescent="0.35">
      <c r="B3603" t="s">
        <v>163</v>
      </c>
      <c r="C3603" t="s">
        <v>164</v>
      </c>
    </row>
    <row r="3604" spans="2:3" x14ac:dyDescent="0.35">
      <c r="B3604" t="s">
        <v>640</v>
      </c>
      <c r="C3604" t="s">
        <v>641</v>
      </c>
    </row>
    <row r="3605" spans="2:3" x14ac:dyDescent="0.35">
      <c r="B3605" t="s">
        <v>393</v>
      </c>
      <c r="C3605" t="s">
        <v>394</v>
      </c>
    </row>
    <row r="3606" spans="2:3" x14ac:dyDescent="0.35">
      <c r="B3606" t="s">
        <v>787</v>
      </c>
      <c r="C3606" t="s">
        <v>788</v>
      </c>
    </row>
    <row r="3607" spans="2:3" x14ac:dyDescent="0.35">
      <c r="B3607" t="s">
        <v>306</v>
      </c>
      <c r="C3607" t="s">
        <v>307</v>
      </c>
    </row>
    <row r="3608" spans="2:3" x14ac:dyDescent="0.35">
      <c r="B3608" t="s">
        <v>703</v>
      </c>
      <c r="C3608" t="s">
        <v>704</v>
      </c>
    </row>
    <row r="3609" spans="2:3" x14ac:dyDescent="0.35">
      <c r="B3609" t="s">
        <v>587</v>
      </c>
      <c r="C3609" t="s">
        <v>588</v>
      </c>
    </row>
    <row r="3610" spans="2:3" x14ac:dyDescent="0.35">
      <c r="B3610" t="s">
        <v>787</v>
      </c>
      <c r="C3610" t="s">
        <v>788</v>
      </c>
    </row>
    <row r="3611" spans="2:3" x14ac:dyDescent="0.35">
      <c r="B3611" t="s">
        <v>404</v>
      </c>
      <c r="C3611" t="s">
        <v>405</v>
      </c>
    </row>
    <row r="3612" spans="2:3" x14ac:dyDescent="0.35">
      <c r="B3612" t="s">
        <v>84</v>
      </c>
      <c r="C3612" t="s">
        <v>85</v>
      </c>
    </row>
    <row r="3613" spans="2:3" x14ac:dyDescent="0.35">
      <c r="B3613" t="s">
        <v>859</v>
      </c>
      <c r="C3613" t="s">
        <v>860</v>
      </c>
    </row>
    <row r="3614" spans="2:3" x14ac:dyDescent="0.35">
      <c r="B3614" t="s">
        <v>295</v>
      </c>
      <c r="C3614" t="s">
        <v>296</v>
      </c>
    </row>
    <row r="3615" spans="2:3" x14ac:dyDescent="0.35">
      <c r="B3615" t="s">
        <v>208</v>
      </c>
      <c r="C3615" t="s">
        <v>209</v>
      </c>
    </row>
    <row r="3616" spans="2:3" x14ac:dyDescent="0.35">
      <c r="B3616" t="s">
        <v>963</v>
      </c>
      <c r="C3616" t="s">
        <v>964</v>
      </c>
    </row>
    <row r="3617" spans="2:3" x14ac:dyDescent="0.35">
      <c r="B3617" t="s">
        <v>662</v>
      </c>
      <c r="C3617" t="s">
        <v>663</v>
      </c>
    </row>
    <row r="3618" spans="2:3" x14ac:dyDescent="0.35">
      <c r="B3618" t="s">
        <v>465</v>
      </c>
      <c r="C3618" t="s">
        <v>466</v>
      </c>
    </row>
    <row r="3619" spans="2:3" x14ac:dyDescent="0.35">
      <c r="B3619" t="s">
        <v>787</v>
      </c>
      <c r="C3619" t="s">
        <v>788</v>
      </c>
    </row>
    <row r="3620" spans="2:3" x14ac:dyDescent="0.35">
      <c r="B3620" t="s">
        <v>501</v>
      </c>
      <c r="C3620" t="s">
        <v>502</v>
      </c>
    </row>
    <row r="3621" spans="2:3" x14ac:dyDescent="0.35">
      <c r="B3621" t="s">
        <v>453</v>
      </c>
      <c r="C3621" t="s">
        <v>454</v>
      </c>
    </row>
    <row r="3622" spans="2:3" x14ac:dyDescent="0.35">
      <c r="B3622" t="s">
        <v>601</v>
      </c>
      <c r="C3622" t="s">
        <v>602</v>
      </c>
    </row>
    <row r="3623" spans="2:3" x14ac:dyDescent="0.35">
      <c r="B3623" t="s">
        <v>577</v>
      </c>
      <c r="C3623" t="s">
        <v>578</v>
      </c>
    </row>
    <row r="3624" spans="2:3" x14ac:dyDescent="0.35">
      <c r="B3624" t="s">
        <v>787</v>
      </c>
      <c r="C3624" t="s">
        <v>788</v>
      </c>
    </row>
    <row r="3625" spans="2:3" x14ac:dyDescent="0.35">
      <c r="B3625" t="s">
        <v>857</v>
      </c>
      <c r="C3625" t="s">
        <v>858</v>
      </c>
    </row>
    <row r="3626" spans="2:3" x14ac:dyDescent="0.35">
      <c r="B3626" t="s">
        <v>64</v>
      </c>
      <c r="C3626" t="s">
        <v>65</v>
      </c>
    </row>
    <row r="3627" spans="2:3" x14ac:dyDescent="0.35">
      <c r="B3627" t="s">
        <v>958</v>
      </c>
      <c r="C3627" t="s">
        <v>959</v>
      </c>
    </row>
    <row r="3628" spans="2:3" x14ac:dyDescent="0.35">
      <c r="B3628" t="s">
        <v>443</v>
      </c>
      <c r="C3628" t="s">
        <v>444</v>
      </c>
    </row>
    <row r="3629" spans="2:3" x14ac:dyDescent="0.35">
      <c r="B3629" t="s">
        <v>202</v>
      </c>
      <c r="C3629" t="s">
        <v>203</v>
      </c>
    </row>
    <row r="3630" spans="2:3" x14ac:dyDescent="0.35">
      <c r="B3630" t="s">
        <v>64</v>
      </c>
      <c r="C3630" t="s">
        <v>65</v>
      </c>
    </row>
    <row r="3631" spans="2:3" x14ac:dyDescent="0.35">
      <c r="B3631" t="s">
        <v>322</v>
      </c>
      <c r="C3631" t="s">
        <v>323</v>
      </c>
    </row>
    <row r="3632" spans="2:3" x14ac:dyDescent="0.35">
      <c r="B3632" t="s">
        <v>640</v>
      </c>
      <c r="C3632" t="s">
        <v>641</v>
      </c>
    </row>
    <row r="3633" spans="2:3" x14ac:dyDescent="0.35">
      <c r="B3633" t="s">
        <v>787</v>
      </c>
      <c r="C3633" t="s">
        <v>788</v>
      </c>
    </row>
    <row r="3634" spans="2:3" x14ac:dyDescent="0.35">
      <c r="B3634" t="s">
        <v>787</v>
      </c>
      <c r="C3634" t="s">
        <v>788</v>
      </c>
    </row>
    <row r="3635" spans="2:3" x14ac:dyDescent="0.35">
      <c r="B3635" t="s">
        <v>475</v>
      </c>
      <c r="C3635" t="s">
        <v>476</v>
      </c>
    </row>
    <row r="3636" spans="2:3" x14ac:dyDescent="0.35">
      <c r="B3636" t="s">
        <v>642</v>
      </c>
      <c r="C3636" t="s">
        <v>643</v>
      </c>
    </row>
    <row r="3637" spans="2:3" x14ac:dyDescent="0.35">
      <c r="B3637" t="s">
        <v>787</v>
      </c>
      <c r="C3637" t="s">
        <v>788</v>
      </c>
    </row>
    <row r="3638" spans="2:3" x14ac:dyDescent="0.35">
      <c r="B3638" t="s">
        <v>638</v>
      </c>
      <c r="C3638" t="s">
        <v>639</v>
      </c>
    </row>
    <row r="3639" spans="2:3" x14ac:dyDescent="0.35">
      <c r="B3639" t="s">
        <v>866</v>
      </c>
      <c r="C3639" t="s">
        <v>867</v>
      </c>
    </row>
    <row r="3640" spans="2:3" x14ac:dyDescent="0.35">
      <c r="B3640" t="s">
        <v>607</v>
      </c>
      <c r="C3640" t="s">
        <v>608</v>
      </c>
    </row>
    <row r="3641" spans="2:3" x14ac:dyDescent="0.35">
      <c r="B3641" t="s">
        <v>616</v>
      </c>
      <c r="C3641" t="s">
        <v>617</v>
      </c>
    </row>
    <row r="3642" spans="2:3" x14ac:dyDescent="0.35">
      <c r="B3642" t="s">
        <v>787</v>
      </c>
      <c r="C3642" t="s">
        <v>788</v>
      </c>
    </row>
    <row r="3643" spans="2:3" x14ac:dyDescent="0.35">
      <c r="B3643" t="s">
        <v>787</v>
      </c>
      <c r="C3643" t="s">
        <v>788</v>
      </c>
    </row>
    <row r="3644" spans="2:3" x14ac:dyDescent="0.35">
      <c r="B3644" t="s">
        <v>787</v>
      </c>
      <c r="C3644" t="s">
        <v>788</v>
      </c>
    </row>
    <row r="3645" spans="2:3" x14ac:dyDescent="0.35">
      <c r="B3645" t="s">
        <v>358</v>
      </c>
      <c r="C3645" t="s">
        <v>359</v>
      </c>
    </row>
    <row r="3646" spans="2:3" x14ac:dyDescent="0.35">
      <c r="B3646" t="s">
        <v>652</v>
      </c>
      <c r="C3646" t="s">
        <v>653</v>
      </c>
    </row>
    <row r="3647" spans="2:3" x14ac:dyDescent="0.35">
      <c r="B3647" t="s">
        <v>378</v>
      </c>
      <c r="C3647" t="s">
        <v>379</v>
      </c>
    </row>
    <row r="3648" spans="2:3" x14ac:dyDescent="0.35">
      <c r="B3648" t="s">
        <v>787</v>
      </c>
      <c r="C3648" t="s">
        <v>788</v>
      </c>
    </row>
    <row r="3649" spans="2:3" x14ac:dyDescent="0.35">
      <c r="B3649" t="s">
        <v>577</v>
      </c>
      <c r="C3649" t="s">
        <v>578</v>
      </c>
    </row>
    <row r="3650" spans="2:3" x14ac:dyDescent="0.35">
      <c r="B3650" t="s">
        <v>475</v>
      </c>
      <c r="C3650" t="s">
        <v>476</v>
      </c>
    </row>
    <row r="3651" spans="2:3" x14ac:dyDescent="0.35">
      <c r="B3651" t="s">
        <v>465</v>
      </c>
      <c r="C3651" t="s">
        <v>466</v>
      </c>
    </row>
    <row r="3652" spans="2:3" x14ac:dyDescent="0.35">
      <c r="B3652" t="s">
        <v>64</v>
      </c>
      <c r="C3652" t="s">
        <v>65</v>
      </c>
    </row>
    <row r="3653" spans="2:3" x14ac:dyDescent="0.35">
      <c r="B3653" t="s">
        <v>105</v>
      </c>
      <c r="C3653" t="s">
        <v>106</v>
      </c>
    </row>
    <row r="3654" spans="2:3" x14ac:dyDescent="0.35">
      <c r="B3654" t="s">
        <v>573</v>
      </c>
      <c r="C3654" t="s">
        <v>574</v>
      </c>
    </row>
    <row r="3655" spans="2:3" x14ac:dyDescent="0.35">
      <c r="B3655" t="s">
        <v>384</v>
      </c>
      <c r="C3655" t="s">
        <v>385</v>
      </c>
    </row>
    <row r="3656" spans="2:3" x14ac:dyDescent="0.35">
      <c r="B3656" t="s">
        <v>232</v>
      </c>
      <c r="C3656" t="s">
        <v>233</v>
      </c>
    </row>
    <row r="3657" spans="2:3" x14ac:dyDescent="0.35">
      <c r="B3657" t="s">
        <v>703</v>
      </c>
      <c r="C3657" t="s">
        <v>704</v>
      </c>
    </row>
    <row r="3658" spans="2:3" x14ac:dyDescent="0.35">
      <c r="B3658" t="s">
        <v>961</v>
      </c>
      <c r="C3658" t="s">
        <v>962</v>
      </c>
    </row>
    <row r="3659" spans="2:3" x14ac:dyDescent="0.35">
      <c r="B3659" t="s">
        <v>703</v>
      </c>
      <c r="C3659" t="s">
        <v>704</v>
      </c>
    </row>
    <row r="3660" spans="2:3" x14ac:dyDescent="0.35">
      <c r="B3660" t="s">
        <v>56</v>
      </c>
      <c r="C3660" t="s">
        <v>57</v>
      </c>
    </row>
    <row r="3661" spans="2:3" x14ac:dyDescent="0.35">
      <c r="B3661" t="s">
        <v>208</v>
      </c>
      <c r="C3661" t="s">
        <v>209</v>
      </c>
    </row>
    <row r="3662" spans="2:3" x14ac:dyDescent="0.35">
      <c r="B3662" t="s">
        <v>230</v>
      </c>
      <c r="C3662" t="s">
        <v>231</v>
      </c>
    </row>
    <row r="3663" spans="2:3" x14ac:dyDescent="0.35">
      <c r="B3663" t="s">
        <v>176</v>
      </c>
      <c r="C3663" t="s">
        <v>177</v>
      </c>
    </row>
    <row r="3664" spans="2:3" x14ac:dyDescent="0.35">
      <c r="B3664" t="s">
        <v>200</v>
      </c>
      <c r="C3664" t="s">
        <v>201</v>
      </c>
    </row>
    <row r="3665" spans="2:3" x14ac:dyDescent="0.35">
      <c r="B3665" t="s">
        <v>787</v>
      </c>
      <c r="C3665" t="s">
        <v>788</v>
      </c>
    </row>
    <row r="3666" spans="2:3" x14ac:dyDescent="0.35">
      <c r="B3666" t="s">
        <v>457</v>
      </c>
      <c r="C3666" t="s">
        <v>458</v>
      </c>
    </row>
    <row r="3667" spans="2:3" x14ac:dyDescent="0.35">
      <c r="B3667" t="s">
        <v>428</v>
      </c>
      <c r="C3667" t="s">
        <v>429</v>
      </c>
    </row>
    <row r="3668" spans="2:3" x14ac:dyDescent="0.35">
      <c r="B3668" t="s">
        <v>853</v>
      </c>
      <c r="C3668" t="s">
        <v>854</v>
      </c>
    </row>
    <row r="3669" spans="2:3" x14ac:dyDescent="0.35">
      <c r="B3669" t="s">
        <v>58</v>
      </c>
      <c r="C3669" t="s">
        <v>59</v>
      </c>
    </row>
    <row r="3670" spans="2:3" x14ac:dyDescent="0.35">
      <c r="B3670" t="s">
        <v>1061</v>
      </c>
      <c r="C3670" t="s">
        <v>1062</v>
      </c>
    </row>
    <row r="3671" spans="2:3" x14ac:dyDescent="0.35">
      <c r="B3671" t="s">
        <v>316</v>
      </c>
      <c r="C3671" t="s">
        <v>317</v>
      </c>
    </row>
    <row r="3672" spans="2:3" x14ac:dyDescent="0.35">
      <c r="B3672" t="s">
        <v>219</v>
      </c>
      <c r="C3672" t="s">
        <v>220</v>
      </c>
    </row>
    <row r="3673" spans="2:3" x14ac:dyDescent="0.35">
      <c r="B3673" t="s">
        <v>1195</v>
      </c>
      <c r="C3673" t="s">
        <v>1195</v>
      </c>
    </row>
    <row r="3674" spans="2:3" x14ac:dyDescent="0.35">
      <c r="B3674" t="s">
        <v>559</v>
      </c>
      <c r="C3674" t="s">
        <v>560</v>
      </c>
    </row>
    <row r="3675" spans="2:3" x14ac:dyDescent="0.35">
      <c r="B3675" t="s">
        <v>692</v>
      </c>
      <c r="C3675" t="s">
        <v>693</v>
      </c>
    </row>
    <row r="3676" spans="2:3" x14ac:dyDescent="0.35">
      <c r="B3676" t="s">
        <v>412</v>
      </c>
      <c r="C3676" t="s">
        <v>413</v>
      </c>
    </row>
    <row r="3677" spans="2:3" x14ac:dyDescent="0.35">
      <c r="B3677" t="s">
        <v>344</v>
      </c>
      <c r="C3677" t="s">
        <v>345</v>
      </c>
    </row>
    <row r="3678" spans="2:3" x14ac:dyDescent="0.35">
      <c r="B3678" t="s">
        <v>258</v>
      </c>
      <c r="C3678" t="s">
        <v>259</v>
      </c>
    </row>
    <row r="3679" spans="2:3" x14ac:dyDescent="0.35">
      <c r="B3679" t="s">
        <v>700</v>
      </c>
      <c r="C3679" t="s">
        <v>701</v>
      </c>
    </row>
    <row r="3680" spans="2:3" x14ac:dyDescent="0.35">
      <c r="B3680" t="s">
        <v>64</v>
      </c>
      <c r="C3680" t="s">
        <v>65</v>
      </c>
    </row>
    <row r="3681" spans="2:3" x14ac:dyDescent="0.35">
      <c r="B3681" t="s">
        <v>674</v>
      </c>
      <c r="C3681" t="s">
        <v>675</v>
      </c>
    </row>
    <row r="3682" spans="2:3" x14ac:dyDescent="0.35">
      <c r="B3682" t="s">
        <v>1079</v>
      </c>
      <c r="C3682" t="s">
        <v>1080</v>
      </c>
    </row>
    <row r="3683" spans="2:3" x14ac:dyDescent="0.35">
      <c r="B3683" t="s">
        <v>694</v>
      </c>
      <c r="C3683" t="s">
        <v>695</v>
      </c>
    </row>
    <row r="3684" spans="2:3" x14ac:dyDescent="0.35">
      <c r="B3684" t="s">
        <v>787</v>
      </c>
      <c r="C3684" t="s">
        <v>788</v>
      </c>
    </row>
    <row r="3685" spans="2:3" x14ac:dyDescent="0.35">
      <c r="B3685" t="s">
        <v>866</v>
      </c>
      <c r="C3685" t="s">
        <v>867</v>
      </c>
    </row>
    <row r="3686" spans="2:3" x14ac:dyDescent="0.35">
      <c r="B3686" t="s">
        <v>384</v>
      </c>
      <c r="C3686" t="s">
        <v>385</v>
      </c>
    </row>
    <row r="3687" spans="2:3" x14ac:dyDescent="0.35">
      <c r="B3687" t="s">
        <v>703</v>
      </c>
      <c r="C3687" t="s">
        <v>704</v>
      </c>
    </row>
    <row r="3688" spans="2:3" x14ac:dyDescent="0.35">
      <c r="B3688" t="s">
        <v>254</v>
      </c>
      <c r="C3688" t="s">
        <v>255</v>
      </c>
    </row>
    <row r="3689" spans="2:3" x14ac:dyDescent="0.35">
      <c r="B3689" t="s">
        <v>571</v>
      </c>
      <c r="C3689" t="s">
        <v>572</v>
      </c>
    </row>
    <row r="3690" spans="2:3" x14ac:dyDescent="0.35">
      <c r="B3690" t="s">
        <v>316</v>
      </c>
      <c r="C3690" t="s">
        <v>317</v>
      </c>
    </row>
    <row r="3691" spans="2:3" x14ac:dyDescent="0.35">
      <c r="B3691" t="s">
        <v>658</v>
      </c>
      <c r="C3691" t="s">
        <v>659</v>
      </c>
    </row>
    <row r="3692" spans="2:3" x14ac:dyDescent="0.35">
      <c r="B3692" t="s">
        <v>557</v>
      </c>
      <c r="C3692" t="s">
        <v>558</v>
      </c>
    </row>
    <row r="3693" spans="2:3" x14ac:dyDescent="0.35">
      <c r="B3693" t="s">
        <v>658</v>
      </c>
      <c r="C3693" t="s">
        <v>659</v>
      </c>
    </row>
    <row r="3694" spans="2:3" x14ac:dyDescent="0.35">
      <c r="B3694" t="s">
        <v>120</v>
      </c>
      <c r="C3694" t="s">
        <v>121</v>
      </c>
    </row>
    <row r="3695" spans="2:3" x14ac:dyDescent="0.35">
      <c r="B3695" t="s">
        <v>208</v>
      </c>
      <c r="C3695" t="s">
        <v>209</v>
      </c>
    </row>
    <row r="3696" spans="2:3" x14ac:dyDescent="0.35">
      <c r="B3696" t="s">
        <v>208</v>
      </c>
      <c r="C3696" t="s">
        <v>209</v>
      </c>
    </row>
    <row r="3697" spans="2:3" x14ac:dyDescent="0.35">
      <c r="B3697" t="s">
        <v>230</v>
      </c>
      <c r="C3697" t="s">
        <v>231</v>
      </c>
    </row>
    <row r="3698" spans="2:3" x14ac:dyDescent="0.35">
      <c r="B3698" t="s">
        <v>316</v>
      </c>
      <c r="C3698" t="s">
        <v>317</v>
      </c>
    </row>
    <row r="3699" spans="2:3" x14ac:dyDescent="0.35">
      <c r="B3699" t="s">
        <v>515</v>
      </c>
      <c r="C3699" t="s">
        <v>516</v>
      </c>
    </row>
    <row r="3700" spans="2:3" x14ac:dyDescent="0.35">
      <c r="B3700" t="s">
        <v>642</v>
      </c>
      <c r="C3700" t="s">
        <v>643</v>
      </c>
    </row>
    <row r="3701" spans="2:3" x14ac:dyDescent="0.35">
      <c r="B3701" t="s">
        <v>163</v>
      </c>
      <c r="C3701" t="s">
        <v>164</v>
      </c>
    </row>
    <row r="3702" spans="2:3" x14ac:dyDescent="0.35">
      <c r="B3702" t="s">
        <v>963</v>
      </c>
      <c r="C3702" t="s">
        <v>964</v>
      </c>
    </row>
    <row r="3703" spans="2:3" x14ac:dyDescent="0.35">
      <c r="B3703" t="s">
        <v>577</v>
      </c>
      <c r="C3703" t="s">
        <v>578</v>
      </c>
    </row>
    <row r="3704" spans="2:3" x14ac:dyDescent="0.35">
      <c r="B3704" t="s">
        <v>804</v>
      </c>
      <c r="C3704" t="s">
        <v>805</v>
      </c>
    </row>
    <row r="3705" spans="2:3" x14ac:dyDescent="0.35">
      <c r="B3705" t="s">
        <v>434</v>
      </c>
      <c r="C3705" t="s">
        <v>435</v>
      </c>
    </row>
    <row r="3706" spans="2:3" x14ac:dyDescent="0.35">
      <c r="B3706" t="s">
        <v>694</v>
      </c>
      <c r="C3706" t="s">
        <v>695</v>
      </c>
    </row>
    <row r="3707" spans="2:3" x14ac:dyDescent="0.35">
      <c r="B3707" t="s">
        <v>297</v>
      </c>
      <c r="C3707" t="s">
        <v>298</v>
      </c>
    </row>
    <row r="3708" spans="2:3" x14ac:dyDescent="0.35">
      <c r="B3708" t="s">
        <v>676</v>
      </c>
      <c r="C3708" t="s">
        <v>677</v>
      </c>
    </row>
    <row r="3709" spans="2:3" x14ac:dyDescent="0.35">
      <c r="B3709" t="s">
        <v>662</v>
      </c>
      <c r="C3709" t="s">
        <v>663</v>
      </c>
    </row>
    <row r="3710" spans="2:3" x14ac:dyDescent="0.35">
      <c r="B3710" t="s">
        <v>275</v>
      </c>
      <c r="C3710" t="s">
        <v>276</v>
      </c>
    </row>
    <row r="3711" spans="2:3" x14ac:dyDescent="0.35">
      <c r="B3711" t="s">
        <v>640</v>
      </c>
      <c r="C3711" t="s">
        <v>641</v>
      </c>
    </row>
    <row r="3712" spans="2:3" x14ac:dyDescent="0.35">
      <c r="B3712" t="s">
        <v>457</v>
      </c>
      <c r="C3712" t="s">
        <v>458</v>
      </c>
    </row>
    <row r="3713" spans="2:3" x14ac:dyDescent="0.35">
      <c r="B3713" t="s">
        <v>410</v>
      </c>
      <c r="C3713" t="s">
        <v>411</v>
      </c>
    </row>
    <row r="3714" spans="2:3" x14ac:dyDescent="0.35">
      <c r="B3714" t="s">
        <v>577</v>
      </c>
      <c r="C3714" t="s">
        <v>578</v>
      </c>
    </row>
    <row r="3715" spans="2:3" x14ac:dyDescent="0.35">
      <c r="B3715" t="s">
        <v>465</v>
      </c>
      <c r="C3715" t="s">
        <v>466</v>
      </c>
    </row>
    <row r="3716" spans="2:3" x14ac:dyDescent="0.35">
      <c r="B3716" t="s">
        <v>674</v>
      </c>
      <c r="C3716" t="s">
        <v>675</v>
      </c>
    </row>
    <row r="3717" spans="2:3" x14ac:dyDescent="0.35">
      <c r="B3717" t="s">
        <v>642</v>
      </c>
      <c r="C3717" t="s">
        <v>643</v>
      </c>
    </row>
    <row r="3718" spans="2:3" x14ac:dyDescent="0.35">
      <c r="B3718" t="s">
        <v>676</v>
      </c>
      <c r="C3718" t="s">
        <v>677</v>
      </c>
    </row>
    <row r="3719" spans="2:3" x14ac:dyDescent="0.35">
      <c r="B3719" t="s">
        <v>557</v>
      </c>
      <c r="C3719" t="s">
        <v>558</v>
      </c>
    </row>
    <row r="3720" spans="2:3" x14ac:dyDescent="0.35">
      <c r="B3720" t="s">
        <v>455</v>
      </c>
      <c r="C3720" t="s">
        <v>456</v>
      </c>
    </row>
    <row r="3721" spans="2:3" x14ac:dyDescent="0.35">
      <c r="B3721" t="s">
        <v>605</v>
      </c>
      <c r="C3721" t="s">
        <v>606</v>
      </c>
    </row>
    <row r="3722" spans="2:3" x14ac:dyDescent="0.35">
      <c r="B3722" t="s">
        <v>662</v>
      </c>
      <c r="C3722" t="s">
        <v>663</v>
      </c>
    </row>
    <row r="3723" spans="2:3" x14ac:dyDescent="0.35">
      <c r="B3723" t="s">
        <v>1195</v>
      </c>
      <c r="C3723" t="s">
        <v>1195</v>
      </c>
    </row>
    <row r="3724" spans="2:3" x14ac:dyDescent="0.35">
      <c r="B3724" t="s">
        <v>638</v>
      </c>
      <c r="C3724" t="s">
        <v>639</v>
      </c>
    </row>
    <row r="3725" spans="2:3" x14ac:dyDescent="0.35">
      <c r="B3725" t="s">
        <v>1195</v>
      </c>
      <c r="C3725" t="s">
        <v>1195</v>
      </c>
    </row>
    <row r="3726" spans="2:3" x14ac:dyDescent="0.35">
      <c r="B3726" t="s">
        <v>485</v>
      </c>
      <c r="C3726" t="s">
        <v>486</v>
      </c>
    </row>
    <row r="3727" spans="2:3" x14ac:dyDescent="0.35">
      <c r="B3727" t="s">
        <v>487</v>
      </c>
      <c r="C3727" t="s">
        <v>488</v>
      </c>
    </row>
    <row r="3728" spans="2:3" x14ac:dyDescent="0.35">
      <c r="B3728" t="s">
        <v>384</v>
      </c>
      <c r="C3728" t="s">
        <v>385</v>
      </c>
    </row>
    <row r="3729" spans="2:3" x14ac:dyDescent="0.35">
      <c r="B3729" t="s">
        <v>416</v>
      </c>
      <c r="C3729" t="s">
        <v>417</v>
      </c>
    </row>
    <row r="3730" spans="2:3" x14ac:dyDescent="0.35">
      <c r="B3730" t="s">
        <v>531</v>
      </c>
      <c r="C3730" t="s">
        <v>532</v>
      </c>
    </row>
    <row r="3731" spans="2:3" x14ac:dyDescent="0.35">
      <c r="B3731" t="s">
        <v>453</v>
      </c>
      <c r="C3731" t="s">
        <v>454</v>
      </c>
    </row>
    <row r="3732" spans="2:3" x14ac:dyDescent="0.35">
      <c r="B3732" t="s">
        <v>787</v>
      </c>
      <c r="C3732" t="s">
        <v>788</v>
      </c>
    </row>
    <row r="3733" spans="2:3" x14ac:dyDescent="0.35">
      <c r="B3733" t="s">
        <v>384</v>
      </c>
      <c r="C3733" t="s">
        <v>385</v>
      </c>
    </row>
    <row r="3734" spans="2:3" x14ac:dyDescent="0.35">
      <c r="B3734" t="s">
        <v>650</v>
      </c>
      <c r="C3734" t="s">
        <v>651</v>
      </c>
    </row>
    <row r="3735" spans="2:3" x14ac:dyDescent="0.35">
      <c r="B3735" t="s">
        <v>202</v>
      </c>
      <c r="C3735" t="s">
        <v>203</v>
      </c>
    </row>
    <row r="3736" spans="2:3" x14ac:dyDescent="0.35">
      <c r="B3736" t="s">
        <v>787</v>
      </c>
      <c r="C3736" t="s">
        <v>788</v>
      </c>
    </row>
    <row r="3737" spans="2:3" x14ac:dyDescent="0.35">
      <c r="B3737" t="s">
        <v>787</v>
      </c>
      <c r="C3737" t="s">
        <v>788</v>
      </c>
    </row>
    <row r="3738" spans="2:3" x14ac:dyDescent="0.35">
      <c r="B3738" t="s">
        <v>601</v>
      </c>
      <c r="C3738" t="s">
        <v>602</v>
      </c>
    </row>
    <row r="3739" spans="2:3" x14ac:dyDescent="0.35">
      <c r="B3739" t="s">
        <v>787</v>
      </c>
      <c r="C3739" t="s">
        <v>788</v>
      </c>
    </row>
    <row r="3740" spans="2:3" x14ac:dyDescent="0.35">
      <c r="B3740" t="s">
        <v>577</v>
      </c>
      <c r="C3740" t="s">
        <v>578</v>
      </c>
    </row>
    <row r="3741" spans="2:3" x14ac:dyDescent="0.35">
      <c r="B3741" t="s">
        <v>212</v>
      </c>
      <c r="C3741" t="s">
        <v>213</v>
      </c>
    </row>
    <row r="3742" spans="2:3" x14ac:dyDescent="0.35">
      <c r="B3742" t="s">
        <v>1195</v>
      </c>
      <c r="C3742" t="s">
        <v>1195</v>
      </c>
    </row>
    <row r="3743" spans="2:3" x14ac:dyDescent="0.35">
      <c r="B3743" t="s">
        <v>1195</v>
      </c>
      <c r="C3743" t="s">
        <v>1195</v>
      </c>
    </row>
    <row r="3744" spans="2:3" x14ac:dyDescent="0.35">
      <c r="B3744" t="s">
        <v>612</v>
      </c>
      <c r="C3744" t="s">
        <v>613</v>
      </c>
    </row>
    <row r="3745" spans="2:3" x14ac:dyDescent="0.35">
      <c r="B3745" t="s">
        <v>577</v>
      </c>
      <c r="C3745" t="s">
        <v>578</v>
      </c>
    </row>
    <row r="3746" spans="2:3" x14ac:dyDescent="0.35">
      <c r="B3746" t="s">
        <v>593</v>
      </c>
      <c r="C3746" t="s">
        <v>594</v>
      </c>
    </row>
    <row r="3747" spans="2:3" x14ac:dyDescent="0.35">
      <c r="B3747" t="s">
        <v>787</v>
      </c>
      <c r="C3747" t="s">
        <v>788</v>
      </c>
    </row>
    <row r="3748" spans="2:3" x14ac:dyDescent="0.35">
      <c r="B3748" t="s">
        <v>961</v>
      </c>
      <c r="C3748" t="s">
        <v>962</v>
      </c>
    </row>
    <row r="3749" spans="2:3" x14ac:dyDescent="0.35">
      <c r="B3749" t="s">
        <v>393</v>
      </c>
      <c r="C3749" t="s">
        <v>394</v>
      </c>
    </row>
    <row r="3750" spans="2:3" x14ac:dyDescent="0.35">
      <c r="B3750" t="s">
        <v>122</v>
      </c>
      <c r="C3750" t="s">
        <v>123</v>
      </c>
    </row>
    <row r="3751" spans="2:3" x14ac:dyDescent="0.35">
      <c r="B3751" t="s">
        <v>963</v>
      </c>
      <c r="C3751" t="s">
        <v>964</v>
      </c>
    </row>
    <row r="3752" spans="2:3" x14ac:dyDescent="0.35">
      <c r="B3752" t="s">
        <v>958</v>
      </c>
      <c r="C3752" t="s">
        <v>959</v>
      </c>
    </row>
    <row r="3753" spans="2:3" x14ac:dyDescent="0.35">
      <c r="B3753" t="s">
        <v>509</v>
      </c>
      <c r="C3753" t="s">
        <v>510</v>
      </c>
    </row>
    <row r="3754" spans="2:3" x14ac:dyDescent="0.35">
      <c r="B3754" t="s">
        <v>787</v>
      </c>
      <c r="C3754" t="s">
        <v>788</v>
      </c>
    </row>
    <row r="3755" spans="2:3" x14ac:dyDescent="0.35">
      <c r="B3755" t="s">
        <v>46</v>
      </c>
      <c r="C3755" t="s">
        <v>47</v>
      </c>
    </row>
    <row r="3756" spans="2:3" x14ac:dyDescent="0.35">
      <c r="B3756" t="s">
        <v>559</v>
      </c>
      <c r="C3756" t="s">
        <v>560</v>
      </c>
    </row>
    <row r="3757" spans="2:3" x14ac:dyDescent="0.35">
      <c r="B3757" t="s">
        <v>254</v>
      </c>
      <c r="C3757" t="s">
        <v>255</v>
      </c>
    </row>
    <row r="3758" spans="2:3" x14ac:dyDescent="0.35">
      <c r="B3758" t="s">
        <v>787</v>
      </c>
      <c r="C3758" t="s">
        <v>788</v>
      </c>
    </row>
    <row r="3759" spans="2:3" x14ac:dyDescent="0.35">
      <c r="B3759" t="s">
        <v>537</v>
      </c>
      <c r="C3759" t="s">
        <v>538</v>
      </c>
    </row>
    <row r="3760" spans="2:3" x14ac:dyDescent="0.35">
      <c r="B3760" t="s">
        <v>202</v>
      </c>
      <c r="C3760" t="s">
        <v>203</v>
      </c>
    </row>
    <row r="3761" spans="2:3" x14ac:dyDescent="0.35">
      <c r="B3761" t="s">
        <v>453</v>
      </c>
      <c r="C3761" t="s">
        <v>454</v>
      </c>
    </row>
    <row r="3762" spans="2:3" x14ac:dyDescent="0.35">
      <c r="B3762" t="s">
        <v>787</v>
      </c>
      <c r="C3762" t="s">
        <v>788</v>
      </c>
    </row>
    <row r="3763" spans="2:3" x14ac:dyDescent="0.35">
      <c r="B3763" t="s">
        <v>412</v>
      </c>
      <c r="C3763" t="s">
        <v>413</v>
      </c>
    </row>
    <row r="3764" spans="2:3" x14ac:dyDescent="0.35">
      <c r="B3764" t="s">
        <v>632</v>
      </c>
      <c r="C3764" t="s">
        <v>633</v>
      </c>
    </row>
    <row r="3765" spans="2:3" x14ac:dyDescent="0.35">
      <c r="B3765" t="s">
        <v>664</v>
      </c>
      <c r="C3765" t="s">
        <v>665</v>
      </c>
    </row>
    <row r="3766" spans="2:3" x14ac:dyDescent="0.35">
      <c r="B3766" t="s">
        <v>376</v>
      </c>
      <c r="C3766" t="s">
        <v>377</v>
      </c>
    </row>
    <row r="3767" spans="2:3" x14ac:dyDescent="0.35">
      <c r="B3767" t="s">
        <v>430</v>
      </c>
      <c r="C3767" t="s">
        <v>431</v>
      </c>
    </row>
    <row r="3768" spans="2:3" x14ac:dyDescent="0.35">
      <c r="B3768" t="s">
        <v>648</v>
      </c>
      <c r="C3768" t="s">
        <v>649</v>
      </c>
    </row>
    <row r="3769" spans="2:3" x14ac:dyDescent="0.35">
      <c r="B3769" t="s">
        <v>855</v>
      </c>
      <c r="C3769" t="s">
        <v>856</v>
      </c>
    </row>
    <row r="3770" spans="2:3" x14ac:dyDescent="0.35">
      <c r="B3770" t="s">
        <v>479</v>
      </c>
      <c r="C3770" t="s">
        <v>480</v>
      </c>
    </row>
    <row r="3771" spans="2:3" x14ac:dyDescent="0.35">
      <c r="B3771" t="s">
        <v>638</v>
      </c>
      <c r="C3771" t="s">
        <v>639</v>
      </c>
    </row>
    <row r="3772" spans="2:3" x14ac:dyDescent="0.35">
      <c r="B3772" t="s">
        <v>232</v>
      </c>
      <c r="C3772" t="s">
        <v>233</v>
      </c>
    </row>
    <row r="3773" spans="2:3" x14ac:dyDescent="0.35">
      <c r="B3773" t="s">
        <v>84</v>
      </c>
      <c r="C3773" t="s">
        <v>85</v>
      </c>
    </row>
    <row r="3774" spans="2:3" x14ac:dyDescent="0.35">
      <c r="B3774" t="s">
        <v>1061</v>
      </c>
      <c r="C3774" t="s">
        <v>1062</v>
      </c>
    </row>
    <row r="3775" spans="2:3" x14ac:dyDescent="0.35">
      <c r="B3775" t="s">
        <v>787</v>
      </c>
      <c r="C3775" t="s">
        <v>788</v>
      </c>
    </row>
    <row r="3776" spans="2:3" x14ac:dyDescent="0.35">
      <c r="B3776" t="s">
        <v>465</v>
      </c>
      <c r="C3776" t="s">
        <v>466</v>
      </c>
    </row>
    <row r="3777" spans="2:3" x14ac:dyDescent="0.35">
      <c r="B3777" t="s">
        <v>700</v>
      </c>
      <c r="C3777" t="s">
        <v>701</v>
      </c>
    </row>
    <row r="3778" spans="2:3" x14ac:dyDescent="0.35">
      <c r="B3778" t="s">
        <v>787</v>
      </c>
      <c r="C3778" t="s">
        <v>788</v>
      </c>
    </row>
    <row r="3779" spans="2:3" x14ac:dyDescent="0.35">
      <c r="B3779" t="s">
        <v>703</v>
      </c>
      <c r="C3779" t="s">
        <v>704</v>
      </c>
    </row>
    <row r="3780" spans="2:3" x14ac:dyDescent="0.35">
      <c r="B3780" t="s">
        <v>1195</v>
      </c>
      <c r="C3780" t="s">
        <v>1195</v>
      </c>
    </row>
    <row r="3781" spans="2:3" x14ac:dyDescent="0.35">
      <c r="B3781" t="s">
        <v>787</v>
      </c>
      <c r="C3781" t="s">
        <v>788</v>
      </c>
    </row>
    <row r="3782" spans="2:3" x14ac:dyDescent="0.35">
      <c r="B3782" t="s">
        <v>120</v>
      </c>
      <c r="C3782" t="s">
        <v>121</v>
      </c>
    </row>
    <row r="3783" spans="2:3" x14ac:dyDescent="0.35">
      <c r="B3783" t="s">
        <v>84</v>
      </c>
      <c r="C3783" t="s">
        <v>85</v>
      </c>
    </row>
    <row r="3784" spans="2:3" x14ac:dyDescent="0.35">
      <c r="B3784" t="s">
        <v>322</v>
      </c>
      <c r="C3784" t="s">
        <v>323</v>
      </c>
    </row>
    <row r="3785" spans="2:3" x14ac:dyDescent="0.35">
      <c r="B3785" t="s">
        <v>90</v>
      </c>
      <c r="C3785" t="s">
        <v>91</v>
      </c>
    </row>
    <row r="3786" spans="2:3" x14ac:dyDescent="0.35">
      <c r="B3786" t="s">
        <v>232</v>
      </c>
      <c r="C3786" t="s">
        <v>233</v>
      </c>
    </row>
    <row r="3787" spans="2:3" x14ac:dyDescent="0.35">
      <c r="B3787" t="s">
        <v>963</v>
      </c>
      <c r="C3787" t="s">
        <v>964</v>
      </c>
    </row>
    <row r="3788" spans="2:3" x14ac:dyDescent="0.35">
      <c r="B3788" t="s">
        <v>618</v>
      </c>
      <c r="C3788" t="s">
        <v>619</v>
      </c>
    </row>
    <row r="3789" spans="2:3" x14ac:dyDescent="0.35">
      <c r="B3789" t="s">
        <v>285</v>
      </c>
      <c r="C3789" t="s">
        <v>286</v>
      </c>
    </row>
    <row r="3790" spans="2:3" x14ac:dyDescent="0.35">
      <c r="B3790" t="s">
        <v>787</v>
      </c>
      <c r="C3790" t="s">
        <v>788</v>
      </c>
    </row>
    <row r="3791" spans="2:3" x14ac:dyDescent="0.35">
      <c r="B3791" t="s">
        <v>260</v>
      </c>
      <c r="C3791" t="s">
        <v>261</v>
      </c>
    </row>
    <row r="3792" spans="2:3" x14ac:dyDescent="0.35">
      <c r="B3792" t="s">
        <v>84</v>
      </c>
      <c r="C3792" t="s">
        <v>85</v>
      </c>
    </row>
    <row r="3793" spans="2:3" x14ac:dyDescent="0.35">
      <c r="B3793" t="s">
        <v>105</v>
      </c>
      <c r="C3793" t="s">
        <v>106</v>
      </c>
    </row>
    <row r="3794" spans="2:3" x14ac:dyDescent="0.35">
      <c r="B3794" t="s">
        <v>599</v>
      </c>
      <c r="C3794" t="s">
        <v>600</v>
      </c>
    </row>
    <row r="3795" spans="2:3" x14ac:dyDescent="0.35">
      <c r="B3795" t="s">
        <v>961</v>
      </c>
      <c r="C3795" t="s">
        <v>962</v>
      </c>
    </row>
    <row r="3796" spans="2:3" x14ac:dyDescent="0.35">
      <c r="B3796" t="s">
        <v>640</v>
      </c>
      <c r="C3796" t="s">
        <v>641</v>
      </c>
    </row>
    <row r="3797" spans="2:3" x14ac:dyDescent="0.35">
      <c r="B3797" t="s">
        <v>787</v>
      </c>
      <c r="C3797" t="s">
        <v>788</v>
      </c>
    </row>
    <row r="3798" spans="2:3" x14ac:dyDescent="0.35">
      <c r="B3798" t="s">
        <v>178</v>
      </c>
      <c r="C3798" t="s">
        <v>179</v>
      </c>
    </row>
    <row r="3799" spans="2:3" x14ac:dyDescent="0.35">
      <c r="B3799" t="s">
        <v>412</v>
      </c>
      <c r="C3799" t="s">
        <v>413</v>
      </c>
    </row>
    <row r="3800" spans="2:3" x14ac:dyDescent="0.35">
      <c r="B3800" t="s">
        <v>804</v>
      </c>
      <c r="C3800" t="s">
        <v>805</v>
      </c>
    </row>
    <row r="3801" spans="2:3" x14ac:dyDescent="0.35">
      <c r="B3801" t="s">
        <v>787</v>
      </c>
      <c r="C3801" t="s">
        <v>788</v>
      </c>
    </row>
    <row r="3802" spans="2:3" x14ac:dyDescent="0.35">
      <c r="B3802" t="s">
        <v>559</v>
      </c>
      <c r="C3802" t="s">
        <v>560</v>
      </c>
    </row>
    <row r="3803" spans="2:3" x14ac:dyDescent="0.35">
      <c r="B3803" t="s">
        <v>787</v>
      </c>
      <c r="C3803" t="s">
        <v>788</v>
      </c>
    </row>
    <row r="3804" spans="2:3" x14ac:dyDescent="0.35">
      <c r="B3804" t="s">
        <v>475</v>
      </c>
      <c r="C3804" t="s">
        <v>476</v>
      </c>
    </row>
    <row r="3805" spans="2:3" x14ac:dyDescent="0.35">
      <c r="B3805" t="s">
        <v>254</v>
      </c>
      <c r="C3805" t="s">
        <v>255</v>
      </c>
    </row>
    <row r="3806" spans="2:3" x14ac:dyDescent="0.35">
      <c r="B3806" t="s">
        <v>694</v>
      </c>
      <c r="C3806" t="s">
        <v>695</v>
      </c>
    </row>
    <row r="3807" spans="2:3" x14ac:dyDescent="0.35">
      <c r="B3807" t="s">
        <v>700</v>
      </c>
      <c r="C3807" t="s">
        <v>701</v>
      </c>
    </row>
    <row r="3808" spans="2:3" x14ac:dyDescent="0.35">
      <c r="B3808" t="s">
        <v>285</v>
      </c>
      <c r="C3808" t="s">
        <v>286</v>
      </c>
    </row>
    <row r="3809" spans="2:3" x14ac:dyDescent="0.35">
      <c r="B3809" t="s">
        <v>46</v>
      </c>
      <c r="C3809" t="s">
        <v>47</v>
      </c>
    </row>
    <row r="3810" spans="2:3" x14ac:dyDescent="0.35">
      <c r="B3810" t="s">
        <v>163</v>
      </c>
      <c r="C3810" t="s">
        <v>164</v>
      </c>
    </row>
    <row r="3811" spans="2:3" x14ac:dyDescent="0.35">
      <c r="B3811" t="s">
        <v>378</v>
      </c>
      <c r="C3811" t="s">
        <v>379</v>
      </c>
    </row>
    <row r="3812" spans="2:3" x14ac:dyDescent="0.35">
      <c r="B3812" t="s">
        <v>618</v>
      </c>
      <c r="C3812" t="s">
        <v>619</v>
      </c>
    </row>
    <row r="3813" spans="2:3" x14ac:dyDescent="0.35">
      <c r="B3813" t="s">
        <v>553</v>
      </c>
      <c r="C3813" t="s">
        <v>554</v>
      </c>
    </row>
    <row r="3814" spans="2:3" x14ac:dyDescent="0.35">
      <c r="B3814" t="s">
        <v>202</v>
      </c>
      <c r="C3814" t="s">
        <v>203</v>
      </c>
    </row>
    <row r="3815" spans="2:3" x14ac:dyDescent="0.35">
      <c r="B3815" t="s">
        <v>787</v>
      </c>
      <c r="C3815" t="s">
        <v>788</v>
      </c>
    </row>
    <row r="3816" spans="2:3" x14ac:dyDescent="0.35">
      <c r="B3816" t="s">
        <v>787</v>
      </c>
      <c r="C3816" t="s">
        <v>788</v>
      </c>
    </row>
    <row r="3817" spans="2:3" x14ac:dyDescent="0.35">
      <c r="B3817" t="s">
        <v>557</v>
      </c>
      <c r="C3817" t="s">
        <v>558</v>
      </c>
    </row>
    <row r="3818" spans="2:3" x14ac:dyDescent="0.35">
      <c r="B3818" t="s">
        <v>428</v>
      </c>
      <c r="C3818" t="s">
        <v>429</v>
      </c>
    </row>
    <row r="3819" spans="2:3" x14ac:dyDescent="0.35">
      <c r="B3819" t="s">
        <v>589</v>
      </c>
      <c r="C3819" t="s">
        <v>590</v>
      </c>
    </row>
    <row r="3820" spans="2:3" x14ac:dyDescent="0.35">
      <c r="B3820" t="s">
        <v>485</v>
      </c>
      <c r="C3820" t="s">
        <v>486</v>
      </c>
    </row>
    <row r="3821" spans="2:3" x14ac:dyDescent="0.35">
      <c r="B3821" t="s">
        <v>874</v>
      </c>
      <c r="C3821" t="s">
        <v>875</v>
      </c>
    </row>
    <row r="3822" spans="2:3" x14ac:dyDescent="0.35">
      <c r="B3822" t="s">
        <v>107</v>
      </c>
      <c r="C3822" t="s">
        <v>108</v>
      </c>
    </row>
    <row r="3823" spans="2:3" x14ac:dyDescent="0.35">
      <c r="B3823" t="s">
        <v>252</v>
      </c>
      <c r="C3823" t="s">
        <v>253</v>
      </c>
    </row>
    <row r="3824" spans="2:3" x14ac:dyDescent="0.35">
      <c r="B3824" t="s">
        <v>787</v>
      </c>
      <c r="C3824" t="s">
        <v>788</v>
      </c>
    </row>
    <row r="3825" spans="2:3" x14ac:dyDescent="0.35">
      <c r="B3825" t="s">
        <v>787</v>
      </c>
      <c r="C3825" t="s">
        <v>788</v>
      </c>
    </row>
    <row r="3826" spans="2:3" x14ac:dyDescent="0.35">
      <c r="B3826" t="s">
        <v>787</v>
      </c>
      <c r="C3826" t="s">
        <v>788</v>
      </c>
    </row>
    <row r="3827" spans="2:3" x14ac:dyDescent="0.35">
      <c r="B3827" t="s">
        <v>128</v>
      </c>
      <c r="C3827" t="s">
        <v>129</v>
      </c>
    </row>
    <row r="3828" spans="2:3" x14ac:dyDescent="0.35">
      <c r="B3828" t="s">
        <v>787</v>
      </c>
      <c r="C3828" t="s">
        <v>788</v>
      </c>
    </row>
    <row r="3829" spans="2:3" x14ac:dyDescent="0.35">
      <c r="B3829" t="s">
        <v>537</v>
      </c>
      <c r="C3829" t="s">
        <v>538</v>
      </c>
    </row>
    <row r="3830" spans="2:3" x14ac:dyDescent="0.35">
      <c r="B3830" t="s">
        <v>1195</v>
      </c>
      <c r="C3830" t="s">
        <v>1195</v>
      </c>
    </row>
    <row r="3831" spans="2:3" x14ac:dyDescent="0.35">
      <c r="B3831" t="s">
        <v>703</v>
      </c>
      <c r="C3831" t="s">
        <v>704</v>
      </c>
    </row>
    <row r="3832" spans="2:3" x14ac:dyDescent="0.35">
      <c r="B3832" t="s">
        <v>539</v>
      </c>
      <c r="C3832" t="s">
        <v>540</v>
      </c>
    </row>
    <row r="3833" spans="2:3" x14ac:dyDescent="0.35">
      <c r="B3833" t="s">
        <v>103</v>
      </c>
      <c r="C3833" t="s">
        <v>104</v>
      </c>
    </row>
    <row r="3834" spans="2:3" x14ac:dyDescent="0.35">
      <c r="B3834" t="s">
        <v>700</v>
      </c>
      <c r="C3834" t="s">
        <v>701</v>
      </c>
    </row>
    <row r="3835" spans="2:3" x14ac:dyDescent="0.35">
      <c r="B3835" t="s">
        <v>638</v>
      </c>
      <c r="C3835" t="s">
        <v>639</v>
      </c>
    </row>
    <row r="3836" spans="2:3" x14ac:dyDescent="0.35">
      <c r="B3836" t="s">
        <v>787</v>
      </c>
      <c r="C3836" t="s">
        <v>788</v>
      </c>
    </row>
    <row r="3837" spans="2:3" x14ac:dyDescent="0.35">
      <c r="B3837" t="s">
        <v>787</v>
      </c>
      <c r="C3837" t="s">
        <v>788</v>
      </c>
    </row>
    <row r="3838" spans="2:3" x14ac:dyDescent="0.35">
      <c r="B3838" t="s">
        <v>346</v>
      </c>
      <c r="C3838" t="s">
        <v>347</v>
      </c>
    </row>
    <row r="3839" spans="2:3" x14ac:dyDescent="0.35">
      <c r="B3839" t="s">
        <v>465</v>
      </c>
      <c r="C3839" t="s">
        <v>466</v>
      </c>
    </row>
    <row r="3840" spans="2:3" x14ac:dyDescent="0.35">
      <c r="B3840" t="s">
        <v>700</v>
      </c>
      <c r="C3840" t="s">
        <v>701</v>
      </c>
    </row>
    <row r="3841" spans="2:3" x14ac:dyDescent="0.35">
      <c r="B3841" t="s">
        <v>656</v>
      </c>
      <c r="C3841" t="s">
        <v>657</v>
      </c>
    </row>
    <row r="3842" spans="2:3" x14ac:dyDescent="0.35">
      <c r="B3842" t="s">
        <v>485</v>
      </c>
      <c r="C3842" t="s">
        <v>486</v>
      </c>
    </row>
    <row r="3843" spans="2:3" x14ac:dyDescent="0.35">
      <c r="B3843" t="s">
        <v>1195</v>
      </c>
      <c r="C3843" t="s">
        <v>1195</v>
      </c>
    </row>
    <row r="3844" spans="2:3" x14ac:dyDescent="0.35">
      <c r="B3844" t="s">
        <v>610</v>
      </c>
      <c r="C3844" t="s">
        <v>611</v>
      </c>
    </row>
    <row r="3845" spans="2:3" x14ac:dyDescent="0.35">
      <c r="B3845" t="s">
        <v>575</v>
      </c>
      <c r="C3845" t="s">
        <v>576</v>
      </c>
    </row>
    <row r="3846" spans="2:3" x14ac:dyDescent="0.35">
      <c r="B3846" t="s">
        <v>642</v>
      </c>
      <c r="C3846" t="s">
        <v>643</v>
      </c>
    </row>
    <row r="3847" spans="2:3" x14ac:dyDescent="0.35">
      <c r="B3847" t="s">
        <v>700</v>
      </c>
      <c r="C3847" t="s">
        <v>701</v>
      </c>
    </row>
    <row r="3848" spans="2:3" x14ac:dyDescent="0.35">
      <c r="B3848" t="s">
        <v>82</v>
      </c>
      <c r="C3848" t="s">
        <v>83</v>
      </c>
    </row>
    <row r="3849" spans="2:3" x14ac:dyDescent="0.35">
      <c r="B3849" t="s">
        <v>84</v>
      </c>
      <c r="C3849" t="s">
        <v>85</v>
      </c>
    </row>
    <row r="3850" spans="2:3" x14ac:dyDescent="0.35">
      <c r="B3850" t="s">
        <v>703</v>
      </c>
      <c r="C3850" t="s">
        <v>704</v>
      </c>
    </row>
    <row r="3851" spans="2:3" x14ac:dyDescent="0.35">
      <c r="B3851" t="s">
        <v>378</v>
      </c>
      <c r="C3851" t="s">
        <v>379</v>
      </c>
    </row>
    <row r="3852" spans="2:3" x14ac:dyDescent="0.35">
      <c r="B3852" t="s">
        <v>378</v>
      </c>
      <c r="C3852" t="s">
        <v>379</v>
      </c>
    </row>
    <row r="3853" spans="2:3" x14ac:dyDescent="0.35">
      <c r="B3853" t="s">
        <v>1061</v>
      </c>
      <c r="C3853" t="s">
        <v>1062</v>
      </c>
    </row>
    <row r="3854" spans="2:3" x14ac:dyDescent="0.35">
      <c r="B3854" t="s">
        <v>465</v>
      </c>
      <c r="C3854" t="s">
        <v>466</v>
      </c>
    </row>
    <row r="3855" spans="2:3" x14ac:dyDescent="0.35">
      <c r="B3855" t="s">
        <v>589</v>
      </c>
      <c r="C3855" t="s">
        <v>590</v>
      </c>
    </row>
    <row r="3856" spans="2:3" x14ac:dyDescent="0.35">
      <c r="B3856" t="s">
        <v>787</v>
      </c>
      <c r="C3856" t="s">
        <v>788</v>
      </c>
    </row>
    <row r="3857" spans="2:3" x14ac:dyDescent="0.35">
      <c r="B3857" t="s">
        <v>1195</v>
      </c>
      <c r="C3857" t="s">
        <v>1195</v>
      </c>
    </row>
    <row r="3858" spans="2:3" x14ac:dyDescent="0.35">
      <c r="B3858" t="s">
        <v>607</v>
      </c>
      <c r="C3858" t="s">
        <v>608</v>
      </c>
    </row>
    <row r="3859" spans="2:3" x14ac:dyDescent="0.35">
      <c r="B3859" t="s">
        <v>485</v>
      </c>
      <c r="C3859" t="s">
        <v>486</v>
      </c>
    </row>
    <row r="3860" spans="2:3" x14ac:dyDescent="0.35">
      <c r="B3860" t="s">
        <v>787</v>
      </c>
      <c r="C3860" t="s">
        <v>788</v>
      </c>
    </row>
    <row r="3861" spans="2:3" x14ac:dyDescent="0.35">
      <c r="B3861" t="s">
        <v>202</v>
      </c>
      <c r="C3861" t="s">
        <v>203</v>
      </c>
    </row>
    <row r="3862" spans="2:3" x14ac:dyDescent="0.35">
      <c r="B3862" t="s">
        <v>531</v>
      </c>
      <c r="C3862" t="s">
        <v>532</v>
      </c>
    </row>
    <row r="3863" spans="2:3" x14ac:dyDescent="0.35">
      <c r="B3863" t="s">
        <v>105</v>
      </c>
      <c r="C3863" t="s">
        <v>106</v>
      </c>
    </row>
    <row r="3864" spans="2:3" x14ac:dyDescent="0.35">
      <c r="B3864" t="s">
        <v>787</v>
      </c>
      <c r="C3864" t="s">
        <v>788</v>
      </c>
    </row>
    <row r="3865" spans="2:3" x14ac:dyDescent="0.35">
      <c r="B3865" t="s">
        <v>90</v>
      </c>
      <c r="C3865" t="s">
        <v>91</v>
      </c>
    </row>
    <row r="3866" spans="2:3" x14ac:dyDescent="0.35">
      <c r="B3866" t="s">
        <v>640</v>
      </c>
      <c r="C3866" t="s">
        <v>641</v>
      </c>
    </row>
    <row r="3867" spans="2:3" x14ac:dyDescent="0.35">
      <c r="B3867" t="s">
        <v>787</v>
      </c>
      <c r="C3867" t="s">
        <v>788</v>
      </c>
    </row>
    <row r="3868" spans="2:3" x14ac:dyDescent="0.35">
      <c r="B3868" t="s">
        <v>787</v>
      </c>
      <c r="C3868" t="s">
        <v>788</v>
      </c>
    </row>
    <row r="3869" spans="2:3" x14ac:dyDescent="0.35">
      <c r="B3869" t="s">
        <v>1061</v>
      </c>
      <c r="C3869" t="s">
        <v>1062</v>
      </c>
    </row>
    <row r="3870" spans="2:3" x14ac:dyDescent="0.35">
      <c r="B3870" t="s">
        <v>616</v>
      </c>
      <c r="C3870" t="s">
        <v>617</v>
      </c>
    </row>
    <row r="3871" spans="2:3" x14ac:dyDescent="0.35">
      <c r="B3871" t="s">
        <v>787</v>
      </c>
      <c r="C3871" t="s">
        <v>788</v>
      </c>
    </row>
    <row r="3872" spans="2:3" x14ac:dyDescent="0.35">
      <c r="B3872" t="s">
        <v>485</v>
      </c>
      <c r="C3872" t="s">
        <v>486</v>
      </c>
    </row>
    <row r="3873" spans="2:3" x14ac:dyDescent="0.35">
      <c r="B3873" t="s">
        <v>465</v>
      </c>
      <c r="C3873" t="s">
        <v>466</v>
      </c>
    </row>
    <row r="3874" spans="2:3" x14ac:dyDescent="0.35">
      <c r="B3874" t="s">
        <v>208</v>
      </c>
      <c r="C3874" t="s">
        <v>209</v>
      </c>
    </row>
    <row r="3875" spans="2:3" x14ac:dyDescent="0.35">
      <c r="B3875" t="s">
        <v>787</v>
      </c>
      <c r="C3875" t="s">
        <v>788</v>
      </c>
    </row>
    <row r="3876" spans="2:3" x14ac:dyDescent="0.35">
      <c r="B3876" t="s">
        <v>90</v>
      </c>
      <c r="C3876" t="s">
        <v>91</v>
      </c>
    </row>
    <row r="3877" spans="2:3" x14ac:dyDescent="0.35">
      <c r="B3877" t="s">
        <v>700</v>
      </c>
      <c r="C3877" t="s">
        <v>701</v>
      </c>
    </row>
    <row r="3878" spans="2:3" x14ac:dyDescent="0.35">
      <c r="B3878" t="s">
        <v>219</v>
      </c>
      <c r="C3878" t="s">
        <v>220</v>
      </c>
    </row>
    <row r="3879" spans="2:3" x14ac:dyDescent="0.35">
      <c r="B3879" t="s">
        <v>787</v>
      </c>
      <c r="C3879" t="s">
        <v>788</v>
      </c>
    </row>
    <row r="3880" spans="2:3" x14ac:dyDescent="0.35">
      <c r="B3880" t="s">
        <v>787</v>
      </c>
      <c r="C3880" t="s">
        <v>788</v>
      </c>
    </row>
    <row r="3881" spans="2:3" x14ac:dyDescent="0.35">
      <c r="B3881" t="s">
        <v>804</v>
      </c>
      <c r="C3881" t="s">
        <v>805</v>
      </c>
    </row>
    <row r="3882" spans="2:3" x14ac:dyDescent="0.35">
      <c r="B3882" t="s">
        <v>346</v>
      </c>
      <c r="C3882" t="s">
        <v>347</v>
      </c>
    </row>
    <row r="3883" spans="2:3" x14ac:dyDescent="0.35">
      <c r="B3883" t="s">
        <v>1079</v>
      </c>
      <c r="C3883" t="s">
        <v>1080</v>
      </c>
    </row>
    <row r="3884" spans="2:3" x14ac:dyDescent="0.35">
      <c r="B3884" t="s">
        <v>465</v>
      </c>
      <c r="C3884" t="s">
        <v>466</v>
      </c>
    </row>
    <row r="3885" spans="2:3" x14ac:dyDescent="0.35">
      <c r="B3885" t="s">
        <v>1195</v>
      </c>
      <c r="C3885" t="s">
        <v>1195</v>
      </c>
    </row>
    <row r="3886" spans="2:3" x14ac:dyDescent="0.35">
      <c r="B3886" t="s">
        <v>662</v>
      </c>
      <c r="C3886" t="s">
        <v>663</v>
      </c>
    </row>
    <row r="3887" spans="2:3" x14ac:dyDescent="0.35">
      <c r="B3887" t="s">
        <v>527</v>
      </c>
      <c r="C3887" t="s">
        <v>528</v>
      </c>
    </row>
    <row r="3888" spans="2:3" x14ac:dyDescent="0.35">
      <c r="B3888" t="s">
        <v>694</v>
      </c>
      <c r="C3888" t="s">
        <v>695</v>
      </c>
    </row>
    <row r="3889" spans="2:3" x14ac:dyDescent="0.35">
      <c r="B3889" t="s">
        <v>703</v>
      </c>
      <c r="C3889" t="s">
        <v>704</v>
      </c>
    </row>
    <row r="3890" spans="2:3" x14ac:dyDescent="0.35">
      <c r="B3890" t="s">
        <v>537</v>
      </c>
      <c r="C3890" t="s">
        <v>538</v>
      </c>
    </row>
    <row r="3891" spans="2:3" x14ac:dyDescent="0.35">
      <c r="B3891" t="s">
        <v>297</v>
      </c>
      <c r="C3891" t="s">
        <v>298</v>
      </c>
    </row>
    <row r="3892" spans="2:3" x14ac:dyDescent="0.35">
      <c r="B3892" t="s">
        <v>322</v>
      </c>
      <c r="C3892" t="s">
        <v>323</v>
      </c>
    </row>
    <row r="3893" spans="2:3" x14ac:dyDescent="0.35">
      <c r="B3893" t="s">
        <v>64</v>
      </c>
      <c r="C3893" t="s">
        <v>65</v>
      </c>
    </row>
    <row r="3894" spans="2:3" x14ac:dyDescent="0.35">
      <c r="B3894" t="s">
        <v>1195</v>
      </c>
      <c r="C3894" t="s">
        <v>1195</v>
      </c>
    </row>
    <row r="3895" spans="2:3" x14ac:dyDescent="0.35">
      <c r="B3895" t="s">
        <v>128</v>
      </c>
      <c r="C3895" t="s">
        <v>129</v>
      </c>
    </row>
    <row r="3896" spans="2:3" x14ac:dyDescent="0.35">
      <c r="B3896" t="s">
        <v>787</v>
      </c>
      <c r="C3896" t="s">
        <v>788</v>
      </c>
    </row>
    <row r="3897" spans="2:3" x14ac:dyDescent="0.35">
      <c r="B3897" t="s">
        <v>72</v>
      </c>
      <c r="C3897" t="s">
        <v>73</v>
      </c>
    </row>
    <row r="3898" spans="2:3" x14ac:dyDescent="0.35">
      <c r="B3898" t="s">
        <v>787</v>
      </c>
      <c r="C3898" t="s">
        <v>788</v>
      </c>
    </row>
    <row r="3899" spans="2:3" x14ac:dyDescent="0.35">
      <c r="B3899" t="s">
        <v>787</v>
      </c>
      <c r="C3899" t="s">
        <v>788</v>
      </c>
    </row>
    <row r="3900" spans="2:3" x14ac:dyDescent="0.35">
      <c r="B3900" t="s">
        <v>787</v>
      </c>
      <c r="C3900" t="s">
        <v>788</v>
      </c>
    </row>
    <row r="3901" spans="2:3" x14ac:dyDescent="0.35">
      <c r="B3901" t="s">
        <v>787</v>
      </c>
      <c r="C3901" t="s">
        <v>788</v>
      </c>
    </row>
    <row r="3902" spans="2:3" x14ac:dyDescent="0.35">
      <c r="B3902" t="s">
        <v>692</v>
      </c>
      <c r="C3902" t="s">
        <v>693</v>
      </c>
    </row>
    <row r="3903" spans="2:3" x14ac:dyDescent="0.35">
      <c r="B3903" t="s">
        <v>410</v>
      </c>
      <c r="C3903" t="s">
        <v>411</v>
      </c>
    </row>
    <row r="3904" spans="2:3" x14ac:dyDescent="0.35">
      <c r="B3904" t="s">
        <v>1061</v>
      </c>
      <c r="C3904" t="s">
        <v>1062</v>
      </c>
    </row>
    <row r="3905" spans="2:3" x14ac:dyDescent="0.35">
      <c r="B3905" t="s">
        <v>700</v>
      </c>
      <c r="C3905" t="s">
        <v>701</v>
      </c>
    </row>
    <row r="3906" spans="2:3" x14ac:dyDescent="0.35">
      <c r="B3906" t="s">
        <v>501</v>
      </c>
      <c r="C3906" t="s">
        <v>502</v>
      </c>
    </row>
    <row r="3907" spans="2:3" x14ac:dyDescent="0.35">
      <c r="B3907" t="s">
        <v>497</v>
      </c>
      <c r="C3907" t="s">
        <v>498</v>
      </c>
    </row>
    <row r="3908" spans="2:3" x14ac:dyDescent="0.35">
      <c r="B3908" t="s">
        <v>870</v>
      </c>
      <c r="C3908" t="s">
        <v>871</v>
      </c>
    </row>
    <row r="3909" spans="2:3" x14ac:dyDescent="0.35">
      <c r="B3909" t="s">
        <v>56</v>
      </c>
      <c r="C3909" t="s">
        <v>57</v>
      </c>
    </row>
    <row r="3910" spans="2:3" x14ac:dyDescent="0.35">
      <c r="B3910" t="s">
        <v>559</v>
      </c>
      <c r="C3910" t="s">
        <v>560</v>
      </c>
    </row>
    <row r="3911" spans="2:3" x14ac:dyDescent="0.35">
      <c r="B3911" t="s">
        <v>874</v>
      </c>
      <c r="C3911" t="s">
        <v>875</v>
      </c>
    </row>
    <row r="3912" spans="2:3" x14ac:dyDescent="0.35">
      <c r="B3912" t="s">
        <v>961</v>
      </c>
      <c r="C3912" t="s">
        <v>962</v>
      </c>
    </row>
    <row r="3913" spans="2:3" x14ac:dyDescent="0.35">
      <c r="B3913" t="s">
        <v>787</v>
      </c>
      <c r="C3913" t="s">
        <v>788</v>
      </c>
    </row>
    <row r="3914" spans="2:3" x14ac:dyDescent="0.35">
      <c r="B3914" t="s">
        <v>787</v>
      </c>
      <c r="C3914" t="s">
        <v>788</v>
      </c>
    </row>
    <row r="3915" spans="2:3" x14ac:dyDescent="0.35">
      <c r="B3915" t="s">
        <v>787</v>
      </c>
      <c r="C3915" t="s">
        <v>788</v>
      </c>
    </row>
    <row r="3916" spans="2:3" x14ac:dyDescent="0.35">
      <c r="B3916" t="s">
        <v>174</v>
      </c>
      <c r="C3916" t="s">
        <v>175</v>
      </c>
    </row>
    <row r="3917" spans="2:3" x14ac:dyDescent="0.35">
      <c r="B3917" t="s">
        <v>457</v>
      </c>
      <c r="C3917" t="s">
        <v>458</v>
      </c>
    </row>
    <row r="3918" spans="2:3" x14ac:dyDescent="0.35">
      <c r="B3918" t="s">
        <v>90</v>
      </c>
      <c r="C3918" t="s">
        <v>91</v>
      </c>
    </row>
    <row r="3919" spans="2:3" x14ac:dyDescent="0.35">
      <c r="B3919" t="s">
        <v>485</v>
      </c>
      <c r="C3919" t="s">
        <v>486</v>
      </c>
    </row>
    <row r="3920" spans="2:3" x14ac:dyDescent="0.35">
      <c r="B3920" t="s">
        <v>656</v>
      </c>
      <c r="C3920" t="s">
        <v>657</v>
      </c>
    </row>
    <row r="3921" spans="2:3" x14ac:dyDescent="0.35">
      <c r="B3921" t="s">
        <v>961</v>
      </c>
      <c r="C3921" t="s">
        <v>962</v>
      </c>
    </row>
    <row r="3922" spans="2:3" x14ac:dyDescent="0.35">
      <c r="B3922" t="s">
        <v>254</v>
      </c>
      <c r="C3922" t="s">
        <v>255</v>
      </c>
    </row>
    <row r="3923" spans="2:3" x14ac:dyDescent="0.35">
      <c r="B3923" t="s">
        <v>539</v>
      </c>
      <c r="C3923" t="s">
        <v>540</v>
      </c>
    </row>
    <row r="3924" spans="2:3" x14ac:dyDescent="0.35">
      <c r="B3924" t="s">
        <v>616</v>
      </c>
      <c r="C3924" t="s">
        <v>617</v>
      </c>
    </row>
    <row r="3925" spans="2:3" x14ac:dyDescent="0.35">
      <c r="B3925" t="s">
        <v>378</v>
      </c>
      <c r="C3925" t="s">
        <v>379</v>
      </c>
    </row>
    <row r="3926" spans="2:3" x14ac:dyDescent="0.35">
      <c r="B3926" t="s">
        <v>787</v>
      </c>
      <c r="C3926" t="s">
        <v>788</v>
      </c>
    </row>
    <row r="3927" spans="2:3" x14ac:dyDescent="0.35">
      <c r="B3927" t="s">
        <v>571</v>
      </c>
      <c r="C3927" t="s">
        <v>572</v>
      </c>
    </row>
    <row r="3928" spans="2:3" x14ac:dyDescent="0.35">
      <c r="B3928" t="s">
        <v>465</v>
      </c>
      <c r="C3928" t="s">
        <v>466</v>
      </c>
    </row>
    <row r="3929" spans="2:3" x14ac:dyDescent="0.35">
      <c r="B3929" t="s">
        <v>503</v>
      </c>
      <c r="C3929" t="s">
        <v>504</v>
      </c>
    </row>
    <row r="3930" spans="2:3" x14ac:dyDescent="0.35">
      <c r="B3930" t="s">
        <v>700</v>
      </c>
      <c r="C3930" t="s">
        <v>701</v>
      </c>
    </row>
    <row r="3931" spans="2:3" x14ac:dyDescent="0.35">
      <c r="B3931" t="s">
        <v>322</v>
      </c>
      <c r="C3931" t="s">
        <v>323</v>
      </c>
    </row>
    <row r="3932" spans="2:3" x14ac:dyDescent="0.35">
      <c r="B3932" t="s">
        <v>787</v>
      </c>
      <c r="C3932" t="s">
        <v>788</v>
      </c>
    </row>
    <row r="3933" spans="2:3" x14ac:dyDescent="0.35">
      <c r="B3933" t="s">
        <v>202</v>
      </c>
      <c r="C3933" t="s">
        <v>203</v>
      </c>
    </row>
    <row r="3934" spans="2:3" x14ac:dyDescent="0.35">
      <c r="B3934" t="s">
        <v>202</v>
      </c>
      <c r="C3934" t="s">
        <v>203</v>
      </c>
    </row>
    <row r="3935" spans="2:3" x14ac:dyDescent="0.35">
      <c r="B3935" t="s">
        <v>344</v>
      </c>
      <c r="C3935" t="s">
        <v>345</v>
      </c>
    </row>
    <row r="3936" spans="2:3" x14ac:dyDescent="0.35">
      <c r="B3936" t="s">
        <v>437</v>
      </c>
      <c r="C3936" t="s">
        <v>438</v>
      </c>
    </row>
    <row r="3937" spans="2:3" x14ac:dyDescent="0.35">
      <c r="B3937" t="s">
        <v>384</v>
      </c>
      <c r="C3937" t="s">
        <v>385</v>
      </c>
    </row>
    <row r="3938" spans="2:3" x14ac:dyDescent="0.35">
      <c r="B3938" t="s">
        <v>787</v>
      </c>
      <c r="C3938" t="s">
        <v>788</v>
      </c>
    </row>
    <row r="3939" spans="2:3" x14ac:dyDescent="0.35">
      <c r="B3939" t="s">
        <v>208</v>
      </c>
      <c r="C3939" t="s">
        <v>209</v>
      </c>
    </row>
    <row r="3940" spans="2:3" x14ac:dyDescent="0.35">
      <c r="B3940" t="s">
        <v>58</v>
      </c>
      <c r="C3940" t="s">
        <v>59</v>
      </c>
    </row>
    <row r="3941" spans="2:3" x14ac:dyDescent="0.35">
      <c r="B3941" t="s">
        <v>1061</v>
      </c>
      <c r="C3941" t="s">
        <v>1062</v>
      </c>
    </row>
    <row r="3942" spans="2:3" x14ac:dyDescent="0.35">
      <c r="B3942" t="s">
        <v>787</v>
      </c>
      <c r="C3942" t="s">
        <v>788</v>
      </c>
    </row>
    <row r="3943" spans="2:3" x14ac:dyDescent="0.35">
      <c r="B3943" t="s">
        <v>963</v>
      </c>
      <c r="C3943" t="s">
        <v>964</v>
      </c>
    </row>
    <row r="3944" spans="2:3" x14ac:dyDescent="0.35">
      <c r="B3944" t="s">
        <v>787</v>
      </c>
      <c r="C3944" t="s">
        <v>788</v>
      </c>
    </row>
    <row r="3945" spans="2:3" x14ac:dyDescent="0.35">
      <c r="B3945" t="s">
        <v>787</v>
      </c>
      <c r="C3945" t="s">
        <v>788</v>
      </c>
    </row>
    <row r="3946" spans="2:3" x14ac:dyDescent="0.35">
      <c r="B3946" t="s">
        <v>664</v>
      </c>
      <c r="C3946" t="s">
        <v>665</v>
      </c>
    </row>
    <row r="3947" spans="2:3" x14ac:dyDescent="0.35">
      <c r="B3947" t="s">
        <v>457</v>
      </c>
      <c r="C3947" t="s">
        <v>458</v>
      </c>
    </row>
    <row r="3948" spans="2:3" x14ac:dyDescent="0.35">
      <c r="B3948" t="s">
        <v>258</v>
      </c>
      <c r="C3948" t="s">
        <v>259</v>
      </c>
    </row>
    <row r="3949" spans="2:3" x14ac:dyDescent="0.35">
      <c r="B3949" t="s">
        <v>487</v>
      </c>
      <c r="C3949" t="s">
        <v>488</v>
      </c>
    </row>
    <row r="3950" spans="2:3" x14ac:dyDescent="0.35">
      <c r="B3950" t="s">
        <v>376</v>
      </c>
      <c r="C3950" t="s">
        <v>377</v>
      </c>
    </row>
    <row r="3951" spans="2:3" x14ac:dyDescent="0.35">
      <c r="B3951" t="s">
        <v>591</v>
      </c>
      <c r="C3951" t="s">
        <v>592</v>
      </c>
    </row>
    <row r="3952" spans="2:3" x14ac:dyDescent="0.35">
      <c r="B3952" t="s">
        <v>549</v>
      </c>
      <c r="C3952" t="s">
        <v>550</v>
      </c>
    </row>
    <row r="3953" spans="2:3" x14ac:dyDescent="0.35">
      <c r="B3953" t="s">
        <v>703</v>
      </c>
      <c r="C3953" t="s">
        <v>704</v>
      </c>
    </row>
    <row r="3954" spans="2:3" x14ac:dyDescent="0.35">
      <c r="B3954" t="s">
        <v>703</v>
      </c>
      <c r="C3954" t="s">
        <v>704</v>
      </c>
    </row>
    <row r="3955" spans="2:3" x14ac:dyDescent="0.35">
      <c r="B3955" t="s">
        <v>614</v>
      </c>
      <c r="C3955" t="s">
        <v>615</v>
      </c>
    </row>
    <row r="3956" spans="2:3" x14ac:dyDescent="0.35">
      <c r="B3956" t="s">
        <v>787</v>
      </c>
      <c r="C3956" t="s">
        <v>788</v>
      </c>
    </row>
    <row r="3957" spans="2:3" x14ac:dyDescent="0.35">
      <c r="B3957" t="s">
        <v>1195</v>
      </c>
      <c r="C3957" t="s">
        <v>1195</v>
      </c>
    </row>
    <row r="3958" spans="2:3" x14ac:dyDescent="0.35">
      <c r="B3958" t="s">
        <v>787</v>
      </c>
      <c r="C3958" t="s">
        <v>788</v>
      </c>
    </row>
    <row r="3959" spans="2:3" x14ac:dyDescent="0.35">
      <c r="B3959" t="s">
        <v>787</v>
      </c>
      <c r="C3959" t="s">
        <v>788</v>
      </c>
    </row>
    <row r="3960" spans="2:3" x14ac:dyDescent="0.35">
      <c r="B3960" t="s">
        <v>787</v>
      </c>
      <c r="C3960" t="s">
        <v>788</v>
      </c>
    </row>
    <row r="3961" spans="2:3" x14ac:dyDescent="0.35">
      <c r="B3961" t="s">
        <v>605</v>
      </c>
      <c r="C3961" t="s">
        <v>606</v>
      </c>
    </row>
    <row r="3962" spans="2:3" x14ac:dyDescent="0.35">
      <c r="B3962" t="s">
        <v>254</v>
      </c>
      <c r="C3962" t="s">
        <v>255</v>
      </c>
    </row>
    <row r="3963" spans="2:3" x14ac:dyDescent="0.35">
      <c r="B3963" t="s">
        <v>787</v>
      </c>
      <c r="C3963" t="s">
        <v>788</v>
      </c>
    </row>
    <row r="3964" spans="2:3" x14ac:dyDescent="0.35">
      <c r="B3964" t="s">
        <v>787</v>
      </c>
      <c r="C3964" t="s">
        <v>788</v>
      </c>
    </row>
    <row r="3965" spans="2:3" x14ac:dyDescent="0.35">
      <c r="B3965" t="s">
        <v>640</v>
      </c>
      <c r="C3965" t="s">
        <v>641</v>
      </c>
    </row>
    <row r="3966" spans="2:3" x14ac:dyDescent="0.35">
      <c r="B3966" t="s">
        <v>350</v>
      </c>
      <c r="C3966" t="s">
        <v>351</v>
      </c>
    </row>
    <row r="3967" spans="2:3" x14ac:dyDescent="0.35">
      <c r="B3967" t="s">
        <v>870</v>
      </c>
      <c r="C3967" t="s">
        <v>871</v>
      </c>
    </row>
    <row r="3968" spans="2:3" x14ac:dyDescent="0.35">
      <c r="B3968" t="s">
        <v>529</v>
      </c>
      <c r="C3968" t="s">
        <v>530</v>
      </c>
    </row>
    <row r="3969" spans="2:3" x14ac:dyDescent="0.35">
      <c r="B3969" t="s">
        <v>543</v>
      </c>
      <c r="C3969" t="s">
        <v>544</v>
      </c>
    </row>
    <row r="3970" spans="2:3" x14ac:dyDescent="0.35">
      <c r="B3970" t="s">
        <v>219</v>
      </c>
      <c r="C3970" t="s">
        <v>220</v>
      </c>
    </row>
    <row r="3971" spans="2:3" x14ac:dyDescent="0.35">
      <c r="B3971" t="s">
        <v>787</v>
      </c>
      <c r="C3971" t="s">
        <v>788</v>
      </c>
    </row>
    <row r="3972" spans="2:3" x14ac:dyDescent="0.35">
      <c r="B3972" t="s">
        <v>787</v>
      </c>
      <c r="C3972" t="s">
        <v>788</v>
      </c>
    </row>
    <row r="3973" spans="2:3" x14ac:dyDescent="0.35">
      <c r="B3973" t="s">
        <v>787</v>
      </c>
      <c r="C3973" t="s">
        <v>788</v>
      </c>
    </row>
    <row r="3974" spans="2:3" x14ac:dyDescent="0.35">
      <c r="B3974" t="s">
        <v>451</v>
      </c>
      <c r="C3974" t="s">
        <v>452</v>
      </c>
    </row>
    <row r="3975" spans="2:3" x14ac:dyDescent="0.35">
      <c r="B3975" t="s">
        <v>252</v>
      </c>
      <c r="C3975" t="s">
        <v>253</v>
      </c>
    </row>
    <row r="3976" spans="2:3" x14ac:dyDescent="0.35">
      <c r="B3976" t="s">
        <v>787</v>
      </c>
      <c r="C3976" t="s">
        <v>788</v>
      </c>
    </row>
    <row r="3977" spans="2:3" x14ac:dyDescent="0.35">
      <c r="B3977" t="s">
        <v>958</v>
      </c>
      <c r="C3977" t="s">
        <v>959</v>
      </c>
    </row>
    <row r="3978" spans="2:3" x14ac:dyDescent="0.35">
      <c r="B3978" t="s">
        <v>694</v>
      </c>
      <c r="C3978" t="s">
        <v>695</v>
      </c>
    </row>
    <row r="3979" spans="2:3" x14ac:dyDescent="0.35">
      <c r="B3979" t="s">
        <v>254</v>
      </c>
      <c r="C3979" t="s">
        <v>255</v>
      </c>
    </row>
    <row r="3980" spans="2:3" x14ac:dyDescent="0.35">
      <c r="B3980" t="s">
        <v>787</v>
      </c>
      <c r="C3980" t="s">
        <v>788</v>
      </c>
    </row>
    <row r="3981" spans="2:3" x14ac:dyDescent="0.35">
      <c r="B3981" t="s">
        <v>787</v>
      </c>
      <c r="C3981" t="s">
        <v>788</v>
      </c>
    </row>
    <row r="3982" spans="2:3" x14ac:dyDescent="0.35">
      <c r="B3982" t="s">
        <v>787</v>
      </c>
      <c r="C3982" t="s">
        <v>788</v>
      </c>
    </row>
    <row r="3983" spans="2:3" x14ac:dyDescent="0.35">
      <c r="B3983" t="s">
        <v>703</v>
      </c>
      <c r="C3983" t="s">
        <v>704</v>
      </c>
    </row>
    <row r="3984" spans="2:3" x14ac:dyDescent="0.35">
      <c r="B3984" t="s">
        <v>559</v>
      </c>
      <c r="C3984" t="s">
        <v>560</v>
      </c>
    </row>
    <row r="3985" spans="2:3" x14ac:dyDescent="0.35">
      <c r="B3985" t="s">
        <v>437</v>
      </c>
      <c r="C3985" t="s">
        <v>438</v>
      </c>
    </row>
    <row r="3986" spans="2:3" x14ac:dyDescent="0.35">
      <c r="B3986" t="s">
        <v>577</v>
      </c>
      <c r="C3986" t="s">
        <v>578</v>
      </c>
    </row>
    <row r="3987" spans="2:3" x14ac:dyDescent="0.35">
      <c r="B3987" t="s">
        <v>437</v>
      </c>
      <c r="C3987" t="s">
        <v>438</v>
      </c>
    </row>
    <row r="3988" spans="2:3" x14ac:dyDescent="0.35">
      <c r="B3988" t="s">
        <v>787</v>
      </c>
      <c r="C3988" t="s">
        <v>788</v>
      </c>
    </row>
    <row r="3989" spans="2:3" x14ac:dyDescent="0.35">
      <c r="B3989" t="s">
        <v>571</v>
      </c>
      <c r="C3989" t="s">
        <v>572</v>
      </c>
    </row>
    <row r="3990" spans="2:3" x14ac:dyDescent="0.35">
      <c r="B3990" t="s">
        <v>587</v>
      </c>
      <c r="C3990" t="s">
        <v>588</v>
      </c>
    </row>
    <row r="3991" spans="2:3" x14ac:dyDescent="0.35">
      <c r="B3991" t="s">
        <v>110</v>
      </c>
      <c r="C3991" t="s">
        <v>111</v>
      </c>
    </row>
    <row r="3992" spans="2:3" x14ac:dyDescent="0.35">
      <c r="B3992" t="s">
        <v>656</v>
      </c>
      <c r="C3992" t="s">
        <v>657</v>
      </c>
    </row>
    <row r="3993" spans="2:3" x14ac:dyDescent="0.35">
      <c r="B3993" t="s">
        <v>485</v>
      </c>
      <c r="C3993" t="s">
        <v>486</v>
      </c>
    </row>
    <row r="3994" spans="2:3" x14ac:dyDescent="0.35">
      <c r="B3994" t="s">
        <v>501</v>
      </c>
      <c r="C3994" t="s">
        <v>502</v>
      </c>
    </row>
    <row r="3995" spans="2:3" x14ac:dyDescent="0.35">
      <c r="B3995" t="s">
        <v>378</v>
      </c>
      <c r="C3995" t="s">
        <v>379</v>
      </c>
    </row>
    <row r="3996" spans="2:3" x14ac:dyDescent="0.35">
      <c r="B3996" t="s">
        <v>200</v>
      </c>
      <c r="C3996" t="s">
        <v>201</v>
      </c>
    </row>
    <row r="3997" spans="2:3" x14ac:dyDescent="0.35">
      <c r="B3997" t="s">
        <v>258</v>
      </c>
      <c r="C3997" t="s">
        <v>259</v>
      </c>
    </row>
    <row r="3998" spans="2:3" x14ac:dyDescent="0.35">
      <c r="B3998" t="s">
        <v>559</v>
      </c>
      <c r="C3998" t="s">
        <v>560</v>
      </c>
    </row>
    <row r="3999" spans="2:3" x14ac:dyDescent="0.35">
      <c r="B3999" t="s">
        <v>571</v>
      </c>
      <c r="C3999" t="s">
        <v>572</v>
      </c>
    </row>
    <row r="4000" spans="2:3" x14ac:dyDescent="0.35">
      <c r="B4000" t="s">
        <v>457</v>
      </c>
      <c r="C4000" t="s">
        <v>458</v>
      </c>
    </row>
    <row r="4001" spans="2:3" x14ac:dyDescent="0.35">
      <c r="B4001" t="s">
        <v>799</v>
      </c>
      <c r="C4001" t="s">
        <v>800</v>
      </c>
    </row>
    <row r="4002" spans="2:3" x14ac:dyDescent="0.35">
      <c r="B4002" t="s">
        <v>1061</v>
      </c>
      <c r="C4002" t="s">
        <v>1062</v>
      </c>
    </row>
    <row r="4003" spans="2:3" x14ac:dyDescent="0.35">
      <c r="B4003" t="s">
        <v>787</v>
      </c>
      <c r="C4003" t="s">
        <v>788</v>
      </c>
    </row>
    <row r="4004" spans="2:3" x14ac:dyDescent="0.35">
      <c r="B4004" t="s">
        <v>787</v>
      </c>
      <c r="C4004" t="s">
        <v>788</v>
      </c>
    </row>
    <row r="4005" spans="2:3" x14ac:dyDescent="0.35">
      <c r="B4005" t="s">
        <v>700</v>
      </c>
      <c r="C4005" t="s">
        <v>701</v>
      </c>
    </row>
    <row r="4006" spans="2:3" x14ac:dyDescent="0.35">
      <c r="B4006" t="s">
        <v>787</v>
      </c>
      <c r="C4006" t="s">
        <v>788</v>
      </c>
    </row>
    <row r="4007" spans="2:3" x14ac:dyDescent="0.35">
      <c r="B4007" t="s">
        <v>787</v>
      </c>
      <c r="C4007" t="s">
        <v>788</v>
      </c>
    </row>
    <row r="4008" spans="2:3" x14ac:dyDescent="0.35">
      <c r="B4008" t="s">
        <v>799</v>
      </c>
      <c r="C4008" t="s">
        <v>800</v>
      </c>
    </row>
    <row r="4009" spans="2:3" x14ac:dyDescent="0.35">
      <c r="B4009" t="s">
        <v>577</v>
      </c>
      <c r="C4009" t="s">
        <v>578</v>
      </c>
    </row>
    <row r="4010" spans="2:3" x14ac:dyDescent="0.35">
      <c r="B4010" t="s">
        <v>700</v>
      </c>
      <c r="C4010" t="s">
        <v>701</v>
      </c>
    </row>
    <row r="4011" spans="2:3" x14ac:dyDescent="0.35">
      <c r="B4011" t="s">
        <v>295</v>
      </c>
      <c r="C4011" t="s">
        <v>296</v>
      </c>
    </row>
    <row r="4012" spans="2:3" x14ac:dyDescent="0.35">
      <c r="B4012" t="s">
        <v>703</v>
      </c>
      <c r="C4012" t="s">
        <v>704</v>
      </c>
    </row>
    <row r="4013" spans="2:3" x14ac:dyDescent="0.35">
      <c r="B4013" t="s">
        <v>495</v>
      </c>
      <c r="C4013" t="s">
        <v>496</v>
      </c>
    </row>
    <row r="4014" spans="2:3" x14ac:dyDescent="0.35">
      <c r="B4014" t="s">
        <v>787</v>
      </c>
      <c r="C4014" t="s">
        <v>788</v>
      </c>
    </row>
    <row r="4015" spans="2:3" x14ac:dyDescent="0.35">
      <c r="B4015" t="s">
        <v>607</v>
      </c>
      <c r="C4015" t="s">
        <v>608</v>
      </c>
    </row>
    <row r="4016" spans="2:3" x14ac:dyDescent="0.35">
      <c r="B4016" t="s">
        <v>666</v>
      </c>
      <c r="C4016" t="s">
        <v>667</v>
      </c>
    </row>
    <row r="4017" spans="2:3" x14ac:dyDescent="0.35">
      <c r="B4017" t="s">
        <v>610</v>
      </c>
      <c r="C4017" t="s">
        <v>611</v>
      </c>
    </row>
    <row r="4018" spans="2:3" x14ac:dyDescent="0.35">
      <c r="B4018" t="s">
        <v>202</v>
      </c>
      <c r="C4018" t="s">
        <v>203</v>
      </c>
    </row>
    <row r="4019" spans="2:3" x14ac:dyDescent="0.35">
      <c r="B4019" t="s">
        <v>322</v>
      </c>
      <c r="C4019" t="s">
        <v>323</v>
      </c>
    </row>
    <row r="4020" spans="2:3" x14ac:dyDescent="0.35">
      <c r="B4020" t="s">
        <v>787</v>
      </c>
      <c r="C4020" t="s">
        <v>788</v>
      </c>
    </row>
    <row r="4021" spans="2:3" x14ac:dyDescent="0.35">
      <c r="B4021" t="s">
        <v>163</v>
      </c>
      <c r="C4021" t="s">
        <v>164</v>
      </c>
    </row>
    <row r="4022" spans="2:3" x14ac:dyDescent="0.35">
      <c r="B4022" t="s">
        <v>275</v>
      </c>
      <c r="C4022" t="s">
        <v>276</v>
      </c>
    </row>
    <row r="4023" spans="2:3" x14ac:dyDescent="0.35">
      <c r="B4023" t="s">
        <v>176</v>
      </c>
      <c r="C4023" t="s">
        <v>177</v>
      </c>
    </row>
    <row r="4024" spans="2:3" x14ac:dyDescent="0.35">
      <c r="B4024" t="s">
        <v>219</v>
      </c>
      <c r="C4024" t="s">
        <v>220</v>
      </c>
    </row>
    <row r="4025" spans="2:3" x14ac:dyDescent="0.35">
      <c r="B4025" t="s">
        <v>287</v>
      </c>
      <c r="C4025" t="s">
        <v>288</v>
      </c>
    </row>
    <row r="4026" spans="2:3" x14ac:dyDescent="0.35">
      <c r="B4026" t="s">
        <v>618</v>
      </c>
      <c r="C4026" t="s">
        <v>619</v>
      </c>
    </row>
    <row r="4027" spans="2:3" x14ac:dyDescent="0.35">
      <c r="B4027" t="s">
        <v>376</v>
      </c>
      <c r="C4027" t="s">
        <v>377</v>
      </c>
    </row>
    <row r="4028" spans="2:3" x14ac:dyDescent="0.35">
      <c r="B4028" t="s">
        <v>501</v>
      </c>
      <c r="C4028" t="s">
        <v>502</v>
      </c>
    </row>
    <row r="4029" spans="2:3" x14ac:dyDescent="0.35">
      <c r="B4029" t="s">
        <v>1195</v>
      </c>
      <c r="C4029" t="s">
        <v>1195</v>
      </c>
    </row>
    <row r="4030" spans="2:3" x14ac:dyDescent="0.35">
      <c r="B4030" t="s">
        <v>208</v>
      </c>
      <c r="C4030" t="s">
        <v>209</v>
      </c>
    </row>
    <row r="4031" spans="2:3" x14ac:dyDescent="0.35">
      <c r="B4031" t="s">
        <v>358</v>
      </c>
      <c r="C4031" t="s">
        <v>359</v>
      </c>
    </row>
    <row r="4032" spans="2:3" x14ac:dyDescent="0.35">
      <c r="B4032" t="s">
        <v>318</v>
      </c>
      <c r="C4032" t="s">
        <v>319</v>
      </c>
    </row>
    <row r="4033" spans="2:3" x14ac:dyDescent="0.35">
      <c r="B4033" t="s">
        <v>575</v>
      </c>
      <c r="C4033" t="s">
        <v>576</v>
      </c>
    </row>
    <row r="4034" spans="2:3" x14ac:dyDescent="0.35">
      <c r="B4034" t="s">
        <v>1195</v>
      </c>
      <c r="C4034" t="s">
        <v>1195</v>
      </c>
    </row>
    <row r="4035" spans="2:3" x14ac:dyDescent="0.35">
      <c r="B4035" t="s">
        <v>787</v>
      </c>
      <c r="C4035" t="s">
        <v>788</v>
      </c>
    </row>
    <row r="4036" spans="2:3" x14ac:dyDescent="0.35">
      <c r="B4036" t="s">
        <v>700</v>
      </c>
      <c r="C4036" t="s">
        <v>701</v>
      </c>
    </row>
    <row r="4037" spans="2:3" x14ac:dyDescent="0.35">
      <c r="B4037" t="s">
        <v>537</v>
      </c>
      <c r="C4037" t="s">
        <v>538</v>
      </c>
    </row>
    <row r="4038" spans="2:3" x14ac:dyDescent="0.35">
      <c r="B4038" t="s">
        <v>787</v>
      </c>
      <c r="C4038" t="s">
        <v>788</v>
      </c>
    </row>
    <row r="4039" spans="2:3" x14ac:dyDescent="0.35">
      <c r="B4039" t="s">
        <v>122</v>
      </c>
      <c r="C4039" t="s">
        <v>123</v>
      </c>
    </row>
    <row r="4040" spans="2:3" x14ac:dyDescent="0.35">
      <c r="B4040" t="s">
        <v>533</v>
      </c>
      <c r="C4040" t="s">
        <v>534</v>
      </c>
    </row>
    <row r="4041" spans="2:3" x14ac:dyDescent="0.35">
      <c r="B4041" t="s">
        <v>1061</v>
      </c>
      <c r="C4041" t="s">
        <v>1062</v>
      </c>
    </row>
    <row r="4042" spans="2:3" x14ac:dyDescent="0.35">
      <c r="B4042" t="s">
        <v>455</v>
      </c>
      <c r="C4042" t="s">
        <v>456</v>
      </c>
    </row>
    <row r="4043" spans="2:3" x14ac:dyDescent="0.35">
      <c r="B4043" t="s">
        <v>599</v>
      </c>
      <c r="C4043" t="s">
        <v>600</v>
      </c>
    </row>
    <row r="4044" spans="2:3" x14ac:dyDescent="0.35">
      <c r="B4044" t="s">
        <v>529</v>
      </c>
      <c r="C4044" t="s">
        <v>530</v>
      </c>
    </row>
    <row r="4045" spans="2:3" x14ac:dyDescent="0.35">
      <c r="B4045" t="s">
        <v>703</v>
      </c>
      <c r="C4045" t="s">
        <v>704</v>
      </c>
    </row>
    <row r="4046" spans="2:3" x14ac:dyDescent="0.35">
      <c r="B4046" t="s">
        <v>105</v>
      </c>
      <c r="C4046" t="s">
        <v>106</v>
      </c>
    </row>
    <row r="4047" spans="2:3" x14ac:dyDescent="0.35">
      <c r="B4047" t="s">
        <v>595</v>
      </c>
      <c r="C4047" t="s">
        <v>596</v>
      </c>
    </row>
    <row r="4048" spans="2:3" x14ac:dyDescent="0.35">
      <c r="B4048" t="s">
        <v>537</v>
      </c>
      <c r="C4048" t="s">
        <v>538</v>
      </c>
    </row>
    <row r="4049" spans="2:3" x14ac:dyDescent="0.35">
      <c r="B4049" t="s">
        <v>616</v>
      </c>
      <c r="C4049" t="s">
        <v>617</v>
      </c>
    </row>
    <row r="4050" spans="2:3" x14ac:dyDescent="0.35">
      <c r="B4050" t="s">
        <v>787</v>
      </c>
      <c r="C4050" t="s">
        <v>788</v>
      </c>
    </row>
    <row r="4051" spans="2:3" x14ac:dyDescent="0.35">
      <c r="B4051" t="s">
        <v>787</v>
      </c>
      <c r="C4051" t="s">
        <v>788</v>
      </c>
    </row>
    <row r="4052" spans="2:3" x14ac:dyDescent="0.35">
      <c r="B4052" t="s">
        <v>174</v>
      </c>
      <c r="C4052" t="s">
        <v>175</v>
      </c>
    </row>
    <row r="4053" spans="2:3" x14ac:dyDescent="0.35">
      <c r="B4053" t="s">
        <v>561</v>
      </c>
      <c r="C4053" t="s">
        <v>562</v>
      </c>
    </row>
    <row r="4054" spans="2:3" x14ac:dyDescent="0.35">
      <c r="B4054" t="s">
        <v>787</v>
      </c>
      <c r="C4054" t="s">
        <v>788</v>
      </c>
    </row>
    <row r="4055" spans="2:3" x14ac:dyDescent="0.35">
      <c r="B4055" t="s">
        <v>254</v>
      </c>
      <c r="C4055" t="s">
        <v>255</v>
      </c>
    </row>
    <row r="4056" spans="2:3" x14ac:dyDescent="0.35">
      <c r="B4056" t="s">
        <v>219</v>
      </c>
      <c r="C4056" t="s">
        <v>220</v>
      </c>
    </row>
    <row r="4057" spans="2:3" x14ac:dyDescent="0.35">
      <c r="B4057" t="s">
        <v>787</v>
      </c>
      <c r="C4057" t="s">
        <v>788</v>
      </c>
    </row>
    <row r="4058" spans="2:3" x14ac:dyDescent="0.35">
      <c r="B4058" t="s">
        <v>787</v>
      </c>
      <c r="C4058" t="s">
        <v>788</v>
      </c>
    </row>
    <row r="4059" spans="2:3" x14ac:dyDescent="0.35">
      <c r="B4059" t="s">
        <v>787</v>
      </c>
      <c r="C4059" t="s">
        <v>788</v>
      </c>
    </row>
    <row r="4060" spans="2:3" x14ac:dyDescent="0.35">
      <c r="B4060" t="s">
        <v>787</v>
      </c>
      <c r="C4060" t="s">
        <v>788</v>
      </c>
    </row>
    <row r="4061" spans="2:3" x14ac:dyDescent="0.35">
      <c r="B4061" t="s">
        <v>344</v>
      </c>
      <c r="C4061" t="s">
        <v>345</v>
      </c>
    </row>
    <row r="4062" spans="2:3" x14ac:dyDescent="0.35">
      <c r="B4062" t="s">
        <v>376</v>
      </c>
      <c r="C4062" t="s">
        <v>377</v>
      </c>
    </row>
    <row r="4063" spans="2:3" x14ac:dyDescent="0.35">
      <c r="B4063" t="s">
        <v>874</v>
      </c>
      <c r="C4063" t="s">
        <v>875</v>
      </c>
    </row>
    <row r="4064" spans="2:3" x14ac:dyDescent="0.35">
      <c r="B4064" t="s">
        <v>799</v>
      </c>
      <c r="C4064" t="s">
        <v>800</v>
      </c>
    </row>
    <row r="4065" spans="2:3" x14ac:dyDescent="0.35">
      <c r="B4065" t="s">
        <v>208</v>
      </c>
      <c r="C4065" t="s">
        <v>209</v>
      </c>
    </row>
    <row r="4066" spans="2:3" x14ac:dyDescent="0.35">
      <c r="B4066" t="s">
        <v>163</v>
      </c>
      <c r="C4066" t="s">
        <v>164</v>
      </c>
    </row>
    <row r="4067" spans="2:3" x14ac:dyDescent="0.35">
      <c r="B4067" t="s">
        <v>273</v>
      </c>
      <c r="C4067" t="s">
        <v>274</v>
      </c>
    </row>
    <row r="4068" spans="2:3" x14ac:dyDescent="0.35">
      <c r="B4068" t="s">
        <v>859</v>
      </c>
      <c r="C4068" t="s">
        <v>860</v>
      </c>
    </row>
    <row r="4069" spans="2:3" x14ac:dyDescent="0.35">
      <c r="B4069" t="s">
        <v>857</v>
      </c>
      <c r="C4069" t="s">
        <v>858</v>
      </c>
    </row>
    <row r="4070" spans="2:3" x14ac:dyDescent="0.35">
      <c r="B4070" t="s">
        <v>501</v>
      </c>
      <c r="C4070" t="s">
        <v>502</v>
      </c>
    </row>
    <row r="4071" spans="2:3" x14ac:dyDescent="0.35">
      <c r="B4071" t="s">
        <v>344</v>
      </c>
      <c r="C4071" t="s">
        <v>345</v>
      </c>
    </row>
    <row r="4072" spans="2:3" x14ac:dyDescent="0.35">
      <c r="B4072" t="s">
        <v>577</v>
      </c>
      <c r="C4072" t="s">
        <v>578</v>
      </c>
    </row>
    <row r="4073" spans="2:3" x14ac:dyDescent="0.35">
      <c r="B4073" t="s">
        <v>787</v>
      </c>
      <c r="C4073" t="s">
        <v>788</v>
      </c>
    </row>
    <row r="4074" spans="2:3" x14ac:dyDescent="0.35">
      <c r="B4074" t="s">
        <v>230</v>
      </c>
      <c r="C4074" t="s">
        <v>231</v>
      </c>
    </row>
    <row r="4075" spans="2:3" x14ac:dyDescent="0.35">
      <c r="B4075" t="s">
        <v>64</v>
      </c>
      <c r="C4075" t="s">
        <v>65</v>
      </c>
    </row>
    <row r="4076" spans="2:3" x14ac:dyDescent="0.35">
      <c r="B4076" t="s">
        <v>58</v>
      </c>
      <c r="C4076" t="s">
        <v>59</v>
      </c>
    </row>
    <row r="4077" spans="2:3" x14ac:dyDescent="0.35">
      <c r="B4077" t="s">
        <v>378</v>
      </c>
      <c r="C4077" t="s">
        <v>379</v>
      </c>
    </row>
    <row r="4078" spans="2:3" x14ac:dyDescent="0.35">
      <c r="B4078" t="s">
        <v>787</v>
      </c>
      <c r="C4078" t="s">
        <v>788</v>
      </c>
    </row>
    <row r="4079" spans="2:3" x14ac:dyDescent="0.35">
      <c r="B4079" t="s">
        <v>378</v>
      </c>
      <c r="C4079" t="s">
        <v>379</v>
      </c>
    </row>
    <row r="4080" spans="2:3" x14ac:dyDescent="0.35">
      <c r="B4080" t="s">
        <v>700</v>
      </c>
      <c r="C4080" t="s">
        <v>701</v>
      </c>
    </row>
    <row r="4081" spans="2:3" x14ac:dyDescent="0.35">
      <c r="B4081" t="s">
        <v>128</v>
      </c>
      <c r="C4081" t="s">
        <v>129</v>
      </c>
    </row>
    <row r="4082" spans="2:3" x14ac:dyDescent="0.35">
      <c r="B4082" t="s">
        <v>283</v>
      </c>
      <c r="C4082" t="s">
        <v>284</v>
      </c>
    </row>
    <row r="4083" spans="2:3" x14ac:dyDescent="0.35">
      <c r="B4083" t="s">
        <v>674</v>
      </c>
      <c r="C4083" t="s">
        <v>675</v>
      </c>
    </row>
    <row r="4084" spans="2:3" x14ac:dyDescent="0.35">
      <c r="B4084" t="s">
        <v>595</v>
      </c>
      <c r="C4084" t="s">
        <v>596</v>
      </c>
    </row>
    <row r="4085" spans="2:3" x14ac:dyDescent="0.35">
      <c r="B4085" t="s">
        <v>434</v>
      </c>
      <c r="C4085" t="s">
        <v>435</v>
      </c>
    </row>
    <row r="4086" spans="2:3" x14ac:dyDescent="0.35">
      <c r="B4086" t="s">
        <v>58</v>
      </c>
      <c r="C4086" t="s">
        <v>59</v>
      </c>
    </row>
    <row r="4087" spans="2:3" x14ac:dyDescent="0.35">
      <c r="B4087" t="s">
        <v>963</v>
      </c>
      <c r="C4087" t="s">
        <v>964</v>
      </c>
    </row>
    <row r="4088" spans="2:3" x14ac:dyDescent="0.35">
      <c r="B4088" t="s">
        <v>495</v>
      </c>
      <c r="C4088" t="s">
        <v>496</v>
      </c>
    </row>
    <row r="4089" spans="2:3" x14ac:dyDescent="0.35">
      <c r="B4089" t="s">
        <v>577</v>
      </c>
      <c r="C4089" t="s">
        <v>578</v>
      </c>
    </row>
    <row r="4090" spans="2:3" x14ac:dyDescent="0.35">
      <c r="B4090" t="s">
        <v>64</v>
      </c>
      <c r="C4090" t="s">
        <v>65</v>
      </c>
    </row>
    <row r="4091" spans="2:3" x14ac:dyDescent="0.35">
      <c r="B4091" t="s">
        <v>872</v>
      </c>
      <c r="C4091" t="s">
        <v>873</v>
      </c>
    </row>
    <row r="4092" spans="2:3" x14ac:dyDescent="0.35">
      <c r="B4092" t="s">
        <v>64</v>
      </c>
      <c r="C4092" t="s">
        <v>65</v>
      </c>
    </row>
    <row r="4093" spans="2:3" x14ac:dyDescent="0.35">
      <c r="B4093" t="s">
        <v>700</v>
      </c>
      <c r="C4093" t="s">
        <v>701</v>
      </c>
    </row>
    <row r="4094" spans="2:3" x14ac:dyDescent="0.35">
      <c r="B4094" t="s">
        <v>360</v>
      </c>
      <c r="C4094" t="s">
        <v>361</v>
      </c>
    </row>
    <row r="4095" spans="2:3" x14ac:dyDescent="0.35">
      <c r="B4095" t="s">
        <v>607</v>
      </c>
      <c r="C4095" t="s">
        <v>608</v>
      </c>
    </row>
    <row r="4096" spans="2:3" x14ac:dyDescent="0.35">
      <c r="B4096" t="s">
        <v>648</v>
      </c>
      <c r="C4096" t="s">
        <v>649</v>
      </c>
    </row>
    <row r="4097" spans="2:3" x14ac:dyDescent="0.35">
      <c r="B4097" t="s">
        <v>787</v>
      </c>
      <c r="C4097" t="s">
        <v>788</v>
      </c>
    </row>
    <row r="4098" spans="2:3" x14ac:dyDescent="0.35">
      <c r="B4098" t="s">
        <v>787</v>
      </c>
      <c r="C4098" t="s">
        <v>788</v>
      </c>
    </row>
    <row r="4099" spans="2:3" x14ac:dyDescent="0.35">
      <c r="B4099" t="s">
        <v>174</v>
      </c>
      <c r="C4099" t="s">
        <v>175</v>
      </c>
    </row>
    <row r="4100" spans="2:3" x14ac:dyDescent="0.35">
      <c r="B4100" t="s">
        <v>90</v>
      </c>
      <c r="C4100" t="s">
        <v>91</v>
      </c>
    </row>
    <row r="4101" spans="2:3" x14ac:dyDescent="0.35">
      <c r="B4101" t="s">
        <v>553</v>
      </c>
      <c r="C4101" t="s">
        <v>554</v>
      </c>
    </row>
    <row r="4102" spans="2:3" x14ac:dyDescent="0.35">
      <c r="B4102" t="s">
        <v>469</v>
      </c>
      <c r="C4102" t="s">
        <v>470</v>
      </c>
    </row>
    <row r="4103" spans="2:3" x14ac:dyDescent="0.35">
      <c r="B4103" t="s">
        <v>787</v>
      </c>
      <c r="C4103" t="s">
        <v>788</v>
      </c>
    </row>
    <row r="4104" spans="2:3" x14ac:dyDescent="0.35">
      <c r="B4104" t="s">
        <v>561</v>
      </c>
      <c r="C4104" t="s">
        <v>562</v>
      </c>
    </row>
    <row r="4105" spans="2:3" x14ac:dyDescent="0.35">
      <c r="B4105" t="s">
        <v>537</v>
      </c>
      <c r="C4105" t="s">
        <v>538</v>
      </c>
    </row>
    <row r="4106" spans="2:3" x14ac:dyDescent="0.35">
      <c r="B4106" t="s">
        <v>787</v>
      </c>
      <c r="C4106" t="s">
        <v>788</v>
      </c>
    </row>
    <row r="4107" spans="2:3" x14ac:dyDescent="0.35">
      <c r="B4107" t="s">
        <v>561</v>
      </c>
      <c r="C4107" t="s">
        <v>562</v>
      </c>
    </row>
    <row r="4108" spans="2:3" x14ac:dyDescent="0.35">
      <c r="B4108" t="s">
        <v>541</v>
      </c>
      <c r="C4108" t="s">
        <v>542</v>
      </c>
    </row>
    <row r="4109" spans="2:3" x14ac:dyDescent="0.35">
      <c r="B4109" t="s">
        <v>84</v>
      </c>
      <c r="C4109" t="s">
        <v>85</v>
      </c>
    </row>
    <row r="4110" spans="2:3" x14ac:dyDescent="0.35">
      <c r="B4110" t="s">
        <v>84</v>
      </c>
      <c r="C4110" t="s">
        <v>85</v>
      </c>
    </row>
    <row r="4111" spans="2:3" x14ac:dyDescent="0.35">
      <c r="B4111" t="s">
        <v>692</v>
      </c>
      <c r="C4111" t="s">
        <v>693</v>
      </c>
    </row>
    <row r="4112" spans="2:3" x14ac:dyDescent="0.35">
      <c r="B4112" t="s">
        <v>700</v>
      </c>
      <c r="C4112" t="s">
        <v>701</v>
      </c>
    </row>
    <row r="4113" spans="2:3" x14ac:dyDescent="0.35">
      <c r="B4113" t="s">
        <v>577</v>
      </c>
      <c r="C4113" t="s">
        <v>578</v>
      </c>
    </row>
    <row r="4114" spans="2:3" x14ac:dyDescent="0.35">
      <c r="B4114" t="s">
        <v>487</v>
      </c>
      <c r="C4114" t="s">
        <v>488</v>
      </c>
    </row>
    <row r="4115" spans="2:3" x14ac:dyDescent="0.35">
      <c r="B4115" t="s">
        <v>961</v>
      </c>
      <c r="C4115" t="s">
        <v>962</v>
      </c>
    </row>
    <row r="4116" spans="2:3" x14ac:dyDescent="0.35">
      <c r="B4116" t="s">
        <v>64</v>
      </c>
      <c r="C4116" t="s">
        <v>65</v>
      </c>
    </row>
    <row r="4117" spans="2:3" x14ac:dyDescent="0.35">
      <c r="B4117" t="s">
        <v>545</v>
      </c>
      <c r="C4117" t="s">
        <v>546</v>
      </c>
    </row>
    <row r="4118" spans="2:3" x14ac:dyDescent="0.35">
      <c r="B4118" t="s">
        <v>384</v>
      </c>
      <c r="C4118" t="s">
        <v>385</v>
      </c>
    </row>
    <row r="4119" spans="2:3" x14ac:dyDescent="0.35">
      <c r="B4119" t="s">
        <v>378</v>
      </c>
      <c r="C4119" t="s">
        <v>379</v>
      </c>
    </row>
    <row r="4120" spans="2:3" x14ac:dyDescent="0.35">
      <c r="B4120" t="s">
        <v>437</v>
      </c>
      <c r="C4120" t="s">
        <v>438</v>
      </c>
    </row>
    <row r="4121" spans="2:3" x14ac:dyDescent="0.35">
      <c r="B4121" t="s">
        <v>434</v>
      </c>
      <c r="C4121" t="s">
        <v>435</v>
      </c>
    </row>
    <row r="4122" spans="2:3" x14ac:dyDescent="0.35">
      <c r="B4122" t="s">
        <v>84</v>
      </c>
      <c r="C4122" t="s">
        <v>85</v>
      </c>
    </row>
    <row r="4123" spans="2:3" x14ac:dyDescent="0.35">
      <c r="B4123" t="s">
        <v>208</v>
      </c>
      <c r="C4123" t="s">
        <v>209</v>
      </c>
    </row>
    <row r="4124" spans="2:3" x14ac:dyDescent="0.35">
      <c r="B4124" t="s">
        <v>202</v>
      </c>
      <c r="C4124" t="s">
        <v>203</v>
      </c>
    </row>
    <row r="4125" spans="2:3" x14ac:dyDescent="0.35">
      <c r="B4125" t="s">
        <v>416</v>
      </c>
      <c r="C4125" t="s">
        <v>417</v>
      </c>
    </row>
    <row r="4126" spans="2:3" x14ac:dyDescent="0.35">
      <c r="B4126" t="s">
        <v>787</v>
      </c>
      <c r="C4126" t="s">
        <v>788</v>
      </c>
    </row>
    <row r="4127" spans="2:3" x14ac:dyDescent="0.35">
      <c r="B4127" t="s">
        <v>1061</v>
      </c>
      <c r="C4127" t="s">
        <v>1062</v>
      </c>
    </row>
    <row r="4128" spans="2:3" x14ac:dyDescent="0.35">
      <c r="B4128" t="s">
        <v>866</v>
      </c>
      <c r="C4128" t="s">
        <v>867</v>
      </c>
    </row>
    <row r="4129" spans="2:3" x14ac:dyDescent="0.35">
      <c r="B4129" t="s">
        <v>515</v>
      </c>
      <c r="C4129" t="s">
        <v>516</v>
      </c>
    </row>
    <row r="4130" spans="2:3" x14ac:dyDescent="0.35">
      <c r="B4130" t="s">
        <v>855</v>
      </c>
      <c r="C4130" t="s">
        <v>856</v>
      </c>
    </row>
    <row r="4131" spans="2:3" x14ac:dyDescent="0.35">
      <c r="B4131" t="s">
        <v>107</v>
      </c>
      <c r="C4131" t="s">
        <v>108</v>
      </c>
    </row>
    <row r="4132" spans="2:3" x14ac:dyDescent="0.35">
      <c r="B4132" t="s">
        <v>868</v>
      </c>
      <c r="C4132" t="s">
        <v>869</v>
      </c>
    </row>
    <row r="4133" spans="2:3" x14ac:dyDescent="0.35">
      <c r="B4133" t="s">
        <v>384</v>
      </c>
      <c r="C4133" t="s">
        <v>385</v>
      </c>
    </row>
    <row r="4134" spans="2:3" x14ac:dyDescent="0.35">
      <c r="B4134" t="s">
        <v>787</v>
      </c>
      <c r="C4134" t="s">
        <v>788</v>
      </c>
    </row>
    <row r="4135" spans="2:3" x14ac:dyDescent="0.35">
      <c r="B4135" t="s">
        <v>787</v>
      </c>
      <c r="C4135" t="s">
        <v>788</v>
      </c>
    </row>
    <row r="4136" spans="2:3" x14ac:dyDescent="0.35">
      <c r="B4136" t="s">
        <v>208</v>
      </c>
      <c r="C4136" t="s">
        <v>209</v>
      </c>
    </row>
    <row r="4137" spans="2:3" x14ac:dyDescent="0.35">
      <c r="B4137" t="s">
        <v>787</v>
      </c>
      <c r="C4137" t="s">
        <v>788</v>
      </c>
    </row>
    <row r="4138" spans="2:3" x14ac:dyDescent="0.35">
      <c r="B4138" t="s">
        <v>654</v>
      </c>
      <c r="C4138" t="s">
        <v>655</v>
      </c>
    </row>
    <row r="4139" spans="2:3" x14ac:dyDescent="0.35">
      <c r="B4139" t="s">
        <v>662</v>
      </c>
      <c r="C4139" t="s">
        <v>663</v>
      </c>
    </row>
    <row r="4140" spans="2:3" x14ac:dyDescent="0.35">
      <c r="B4140" t="s">
        <v>589</v>
      </c>
      <c r="C4140" t="s">
        <v>590</v>
      </c>
    </row>
    <row r="4141" spans="2:3" x14ac:dyDescent="0.35">
      <c r="B4141" t="s">
        <v>318</v>
      </c>
      <c r="C4141" t="s">
        <v>319</v>
      </c>
    </row>
    <row r="4142" spans="2:3" x14ac:dyDescent="0.35">
      <c r="B4142" t="s">
        <v>601</v>
      </c>
      <c r="C4142" t="s">
        <v>602</v>
      </c>
    </row>
    <row r="4143" spans="2:3" x14ac:dyDescent="0.35">
      <c r="B4143" t="s">
        <v>56</v>
      </c>
      <c r="C4143" t="s">
        <v>57</v>
      </c>
    </row>
    <row r="4144" spans="2:3" x14ac:dyDescent="0.35">
      <c r="B4144" t="s">
        <v>393</v>
      </c>
      <c r="C4144" t="s">
        <v>394</v>
      </c>
    </row>
    <row r="4145" spans="2:3" x14ac:dyDescent="0.35">
      <c r="B4145" t="s">
        <v>658</v>
      </c>
      <c r="C4145" t="s">
        <v>659</v>
      </c>
    </row>
    <row r="4146" spans="2:3" x14ac:dyDescent="0.35">
      <c r="B4146" t="s">
        <v>254</v>
      </c>
      <c r="C4146" t="s">
        <v>255</v>
      </c>
    </row>
    <row r="4147" spans="2:3" x14ac:dyDescent="0.35">
      <c r="B4147" t="s">
        <v>103</v>
      </c>
      <c r="C4147" t="s">
        <v>104</v>
      </c>
    </row>
    <row r="4148" spans="2:3" x14ac:dyDescent="0.35">
      <c r="B4148" t="s">
        <v>202</v>
      </c>
      <c r="C4148" t="s">
        <v>203</v>
      </c>
    </row>
    <row r="4149" spans="2:3" x14ac:dyDescent="0.35">
      <c r="B4149" t="s">
        <v>787</v>
      </c>
      <c r="C4149" t="s">
        <v>788</v>
      </c>
    </row>
    <row r="4150" spans="2:3" x14ac:dyDescent="0.35">
      <c r="B4150" t="s">
        <v>787</v>
      </c>
      <c r="C4150" t="s">
        <v>788</v>
      </c>
    </row>
    <row r="4151" spans="2:3" x14ac:dyDescent="0.35">
      <c r="B4151" t="s">
        <v>453</v>
      </c>
      <c r="C4151" t="s">
        <v>454</v>
      </c>
    </row>
    <row r="4152" spans="2:3" x14ac:dyDescent="0.35">
      <c r="B4152" t="s">
        <v>674</v>
      </c>
      <c r="C4152" t="s">
        <v>675</v>
      </c>
    </row>
    <row r="4153" spans="2:3" x14ac:dyDescent="0.35">
      <c r="B4153" t="s">
        <v>443</v>
      </c>
      <c r="C4153" t="s">
        <v>444</v>
      </c>
    </row>
    <row r="4154" spans="2:3" x14ac:dyDescent="0.35">
      <c r="B4154" t="s">
        <v>692</v>
      </c>
      <c r="C4154" t="s">
        <v>693</v>
      </c>
    </row>
    <row r="4155" spans="2:3" x14ac:dyDescent="0.35">
      <c r="B4155" t="s">
        <v>275</v>
      </c>
      <c r="C4155" t="s">
        <v>276</v>
      </c>
    </row>
    <row r="4156" spans="2:3" x14ac:dyDescent="0.35">
      <c r="B4156" t="s">
        <v>601</v>
      </c>
      <c r="C4156" t="s">
        <v>602</v>
      </c>
    </row>
    <row r="4157" spans="2:3" x14ac:dyDescent="0.35">
      <c r="B4157" t="s">
        <v>787</v>
      </c>
      <c r="C4157" t="s">
        <v>788</v>
      </c>
    </row>
    <row r="4158" spans="2:3" x14ac:dyDescent="0.35">
      <c r="B4158" t="s">
        <v>787</v>
      </c>
      <c r="C4158" t="s">
        <v>788</v>
      </c>
    </row>
    <row r="4159" spans="2:3" x14ac:dyDescent="0.35">
      <c r="B4159" t="s">
        <v>378</v>
      </c>
      <c r="C4159" t="s">
        <v>379</v>
      </c>
    </row>
    <row r="4160" spans="2:3" x14ac:dyDescent="0.35">
      <c r="B4160" t="s">
        <v>537</v>
      </c>
      <c r="C4160" t="s">
        <v>538</v>
      </c>
    </row>
    <row r="4161" spans="2:3" x14ac:dyDescent="0.35">
      <c r="B4161" t="s">
        <v>853</v>
      </c>
      <c r="C4161" t="s">
        <v>854</v>
      </c>
    </row>
    <row r="4162" spans="2:3" x14ac:dyDescent="0.35">
      <c r="B4162" t="s">
        <v>393</v>
      </c>
      <c r="C4162" t="s">
        <v>394</v>
      </c>
    </row>
    <row r="4163" spans="2:3" x14ac:dyDescent="0.35">
      <c r="B4163" t="s">
        <v>787</v>
      </c>
      <c r="C4163" t="s">
        <v>788</v>
      </c>
    </row>
    <row r="4164" spans="2:3" x14ac:dyDescent="0.35">
      <c r="B4164" t="s">
        <v>605</v>
      </c>
      <c r="C4164" t="s">
        <v>606</v>
      </c>
    </row>
    <row r="4165" spans="2:3" x14ac:dyDescent="0.35">
      <c r="B4165" t="s">
        <v>503</v>
      </c>
      <c r="C4165" t="s">
        <v>504</v>
      </c>
    </row>
    <row r="4166" spans="2:3" x14ac:dyDescent="0.35">
      <c r="B4166" t="s">
        <v>105</v>
      </c>
      <c r="C4166" t="s">
        <v>106</v>
      </c>
    </row>
    <row r="4167" spans="2:3" x14ac:dyDescent="0.35">
      <c r="B4167" t="s">
        <v>318</v>
      </c>
      <c r="C4167" t="s">
        <v>319</v>
      </c>
    </row>
    <row r="4168" spans="2:3" x14ac:dyDescent="0.35">
      <c r="B4168" t="s">
        <v>479</v>
      </c>
      <c r="C4168" t="s">
        <v>480</v>
      </c>
    </row>
    <row r="4169" spans="2:3" x14ac:dyDescent="0.35">
      <c r="B4169" t="s">
        <v>961</v>
      </c>
      <c r="C4169" t="s">
        <v>962</v>
      </c>
    </row>
    <row r="4170" spans="2:3" x14ac:dyDescent="0.35">
      <c r="B4170" t="s">
        <v>295</v>
      </c>
      <c r="C4170" t="s">
        <v>296</v>
      </c>
    </row>
    <row r="4171" spans="2:3" x14ac:dyDescent="0.35">
      <c r="B4171" t="s">
        <v>640</v>
      </c>
      <c r="C4171" t="s">
        <v>641</v>
      </c>
    </row>
    <row r="4172" spans="2:3" x14ac:dyDescent="0.35">
      <c r="B4172" t="s">
        <v>559</v>
      </c>
      <c r="C4172" t="s">
        <v>560</v>
      </c>
    </row>
    <row r="4173" spans="2:3" x14ac:dyDescent="0.35">
      <c r="B4173" t="s">
        <v>694</v>
      </c>
      <c r="C4173" t="s">
        <v>695</v>
      </c>
    </row>
    <row r="4174" spans="2:3" x14ac:dyDescent="0.35">
      <c r="B4174" t="s">
        <v>703</v>
      </c>
      <c r="C4174" t="s">
        <v>704</v>
      </c>
    </row>
    <row r="4175" spans="2:3" x14ac:dyDescent="0.35">
      <c r="B4175" t="s">
        <v>543</v>
      </c>
      <c r="C4175" t="s">
        <v>544</v>
      </c>
    </row>
    <row r="4176" spans="2:3" x14ac:dyDescent="0.35">
      <c r="B4176" t="s">
        <v>128</v>
      </c>
      <c r="C4176" t="s">
        <v>129</v>
      </c>
    </row>
    <row r="4177" spans="2:3" x14ac:dyDescent="0.35">
      <c r="B4177" t="s">
        <v>622</v>
      </c>
      <c r="C4177" t="s">
        <v>623</v>
      </c>
    </row>
    <row r="4178" spans="2:3" x14ac:dyDescent="0.35">
      <c r="B4178" t="s">
        <v>105</v>
      </c>
      <c r="C4178" t="s">
        <v>106</v>
      </c>
    </row>
    <row r="4179" spans="2:3" x14ac:dyDescent="0.35">
      <c r="B4179" t="s">
        <v>622</v>
      </c>
      <c r="C4179" t="s">
        <v>623</v>
      </c>
    </row>
    <row r="4180" spans="2:3" x14ac:dyDescent="0.35">
      <c r="B4180" t="s">
        <v>90</v>
      </c>
      <c r="C4180" t="s">
        <v>91</v>
      </c>
    </row>
    <row r="4181" spans="2:3" x14ac:dyDescent="0.35">
      <c r="B4181" t="s">
        <v>662</v>
      </c>
      <c r="C4181" t="s">
        <v>663</v>
      </c>
    </row>
    <row r="4182" spans="2:3" x14ac:dyDescent="0.35">
      <c r="B4182" t="s">
        <v>787</v>
      </c>
      <c r="C4182" t="s">
        <v>788</v>
      </c>
    </row>
    <row r="4183" spans="2:3" x14ac:dyDescent="0.35">
      <c r="B4183" t="s">
        <v>537</v>
      </c>
      <c r="C4183" t="s">
        <v>538</v>
      </c>
    </row>
    <row r="4184" spans="2:3" x14ac:dyDescent="0.35">
      <c r="B4184" t="s">
        <v>416</v>
      </c>
      <c r="C4184" t="s">
        <v>417</v>
      </c>
    </row>
    <row r="4185" spans="2:3" x14ac:dyDescent="0.35">
      <c r="B4185" t="s">
        <v>287</v>
      </c>
      <c r="C4185" t="s">
        <v>288</v>
      </c>
    </row>
    <row r="4186" spans="2:3" x14ac:dyDescent="0.35">
      <c r="B4186" t="s">
        <v>597</v>
      </c>
      <c r="C4186" t="s">
        <v>598</v>
      </c>
    </row>
    <row r="4187" spans="2:3" x14ac:dyDescent="0.35">
      <c r="B4187" t="s">
        <v>230</v>
      </c>
      <c r="C4187" t="s">
        <v>231</v>
      </c>
    </row>
    <row r="4188" spans="2:3" x14ac:dyDescent="0.35">
      <c r="B4188" t="s">
        <v>387</v>
      </c>
      <c r="C4188" t="s">
        <v>388</v>
      </c>
    </row>
    <row r="4189" spans="2:3" x14ac:dyDescent="0.35">
      <c r="B4189" t="s">
        <v>401</v>
      </c>
      <c r="C4189" t="s">
        <v>402</v>
      </c>
    </row>
    <row r="4190" spans="2:3" x14ac:dyDescent="0.35">
      <c r="B4190" t="s">
        <v>254</v>
      </c>
      <c r="C4190" t="s">
        <v>255</v>
      </c>
    </row>
    <row r="4191" spans="2:3" x14ac:dyDescent="0.35">
      <c r="B4191" t="s">
        <v>378</v>
      </c>
      <c r="C4191" t="s">
        <v>379</v>
      </c>
    </row>
    <row r="4192" spans="2:3" x14ac:dyDescent="0.35">
      <c r="B4192" t="s">
        <v>700</v>
      </c>
      <c r="C4192" t="s">
        <v>701</v>
      </c>
    </row>
    <row r="4193" spans="2:3" x14ac:dyDescent="0.35">
      <c r="B4193" t="s">
        <v>260</v>
      </c>
      <c r="C4193" t="s">
        <v>261</v>
      </c>
    </row>
    <row r="4194" spans="2:3" x14ac:dyDescent="0.35">
      <c r="B4194" t="s">
        <v>1195</v>
      </c>
      <c r="C4194" t="s">
        <v>1195</v>
      </c>
    </row>
    <row r="4195" spans="2:3" x14ac:dyDescent="0.35">
      <c r="B4195" t="s">
        <v>210</v>
      </c>
      <c r="C4195" t="s">
        <v>211</v>
      </c>
    </row>
    <row r="4196" spans="2:3" x14ac:dyDescent="0.35">
      <c r="B4196" t="s">
        <v>700</v>
      </c>
      <c r="C4196" t="s">
        <v>701</v>
      </c>
    </row>
    <row r="4197" spans="2:3" x14ac:dyDescent="0.35">
      <c r="B4197" t="s">
        <v>295</v>
      </c>
      <c r="C4197" t="s">
        <v>296</v>
      </c>
    </row>
    <row r="4198" spans="2:3" x14ac:dyDescent="0.35">
      <c r="B4198" t="s">
        <v>607</v>
      </c>
      <c r="C4198" t="s">
        <v>608</v>
      </c>
    </row>
    <row r="4199" spans="2:3" x14ac:dyDescent="0.35">
      <c r="B4199" t="s">
        <v>787</v>
      </c>
      <c r="C4199" t="s">
        <v>788</v>
      </c>
    </row>
    <row r="4200" spans="2:3" x14ac:dyDescent="0.35">
      <c r="B4200" t="s">
        <v>787</v>
      </c>
      <c r="C4200" t="s">
        <v>788</v>
      </c>
    </row>
    <row r="4201" spans="2:3" x14ac:dyDescent="0.35">
      <c r="B4201" t="s">
        <v>451</v>
      </c>
      <c r="C4201" t="s">
        <v>452</v>
      </c>
    </row>
    <row r="4202" spans="2:3" x14ac:dyDescent="0.35">
      <c r="B4202" t="s">
        <v>208</v>
      </c>
      <c r="C4202" t="s">
        <v>209</v>
      </c>
    </row>
    <row r="4203" spans="2:3" x14ac:dyDescent="0.35">
      <c r="B4203" t="s">
        <v>120</v>
      </c>
      <c r="C4203" t="s">
        <v>121</v>
      </c>
    </row>
    <row r="4204" spans="2:3" x14ac:dyDescent="0.35">
      <c r="B4204" t="s">
        <v>610</v>
      </c>
      <c r="C4204" t="s">
        <v>611</v>
      </c>
    </row>
    <row r="4205" spans="2:3" x14ac:dyDescent="0.35">
      <c r="B4205" t="s">
        <v>260</v>
      </c>
      <c r="C4205" t="s">
        <v>261</v>
      </c>
    </row>
    <row r="4206" spans="2:3" x14ac:dyDescent="0.35">
      <c r="B4206" t="s">
        <v>963</v>
      </c>
      <c r="C4206" t="s">
        <v>964</v>
      </c>
    </row>
    <row r="4207" spans="2:3" x14ac:dyDescent="0.35">
      <c r="B4207" t="s">
        <v>787</v>
      </c>
      <c r="C4207" t="s">
        <v>788</v>
      </c>
    </row>
    <row r="4208" spans="2:3" x14ac:dyDescent="0.35">
      <c r="B4208" t="s">
        <v>573</v>
      </c>
      <c r="C4208" t="s">
        <v>574</v>
      </c>
    </row>
    <row r="4209" spans="2:3" x14ac:dyDescent="0.35">
      <c r="B4209" t="s">
        <v>527</v>
      </c>
      <c r="C4209" t="s">
        <v>528</v>
      </c>
    </row>
    <row r="4210" spans="2:3" x14ac:dyDescent="0.35">
      <c r="B4210" t="s">
        <v>252</v>
      </c>
      <c r="C4210" t="s">
        <v>253</v>
      </c>
    </row>
    <row r="4211" spans="2:3" x14ac:dyDescent="0.35">
      <c r="B4211" t="s">
        <v>322</v>
      </c>
      <c r="C4211" t="s">
        <v>323</v>
      </c>
    </row>
    <row r="4212" spans="2:3" x14ac:dyDescent="0.35">
      <c r="B4212" t="s">
        <v>703</v>
      </c>
      <c r="C4212" t="s">
        <v>704</v>
      </c>
    </row>
    <row r="4213" spans="2:3" x14ac:dyDescent="0.35">
      <c r="B4213" t="s">
        <v>787</v>
      </c>
      <c r="C4213" t="s">
        <v>788</v>
      </c>
    </row>
    <row r="4214" spans="2:3" x14ac:dyDescent="0.35">
      <c r="B4214" t="s">
        <v>200</v>
      </c>
      <c r="C4214" t="s">
        <v>201</v>
      </c>
    </row>
    <row r="4215" spans="2:3" x14ac:dyDescent="0.35">
      <c r="B4215" t="s">
        <v>457</v>
      </c>
      <c r="C4215" t="s">
        <v>458</v>
      </c>
    </row>
    <row r="4216" spans="2:3" x14ac:dyDescent="0.35">
      <c r="B4216" t="s">
        <v>650</v>
      </c>
      <c r="C4216" t="s">
        <v>651</v>
      </c>
    </row>
    <row r="4217" spans="2:3" x14ac:dyDescent="0.35">
      <c r="B4217" t="s">
        <v>787</v>
      </c>
      <c r="C4217" t="s">
        <v>788</v>
      </c>
    </row>
    <row r="4218" spans="2:3" x14ac:dyDescent="0.35">
      <c r="B4218" t="s">
        <v>703</v>
      </c>
      <c r="C4218" t="s">
        <v>704</v>
      </c>
    </row>
    <row r="4219" spans="2:3" x14ac:dyDescent="0.35">
      <c r="B4219" t="s">
        <v>787</v>
      </c>
      <c r="C4219" t="s">
        <v>788</v>
      </c>
    </row>
    <row r="4220" spans="2:3" x14ac:dyDescent="0.35">
      <c r="B4220" t="s">
        <v>874</v>
      </c>
      <c r="C4220" t="s">
        <v>875</v>
      </c>
    </row>
    <row r="4221" spans="2:3" x14ac:dyDescent="0.35">
      <c r="B4221" t="s">
        <v>614</v>
      </c>
      <c r="C4221" t="s">
        <v>615</v>
      </c>
    </row>
    <row r="4222" spans="2:3" x14ac:dyDescent="0.35">
      <c r="B4222" t="s">
        <v>208</v>
      </c>
      <c r="C4222" t="s">
        <v>209</v>
      </c>
    </row>
    <row r="4223" spans="2:3" x14ac:dyDescent="0.35">
      <c r="B4223" t="s">
        <v>787</v>
      </c>
      <c r="C4223" t="s">
        <v>788</v>
      </c>
    </row>
    <row r="4224" spans="2:3" x14ac:dyDescent="0.35">
      <c r="B4224" t="s">
        <v>692</v>
      </c>
      <c r="C4224" t="s">
        <v>693</v>
      </c>
    </row>
    <row r="4225" spans="2:3" x14ac:dyDescent="0.35">
      <c r="B4225" t="s">
        <v>110</v>
      </c>
      <c r="C4225" t="s">
        <v>111</v>
      </c>
    </row>
    <row r="4226" spans="2:3" x14ac:dyDescent="0.35">
      <c r="B4226" t="s">
        <v>545</v>
      </c>
      <c r="C4226" t="s">
        <v>546</v>
      </c>
    </row>
    <row r="4227" spans="2:3" x14ac:dyDescent="0.35">
      <c r="B4227" t="s">
        <v>787</v>
      </c>
      <c r="C4227" t="s">
        <v>788</v>
      </c>
    </row>
    <row r="4228" spans="2:3" x14ac:dyDescent="0.35">
      <c r="B4228" t="s">
        <v>787</v>
      </c>
      <c r="C4228" t="s">
        <v>788</v>
      </c>
    </row>
    <row r="4229" spans="2:3" x14ac:dyDescent="0.35">
      <c r="B4229" t="s">
        <v>90</v>
      </c>
      <c r="C4229" t="s">
        <v>91</v>
      </c>
    </row>
    <row r="4230" spans="2:3" x14ac:dyDescent="0.35">
      <c r="B4230" t="s">
        <v>787</v>
      </c>
      <c r="C4230" t="s">
        <v>788</v>
      </c>
    </row>
    <row r="4231" spans="2:3" x14ac:dyDescent="0.35">
      <c r="B4231" t="s">
        <v>287</v>
      </c>
      <c r="C4231" t="s">
        <v>288</v>
      </c>
    </row>
    <row r="4232" spans="2:3" x14ac:dyDescent="0.35">
      <c r="B4232" t="s">
        <v>787</v>
      </c>
      <c r="C4232" t="s">
        <v>788</v>
      </c>
    </row>
    <row r="4233" spans="2:3" x14ac:dyDescent="0.35">
      <c r="B4233" t="s">
        <v>495</v>
      </c>
      <c r="C4233" t="s">
        <v>496</v>
      </c>
    </row>
    <row r="4234" spans="2:3" x14ac:dyDescent="0.35">
      <c r="B4234" t="s">
        <v>200</v>
      </c>
      <c r="C4234" t="s">
        <v>201</v>
      </c>
    </row>
    <row r="4235" spans="2:3" x14ac:dyDescent="0.35">
      <c r="B4235" t="s">
        <v>662</v>
      </c>
      <c r="C4235" t="s">
        <v>663</v>
      </c>
    </row>
    <row r="4236" spans="2:3" x14ac:dyDescent="0.35">
      <c r="B4236" t="s">
        <v>853</v>
      </c>
      <c r="C4236" t="s">
        <v>854</v>
      </c>
    </row>
    <row r="4237" spans="2:3" x14ac:dyDescent="0.35">
      <c r="B4237" t="s">
        <v>700</v>
      </c>
      <c r="C4237" t="s">
        <v>701</v>
      </c>
    </row>
    <row r="4238" spans="2:3" x14ac:dyDescent="0.35">
      <c r="B4238" t="s">
        <v>694</v>
      </c>
      <c r="C4238" t="s">
        <v>695</v>
      </c>
    </row>
    <row r="4239" spans="2:3" x14ac:dyDescent="0.35">
      <c r="B4239" t="s">
        <v>787</v>
      </c>
      <c r="C4239" t="s">
        <v>788</v>
      </c>
    </row>
    <row r="4240" spans="2:3" x14ac:dyDescent="0.35">
      <c r="B4240" t="s">
        <v>128</v>
      </c>
      <c r="C4240" t="s">
        <v>129</v>
      </c>
    </row>
    <row r="4241" spans="2:3" x14ac:dyDescent="0.35">
      <c r="B4241" t="s">
        <v>692</v>
      </c>
      <c r="C4241" t="s">
        <v>693</v>
      </c>
    </row>
    <row r="4242" spans="2:3" x14ac:dyDescent="0.35">
      <c r="B4242" t="s">
        <v>230</v>
      </c>
      <c r="C4242" t="s">
        <v>231</v>
      </c>
    </row>
    <row r="4243" spans="2:3" x14ac:dyDescent="0.35">
      <c r="B4243" t="s">
        <v>787</v>
      </c>
      <c r="C4243" t="s">
        <v>788</v>
      </c>
    </row>
    <row r="4244" spans="2:3" x14ac:dyDescent="0.35">
      <c r="B4244" t="s">
        <v>1195</v>
      </c>
      <c r="C4244" t="s">
        <v>1195</v>
      </c>
    </row>
    <row r="4245" spans="2:3" x14ac:dyDescent="0.35">
      <c r="B4245" t="s">
        <v>863</v>
      </c>
      <c r="C4245" t="s">
        <v>864</v>
      </c>
    </row>
    <row r="4246" spans="2:3" x14ac:dyDescent="0.35">
      <c r="B4246" t="s">
        <v>787</v>
      </c>
      <c r="C4246" t="s">
        <v>788</v>
      </c>
    </row>
    <row r="4247" spans="2:3" x14ac:dyDescent="0.35">
      <c r="B4247" t="s">
        <v>122</v>
      </c>
      <c r="C4247" t="s">
        <v>123</v>
      </c>
    </row>
    <row r="4248" spans="2:3" x14ac:dyDescent="0.35">
      <c r="B4248" t="s">
        <v>260</v>
      </c>
      <c r="C4248" t="s">
        <v>261</v>
      </c>
    </row>
    <row r="4249" spans="2:3" x14ac:dyDescent="0.35">
      <c r="B4249" t="s">
        <v>861</v>
      </c>
      <c r="C4249" t="s">
        <v>862</v>
      </c>
    </row>
    <row r="4250" spans="2:3" x14ac:dyDescent="0.35">
      <c r="B4250" t="s">
        <v>507</v>
      </c>
      <c r="C4250" t="s">
        <v>508</v>
      </c>
    </row>
    <row r="4251" spans="2:3" x14ac:dyDescent="0.35">
      <c r="B4251" t="s">
        <v>254</v>
      </c>
      <c r="C4251" t="s">
        <v>255</v>
      </c>
    </row>
    <row r="4252" spans="2:3" x14ac:dyDescent="0.35">
      <c r="B4252" t="s">
        <v>219</v>
      </c>
      <c r="C4252" t="s">
        <v>220</v>
      </c>
    </row>
    <row r="4253" spans="2:3" x14ac:dyDescent="0.35">
      <c r="B4253" t="s">
        <v>527</v>
      </c>
      <c r="C4253" t="s">
        <v>528</v>
      </c>
    </row>
    <row r="4254" spans="2:3" x14ac:dyDescent="0.35">
      <c r="B4254" t="s">
        <v>561</v>
      </c>
      <c r="C4254" t="s">
        <v>562</v>
      </c>
    </row>
    <row r="4255" spans="2:3" x14ac:dyDescent="0.35">
      <c r="B4255" t="s">
        <v>230</v>
      </c>
      <c r="C4255" t="s">
        <v>231</v>
      </c>
    </row>
    <row r="4256" spans="2:3" x14ac:dyDescent="0.35">
      <c r="B4256" t="s">
        <v>642</v>
      </c>
      <c r="C4256" t="s">
        <v>643</v>
      </c>
    </row>
    <row r="4257" spans="2:3" x14ac:dyDescent="0.35">
      <c r="B4257" t="s">
        <v>694</v>
      </c>
      <c r="C4257" t="s">
        <v>695</v>
      </c>
    </row>
    <row r="4258" spans="2:3" x14ac:dyDescent="0.35">
      <c r="B4258" t="s">
        <v>122</v>
      </c>
      <c r="C4258" t="s">
        <v>123</v>
      </c>
    </row>
    <row r="4259" spans="2:3" x14ac:dyDescent="0.35">
      <c r="B4259" t="s">
        <v>90</v>
      </c>
      <c r="C4259" t="s">
        <v>91</v>
      </c>
    </row>
    <row r="4260" spans="2:3" x14ac:dyDescent="0.35">
      <c r="B4260" t="s">
        <v>428</v>
      </c>
      <c r="C4260" t="s">
        <v>429</v>
      </c>
    </row>
    <row r="4261" spans="2:3" x14ac:dyDescent="0.35">
      <c r="B4261" t="s">
        <v>84</v>
      </c>
      <c r="C4261" t="s">
        <v>85</v>
      </c>
    </row>
    <row r="4262" spans="2:3" x14ac:dyDescent="0.35">
      <c r="B4262" t="s">
        <v>378</v>
      </c>
      <c r="C4262" t="s">
        <v>379</v>
      </c>
    </row>
    <row r="4263" spans="2:3" x14ac:dyDescent="0.35">
      <c r="B4263" t="s">
        <v>650</v>
      </c>
      <c r="C4263" t="s">
        <v>651</v>
      </c>
    </row>
    <row r="4264" spans="2:3" x14ac:dyDescent="0.35">
      <c r="B4264" t="s">
        <v>465</v>
      </c>
      <c r="C4264" t="s">
        <v>466</v>
      </c>
    </row>
    <row r="4265" spans="2:3" x14ac:dyDescent="0.35">
      <c r="B4265" t="s">
        <v>501</v>
      </c>
      <c r="C4265" t="s">
        <v>502</v>
      </c>
    </row>
    <row r="4266" spans="2:3" x14ac:dyDescent="0.35">
      <c r="B4266" t="s">
        <v>674</v>
      </c>
      <c r="C4266" t="s">
        <v>675</v>
      </c>
    </row>
    <row r="4267" spans="2:3" x14ac:dyDescent="0.35">
      <c r="B4267" t="s">
        <v>293</v>
      </c>
      <c r="C4267" t="s">
        <v>294</v>
      </c>
    </row>
    <row r="4268" spans="2:3" x14ac:dyDescent="0.35">
      <c r="B4268" t="s">
        <v>662</v>
      </c>
      <c r="C4268" t="s">
        <v>663</v>
      </c>
    </row>
    <row r="4269" spans="2:3" x14ac:dyDescent="0.35">
      <c r="B4269" t="s">
        <v>273</v>
      </c>
      <c r="C4269" t="s">
        <v>274</v>
      </c>
    </row>
    <row r="4270" spans="2:3" x14ac:dyDescent="0.35">
      <c r="B4270" t="s">
        <v>543</v>
      </c>
      <c r="C4270" t="s">
        <v>544</v>
      </c>
    </row>
    <row r="4271" spans="2:3" x14ac:dyDescent="0.35">
      <c r="B4271" t="s">
        <v>230</v>
      </c>
      <c r="C4271" t="s">
        <v>231</v>
      </c>
    </row>
    <row r="4272" spans="2:3" x14ac:dyDescent="0.35">
      <c r="B4272" t="s">
        <v>559</v>
      </c>
      <c r="C4272" t="s">
        <v>560</v>
      </c>
    </row>
    <row r="4273" spans="2:3" x14ac:dyDescent="0.35">
      <c r="B4273" t="s">
        <v>434</v>
      </c>
      <c r="C4273" t="s">
        <v>435</v>
      </c>
    </row>
    <row r="4274" spans="2:3" x14ac:dyDescent="0.35">
      <c r="B4274" t="s">
        <v>632</v>
      </c>
      <c r="C4274" t="s">
        <v>633</v>
      </c>
    </row>
    <row r="4275" spans="2:3" x14ac:dyDescent="0.35">
      <c r="B4275" t="s">
        <v>174</v>
      </c>
      <c r="C4275" t="s">
        <v>175</v>
      </c>
    </row>
    <row r="4276" spans="2:3" x14ac:dyDescent="0.35">
      <c r="B4276" t="s">
        <v>260</v>
      </c>
      <c r="C4276" t="s">
        <v>261</v>
      </c>
    </row>
    <row r="4277" spans="2:3" x14ac:dyDescent="0.35">
      <c r="B4277" t="s">
        <v>105</v>
      </c>
      <c r="C4277" t="s">
        <v>106</v>
      </c>
    </row>
    <row r="4278" spans="2:3" x14ac:dyDescent="0.35">
      <c r="B4278" t="s">
        <v>599</v>
      </c>
      <c r="C4278" t="s">
        <v>600</v>
      </c>
    </row>
    <row r="4279" spans="2:3" x14ac:dyDescent="0.35">
      <c r="B4279" t="s">
        <v>260</v>
      </c>
      <c r="C4279" t="s">
        <v>261</v>
      </c>
    </row>
    <row r="4280" spans="2:3" x14ac:dyDescent="0.35">
      <c r="B4280" t="s">
        <v>652</v>
      </c>
      <c r="C4280" t="s">
        <v>653</v>
      </c>
    </row>
    <row r="4281" spans="2:3" x14ac:dyDescent="0.35">
      <c r="B4281" t="s">
        <v>694</v>
      </c>
      <c r="C4281" t="s">
        <v>695</v>
      </c>
    </row>
    <row r="4282" spans="2:3" x14ac:dyDescent="0.35">
      <c r="B4282" t="s">
        <v>105</v>
      </c>
      <c r="C4282" t="s">
        <v>106</v>
      </c>
    </row>
    <row r="4283" spans="2:3" x14ac:dyDescent="0.35">
      <c r="B4283" t="s">
        <v>662</v>
      </c>
      <c r="C4283" t="s">
        <v>663</v>
      </c>
    </row>
    <row r="4284" spans="2:3" x14ac:dyDescent="0.35">
      <c r="B4284" t="s">
        <v>543</v>
      </c>
      <c r="C4284" t="s">
        <v>544</v>
      </c>
    </row>
    <row r="4285" spans="2:3" x14ac:dyDescent="0.35">
      <c r="B4285" t="s">
        <v>128</v>
      </c>
      <c r="C4285" t="s">
        <v>129</v>
      </c>
    </row>
    <row r="4286" spans="2:3" x14ac:dyDescent="0.35">
      <c r="B4286" t="s">
        <v>202</v>
      </c>
      <c r="C4286" t="s">
        <v>203</v>
      </c>
    </row>
    <row r="4287" spans="2:3" x14ac:dyDescent="0.35">
      <c r="B4287" t="s">
        <v>287</v>
      </c>
      <c r="C4287" t="s">
        <v>288</v>
      </c>
    </row>
    <row r="4288" spans="2:3" x14ac:dyDescent="0.35">
      <c r="B4288" t="s">
        <v>658</v>
      </c>
      <c r="C4288" t="s">
        <v>659</v>
      </c>
    </row>
    <row r="4289" spans="2:3" x14ac:dyDescent="0.35">
      <c r="B4289" t="s">
        <v>219</v>
      </c>
      <c r="C4289" t="s">
        <v>220</v>
      </c>
    </row>
    <row r="4290" spans="2:3" x14ac:dyDescent="0.35">
      <c r="B4290" t="s">
        <v>622</v>
      </c>
      <c r="C4290" t="s">
        <v>623</v>
      </c>
    </row>
    <row r="4291" spans="2:3" x14ac:dyDescent="0.35">
      <c r="B4291" t="s">
        <v>787</v>
      </c>
      <c r="C4291" t="s">
        <v>788</v>
      </c>
    </row>
    <row r="4292" spans="2:3" x14ac:dyDescent="0.35">
      <c r="B4292" t="s">
        <v>210</v>
      </c>
      <c r="C4292" t="s">
        <v>211</v>
      </c>
    </row>
    <row r="4293" spans="2:3" x14ac:dyDescent="0.35">
      <c r="B4293" t="s">
        <v>694</v>
      </c>
      <c r="C4293" t="s">
        <v>695</v>
      </c>
    </row>
    <row r="4294" spans="2:3" x14ac:dyDescent="0.35">
      <c r="B4294" t="s">
        <v>384</v>
      </c>
      <c r="C4294" t="s">
        <v>385</v>
      </c>
    </row>
    <row r="4295" spans="2:3" x14ac:dyDescent="0.35">
      <c r="B4295" t="s">
        <v>465</v>
      </c>
      <c r="C4295" t="s">
        <v>466</v>
      </c>
    </row>
    <row r="4296" spans="2:3" x14ac:dyDescent="0.35">
      <c r="B4296" t="s">
        <v>787</v>
      </c>
      <c r="C4296" t="s">
        <v>788</v>
      </c>
    </row>
    <row r="4297" spans="2:3" x14ac:dyDescent="0.35">
      <c r="B4297" t="s">
        <v>787</v>
      </c>
      <c r="C4297" t="s">
        <v>788</v>
      </c>
    </row>
    <row r="4298" spans="2:3" x14ac:dyDescent="0.35">
      <c r="B4298" t="s">
        <v>950</v>
      </c>
      <c r="C4298" t="s">
        <v>951</v>
      </c>
    </row>
    <row r="4299" spans="2:3" x14ac:dyDescent="0.35">
      <c r="B4299" t="s">
        <v>230</v>
      </c>
      <c r="C4299" t="s">
        <v>231</v>
      </c>
    </row>
    <row r="4300" spans="2:3" x14ac:dyDescent="0.35">
      <c r="B4300" t="s">
        <v>346</v>
      </c>
      <c r="C4300" t="s">
        <v>347</v>
      </c>
    </row>
    <row r="4301" spans="2:3" x14ac:dyDescent="0.35">
      <c r="B4301" t="s">
        <v>208</v>
      </c>
      <c r="C4301" t="s">
        <v>209</v>
      </c>
    </row>
    <row r="4302" spans="2:3" x14ac:dyDescent="0.35">
      <c r="B4302" t="s">
        <v>1061</v>
      </c>
      <c r="C4302" t="s">
        <v>1062</v>
      </c>
    </row>
    <row r="4303" spans="2:3" x14ac:dyDescent="0.35">
      <c r="B4303" t="s">
        <v>692</v>
      </c>
      <c r="C4303" t="s">
        <v>693</v>
      </c>
    </row>
    <row r="4304" spans="2:3" x14ac:dyDescent="0.35">
      <c r="B4304" t="s">
        <v>640</v>
      </c>
      <c r="C4304" t="s">
        <v>641</v>
      </c>
    </row>
    <row r="4305" spans="2:3" x14ac:dyDescent="0.35">
      <c r="B4305" t="s">
        <v>640</v>
      </c>
      <c r="C4305" t="s">
        <v>641</v>
      </c>
    </row>
    <row r="4306" spans="2:3" x14ac:dyDescent="0.35">
      <c r="B4306" t="s">
        <v>56</v>
      </c>
      <c r="C4306" t="s">
        <v>57</v>
      </c>
    </row>
    <row r="4307" spans="2:3" x14ac:dyDescent="0.35">
      <c r="B4307" t="s">
        <v>591</v>
      </c>
      <c r="C4307" t="s">
        <v>592</v>
      </c>
    </row>
    <row r="4308" spans="2:3" x14ac:dyDescent="0.35">
      <c r="B4308" t="s">
        <v>640</v>
      </c>
      <c r="C4308" t="s">
        <v>641</v>
      </c>
    </row>
    <row r="4309" spans="2:3" x14ac:dyDescent="0.35">
      <c r="B4309" t="s">
        <v>787</v>
      </c>
      <c r="C4309" t="s">
        <v>788</v>
      </c>
    </row>
    <row r="4310" spans="2:3" x14ac:dyDescent="0.35">
      <c r="B4310" t="s">
        <v>632</v>
      </c>
      <c r="C4310" t="s">
        <v>633</v>
      </c>
    </row>
    <row r="4311" spans="2:3" x14ac:dyDescent="0.35">
      <c r="B4311" t="s">
        <v>198</v>
      </c>
      <c r="C4311" t="s">
        <v>199</v>
      </c>
    </row>
    <row r="4312" spans="2:3" x14ac:dyDescent="0.35">
      <c r="B4312" t="s">
        <v>122</v>
      </c>
      <c r="C4312" t="s">
        <v>123</v>
      </c>
    </row>
    <row r="4313" spans="2:3" x14ac:dyDescent="0.35">
      <c r="B4313" t="s">
        <v>254</v>
      </c>
      <c r="C4313" t="s">
        <v>255</v>
      </c>
    </row>
    <row r="4314" spans="2:3" x14ac:dyDescent="0.35">
      <c r="B4314" t="s">
        <v>105</v>
      </c>
      <c r="C4314" t="s">
        <v>106</v>
      </c>
    </row>
    <row r="4315" spans="2:3" x14ac:dyDescent="0.35">
      <c r="B4315" t="s">
        <v>208</v>
      </c>
      <c r="C4315" t="s">
        <v>209</v>
      </c>
    </row>
    <row r="4316" spans="2:3" x14ac:dyDescent="0.35">
      <c r="B4316" t="s">
        <v>787</v>
      </c>
      <c r="C4316" t="s">
        <v>788</v>
      </c>
    </row>
    <row r="4317" spans="2:3" x14ac:dyDescent="0.35">
      <c r="B4317" t="s">
        <v>703</v>
      </c>
      <c r="C4317" t="s">
        <v>704</v>
      </c>
    </row>
    <row r="4318" spans="2:3" x14ac:dyDescent="0.35">
      <c r="B4318" t="s">
        <v>208</v>
      </c>
      <c r="C4318" t="s">
        <v>209</v>
      </c>
    </row>
    <row r="4319" spans="2:3" x14ac:dyDescent="0.35">
      <c r="B4319" t="s">
        <v>1172</v>
      </c>
      <c r="C4319" t="s">
        <v>1173</v>
      </c>
    </row>
    <row r="4320" spans="2:3" x14ac:dyDescent="0.35">
      <c r="B4320" t="s">
        <v>605</v>
      </c>
      <c r="C4320" t="s">
        <v>606</v>
      </c>
    </row>
    <row r="4321" spans="2:3" x14ac:dyDescent="0.35">
      <c r="B4321" t="s">
        <v>1061</v>
      </c>
      <c r="C4321" t="s">
        <v>1062</v>
      </c>
    </row>
    <row r="4322" spans="2:3" x14ac:dyDescent="0.35">
      <c r="B4322" t="s">
        <v>350</v>
      </c>
      <c r="C4322" t="s">
        <v>351</v>
      </c>
    </row>
    <row r="4323" spans="2:3" x14ac:dyDescent="0.35">
      <c r="B4323" t="s">
        <v>501</v>
      </c>
      <c r="C4323" t="s">
        <v>502</v>
      </c>
    </row>
    <row r="4324" spans="2:3" x14ac:dyDescent="0.35">
      <c r="B4324" t="s">
        <v>128</v>
      </c>
      <c r="C4324" t="s">
        <v>129</v>
      </c>
    </row>
    <row r="4325" spans="2:3" x14ac:dyDescent="0.35">
      <c r="B4325" t="s">
        <v>465</v>
      </c>
      <c r="C4325" t="s">
        <v>466</v>
      </c>
    </row>
    <row r="4326" spans="2:3" x14ac:dyDescent="0.35">
      <c r="B4326" t="s">
        <v>122</v>
      </c>
      <c r="C4326" t="s">
        <v>123</v>
      </c>
    </row>
    <row r="4327" spans="2:3" x14ac:dyDescent="0.35">
      <c r="B4327" t="s">
        <v>692</v>
      </c>
      <c r="C4327" t="s">
        <v>693</v>
      </c>
    </row>
    <row r="4328" spans="2:3" x14ac:dyDescent="0.35">
      <c r="B4328" t="s">
        <v>676</v>
      </c>
      <c r="C4328" t="s">
        <v>677</v>
      </c>
    </row>
    <row r="4329" spans="2:3" x14ac:dyDescent="0.35">
      <c r="B4329" t="s">
        <v>703</v>
      </c>
      <c r="C4329" t="s">
        <v>704</v>
      </c>
    </row>
    <row r="4330" spans="2:3" x14ac:dyDescent="0.35">
      <c r="B4330" t="s">
        <v>700</v>
      </c>
      <c r="C4330" t="s">
        <v>701</v>
      </c>
    </row>
    <row r="4331" spans="2:3" x14ac:dyDescent="0.35">
      <c r="B4331" t="s">
        <v>260</v>
      </c>
      <c r="C4331" t="s">
        <v>261</v>
      </c>
    </row>
    <row r="4332" spans="2:3" x14ac:dyDescent="0.35">
      <c r="B4332" t="s">
        <v>208</v>
      </c>
      <c r="C4332" t="s">
        <v>209</v>
      </c>
    </row>
    <row r="4333" spans="2:3" x14ac:dyDescent="0.35">
      <c r="B4333" t="s">
        <v>350</v>
      </c>
      <c r="C4333" t="s">
        <v>351</v>
      </c>
    </row>
    <row r="4334" spans="2:3" x14ac:dyDescent="0.35">
      <c r="B4334" t="s">
        <v>622</v>
      </c>
      <c r="C4334" t="s">
        <v>623</v>
      </c>
    </row>
    <row r="4335" spans="2:3" x14ac:dyDescent="0.35">
      <c r="B4335" t="s">
        <v>455</v>
      </c>
      <c r="C4335" t="s">
        <v>456</v>
      </c>
    </row>
    <row r="4336" spans="2:3" x14ac:dyDescent="0.35">
      <c r="B4336" t="s">
        <v>787</v>
      </c>
      <c r="C4336" t="s">
        <v>788</v>
      </c>
    </row>
    <row r="4337" spans="2:3" x14ac:dyDescent="0.35">
      <c r="B4337" t="s">
        <v>870</v>
      </c>
      <c r="C4337" t="s">
        <v>871</v>
      </c>
    </row>
    <row r="4338" spans="2:3" x14ac:dyDescent="0.35">
      <c r="B4338" t="s">
        <v>346</v>
      </c>
      <c r="C4338" t="s">
        <v>347</v>
      </c>
    </row>
    <row r="4339" spans="2:3" x14ac:dyDescent="0.35">
      <c r="B4339" t="s">
        <v>404</v>
      </c>
      <c r="C4339" t="s">
        <v>405</v>
      </c>
    </row>
    <row r="4340" spans="2:3" x14ac:dyDescent="0.35">
      <c r="B4340" t="s">
        <v>163</v>
      </c>
      <c r="C4340" t="s">
        <v>164</v>
      </c>
    </row>
    <row r="4341" spans="2:3" x14ac:dyDescent="0.35">
      <c r="B4341" t="s">
        <v>632</v>
      </c>
      <c r="C4341" t="s">
        <v>633</v>
      </c>
    </row>
    <row r="4342" spans="2:3" x14ac:dyDescent="0.35">
      <c r="B4342" t="s">
        <v>787</v>
      </c>
      <c r="C4342" t="s">
        <v>788</v>
      </c>
    </row>
    <row r="4343" spans="2:3" x14ac:dyDescent="0.35">
      <c r="B4343" t="s">
        <v>384</v>
      </c>
      <c r="C4343" t="s">
        <v>385</v>
      </c>
    </row>
    <row r="4344" spans="2:3" x14ac:dyDescent="0.35">
      <c r="B4344" t="s">
        <v>787</v>
      </c>
      <c r="C4344" t="s">
        <v>788</v>
      </c>
    </row>
    <row r="4345" spans="2:3" x14ac:dyDescent="0.35">
      <c r="B4345" t="s">
        <v>457</v>
      </c>
      <c r="C4345" t="s">
        <v>458</v>
      </c>
    </row>
    <row r="4346" spans="2:3" x14ac:dyDescent="0.35">
      <c r="B4346" t="s">
        <v>533</v>
      </c>
      <c r="C4346" t="s">
        <v>534</v>
      </c>
    </row>
    <row r="4347" spans="2:3" x14ac:dyDescent="0.35">
      <c r="B4347" t="s">
        <v>787</v>
      </c>
      <c r="C4347" t="s">
        <v>788</v>
      </c>
    </row>
    <row r="4348" spans="2:3" x14ac:dyDescent="0.35">
      <c r="B4348" t="s">
        <v>787</v>
      </c>
      <c r="C4348" t="s">
        <v>788</v>
      </c>
    </row>
    <row r="4349" spans="2:3" x14ac:dyDescent="0.35">
      <c r="B4349" t="s">
        <v>128</v>
      </c>
      <c r="C4349" t="s">
        <v>129</v>
      </c>
    </row>
    <row r="4350" spans="2:3" x14ac:dyDescent="0.35">
      <c r="B4350" t="s">
        <v>128</v>
      </c>
      <c r="C4350" t="s">
        <v>129</v>
      </c>
    </row>
    <row r="4351" spans="2:3" x14ac:dyDescent="0.35">
      <c r="B4351" t="s">
        <v>358</v>
      </c>
      <c r="C4351" t="s">
        <v>359</v>
      </c>
    </row>
    <row r="4352" spans="2:3" x14ac:dyDescent="0.35">
      <c r="B4352" t="s">
        <v>787</v>
      </c>
      <c r="C4352" t="s">
        <v>788</v>
      </c>
    </row>
    <row r="4353" spans="2:3" x14ac:dyDescent="0.35">
      <c r="B4353" t="s">
        <v>260</v>
      </c>
      <c r="C4353" t="s">
        <v>261</v>
      </c>
    </row>
    <row r="4354" spans="2:3" x14ac:dyDescent="0.35">
      <c r="B4354" t="s">
        <v>465</v>
      </c>
      <c r="C4354" t="s">
        <v>466</v>
      </c>
    </row>
    <row r="4355" spans="2:3" x14ac:dyDescent="0.35">
      <c r="B4355" t="s">
        <v>128</v>
      </c>
      <c r="C4355" t="s">
        <v>129</v>
      </c>
    </row>
    <row r="4356" spans="2:3" x14ac:dyDescent="0.35">
      <c r="B4356" t="s">
        <v>230</v>
      </c>
      <c r="C4356" t="s">
        <v>231</v>
      </c>
    </row>
    <row r="4357" spans="2:3" x14ac:dyDescent="0.35">
      <c r="B4357" t="s">
        <v>787</v>
      </c>
      <c r="C4357" t="s">
        <v>788</v>
      </c>
    </row>
    <row r="4358" spans="2:3" x14ac:dyDescent="0.35">
      <c r="B4358" t="s">
        <v>260</v>
      </c>
      <c r="C4358" t="s">
        <v>261</v>
      </c>
    </row>
    <row r="4359" spans="2:3" x14ac:dyDescent="0.35">
      <c r="B4359" t="s">
        <v>72</v>
      </c>
      <c r="C4359" t="s">
        <v>73</v>
      </c>
    </row>
    <row r="4360" spans="2:3" x14ac:dyDescent="0.35">
      <c r="B4360" t="s">
        <v>467</v>
      </c>
      <c r="C4360" t="s">
        <v>468</v>
      </c>
    </row>
    <row r="4361" spans="2:3" x14ac:dyDescent="0.35">
      <c r="B4361" t="s">
        <v>961</v>
      </c>
      <c r="C4361" t="s">
        <v>962</v>
      </c>
    </row>
    <row r="4362" spans="2:3" x14ac:dyDescent="0.35">
      <c r="B4362" t="s">
        <v>178</v>
      </c>
      <c r="C4362" t="s">
        <v>179</v>
      </c>
    </row>
    <row r="4363" spans="2:3" x14ac:dyDescent="0.35">
      <c r="B4363" t="s">
        <v>208</v>
      </c>
      <c r="C4363" t="s">
        <v>209</v>
      </c>
    </row>
    <row r="4364" spans="2:3" x14ac:dyDescent="0.35">
      <c r="B4364" t="s">
        <v>787</v>
      </c>
      <c r="C4364" t="s">
        <v>788</v>
      </c>
    </row>
    <row r="4365" spans="2:3" x14ac:dyDescent="0.35">
      <c r="B4365" t="s">
        <v>874</v>
      </c>
      <c r="C4365" t="s">
        <v>875</v>
      </c>
    </row>
    <row r="4366" spans="2:3" x14ac:dyDescent="0.35">
      <c r="B4366" t="s">
        <v>692</v>
      </c>
      <c r="C4366" t="s">
        <v>693</v>
      </c>
    </row>
    <row r="4367" spans="2:3" x14ac:dyDescent="0.35">
      <c r="B4367" t="s">
        <v>700</v>
      </c>
      <c r="C4367" t="s">
        <v>701</v>
      </c>
    </row>
    <row r="4368" spans="2:3" x14ac:dyDescent="0.35">
      <c r="B4368" t="s">
        <v>692</v>
      </c>
      <c r="C4368" t="s">
        <v>693</v>
      </c>
    </row>
    <row r="4369" spans="2:3" x14ac:dyDescent="0.35">
      <c r="B4369" t="s">
        <v>601</v>
      </c>
      <c r="C4369" t="s">
        <v>602</v>
      </c>
    </row>
    <row r="4370" spans="2:3" x14ac:dyDescent="0.35">
      <c r="B4370" t="s">
        <v>787</v>
      </c>
      <c r="C4370" t="s">
        <v>788</v>
      </c>
    </row>
    <row r="4371" spans="2:3" x14ac:dyDescent="0.35">
      <c r="B4371" t="s">
        <v>872</v>
      </c>
      <c r="C4371" t="s">
        <v>873</v>
      </c>
    </row>
    <row r="4372" spans="2:3" x14ac:dyDescent="0.35">
      <c r="B4372" t="s">
        <v>787</v>
      </c>
      <c r="C4372" t="s">
        <v>788</v>
      </c>
    </row>
    <row r="4373" spans="2:3" x14ac:dyDescent="0.35">
      <c r="B4373" t="s">
        <v>346</v>
      </c>
      <c r="C4373" t="s">
        <v>347</v>
      </c>
    </row>
    <row r="4374" spans="2:3" x14ac:dyDescent="0.35">
      <c r="B4374" t="s">
        <v>787</v>
      </c>
      <c r="C4374" t="s">
        <v>788</v>
      </c>
    </row>
    <row r="4375" spans="2:3" x14ac:dyDescent="0.35">
      <c r="B4375" t="s">
        <v>527</v>
      </c>
      <c r="C4375" t="s">
        <v>528</v>
      </c>
    </row>
    <row r="4376" spans="2:3" x14ac:dyDescent="0.35">
      <c r="B4376" t="s">
        <v>958</v>
      </c>
      <c r="C4376" t="s">
        <v>959</v>
      </c>
    </row>
    <row r="4377" spans="2:3" x14ac:dyDescent="0.35">
      <c r="B4377" t="s">
        <v>393</v>
      </c>
      <c r="C4377" t="s">
        <v>394</v>
      </c>
    </row>
    <row r="4378" spans="2:3" x14ac:dyDescent="0.35">
      <c r="B4378" t="s">
        <v>692</v>
      </c>
      <c r="C4378" t="s">
        <v>693</v>
      </c>
    </row>
    <row r="4379" spans="2:3" x14ac:dyDescent="0.35">
      <c r="B4379" t="s">
        <v>700</v>
      </c>
      <c r="C4379" t="s">
        <v>701</v>
      </c>
    </row>
    <row r="4380" spans="2:3" x14ac:dyDescent="0.35">
      <c r="B4380" t="s">
        <v>648</v>
      </c>
      <c r="C4380" t="s">
        <v>649</v>
      </c>
    </row>
    <row r="4381" spans="2:3" x14ac:dyDescent="0.35">
      <c r="B4381" t="s">
        <v>455</v>
      </c>
      <c r="C4381" t="s">
        <v>456</v>
      </c>
    </row>
    <row r="4382" spans="2:3" x14ac:dyDescent="0.35">
      <c r="B4382" t="s">
        <v>607</v>
      </c>
      <c r="C4382" t="s">
        <v>608</v>
      </c>
    </row>
    <row r="4383" spans="2:3" x14ac:dyDescent="0.35">
      <c r="B4383" t="s">
        <v>870</v>
      </c>
      <c r="C4383" t="s">
        <v>871</v>
      </c>
    </row>
    <row r="4384" spans="2:3" x14ac:dyDescent="0.35">
      <c r="B4384" t="s">
        <v>322</v>
      </c>
      <c r="C4384" t="s">
        <v>323</v>
      </c>
    </row>
    <row r="4385" spans="2:3" x14ac:dyDescent="0.35">
      <c r="B4385" t="s">
        <v>128</v>
      </c>
      <c r="C4385" t="s">
        <v>129</v>
      </c>
    </row>
    <row r="4386" spans="2:3" x14ac:dyDescent="0.35">
      <c r="B4386" t="s">
        <v>120</v>
      </c>
      <c r="C4386" t="s">
        <v>121</v>
      </c>
    </row>
    <row r="4387" spans="2:3" x14ac:dyDescent="0.35">
      <c r="B4387" t="s">
        <v>254</v>
      </c>
      <c r="C4387" t="s">
        <v>255</v>
      </c>
    </row>
    <row r="4388" spans="2:3" x14ac:dyDescent="0.35">
      <c r="B4388" t="s">
        <v>174</v>
      </c>
      <c r="C4388" t="s">
        <v>175</v>
      </c>
    </row>
    <row r="4389" spans="2:3" x14ac:dyDescent="0.35">
      <c r="B4389" t="s">
        <v>593</v>
      </c>
      <c r="C4389" t="s">
        <v>594</v>
      </c>
    </row>
    <row r="4390" spans="2:3" x14ac:dyDescent="0.35">
      <c r="B4390" t="s">
        <v>787</v>
      </c>
      <c r="C4390" t="s">
        <v>788</v>
      </c>
    </row>
    <row r="4391" spans="2:3" x14ac:dyDescent="0.35">
      <c r="B4391" t="s">
        <v>622</v>
      </c>
      <c r="C4391" t="s">
        <v>623</v>
      </c>
    </row>
    <row r="4392" spans="2:3" x14ac:dyDescent="0.35">
      <c r="B4392" t="s">
        <v>529</v>
      </c>
      <c r="C4392" t="s">
        <v>530</v>
      </c>
    </row>
    <row r="4393" spans="2:3" x14ac:dyDescent="0.35">
      <c r="B4393" t="s">
        <v>350</v>
      </c>
      <c r="C4393" t="s">
        <v>351</v>
      </c>
    </row>
    <row r="4394" spans="2:3" x14ac:dyDescent="0.35">
      <c r="B4394" t="s">
        <v>322</v>
      </c>
      <c r="C4394" t="s">
        <v>323</v>
      </c>
    </row>
    <row r="4395" spans="2:3" x14ac:dyDescent="0.35">
      <c r="B4395" t="s">
        <v>703</v>
      </c>
      <c r="C4395" t="s">
        <v>704</v>
      </c>
    </row>
    <row r="4396" spans="2:3" x14ac:dyDescent="0.35">
      <c r="B4396" t="s">
        <v>138</v>
      </c>
      <c r="C4396" t="s">
        <v>139</v>
      </c>
    </row>
    <row r="4397" spans="2:3" x14ac:dyDescent="0.35">
      <c r="B4397" t="s">
        <v>110</v>
      </c>
      <c r="C4397" t="s">
        <v>111</v>
      </c>
    </row>
    <row r="4398" spans="2:3" x14ac:dyDescent="0.35">
      <c r="B4398" t="s">
        <v>410</v>
      </c>
      <c r="C4398" t="s">
        <v>411</v>
      </c>
    </row>
    <row r="4399" spans="2:3" x14ac:dyDescent="0.35">
      <c r="B4399" t="s">
        <v>463</v>
      </c>
      <c r="C4399" t="s">
        <v>464</v>
      </c>
    </row>
    <row r="4400" spans="2:3" x14ac:dyDescent="0.35">
      <c r="B4400" t="s">
        <v>700</v>
      </c>
      <c r="C4400" t="s">
        <v>701</v>
      </c>
    </row>
    <row r="4401" spans="2:3" x14ac:dyDescent="0.35">
      <c r="B4401" t="s">
        <v>618</v>
      </c>
      <c r="C4401" t="s">
        <v>619</v>
      </c>
    </row>
    <row r="4402" spans="2:3" x14ac:dyDescent="0.35">
      <c r="B4402" t="s">
        <v>103</v>
      </c>
      <c r="C4402" t="s">
        <v>104</v>
      </c>
    </row>
    <row r="4403" spans="2:3" x14ac:dyDescent="0.35">
      <c r="B4403" t="s">
        <v>787</v>
      </c>
      <c r="C4403" t="s">
        <v>788</v>
      </c>
    </row>
    <row r="4404" spans="2:3" x14ac:dyDescent="0.35">
      <c r="B4404" t="s">
        <v>787</v>
      </c>
      <c r="C4404" t="s">
        <v>788</v>
      </c>
    </row>
    <row r="4405" spans="2:3" x14ac:dyDescent="0.35">
      <c r="B4405" t="s">
        <v>430</v>
      </c>
      <c r="C4405" t="s">
        <v>431</v>
      </c>
    </row>
    <row r="4406" spans="2:3" x14ac:dyDescent="0.35">
      <c r="B4406" t="s">
        <v>543</v>
      </c>
      <c r="C4406" t="s">
        <v>544</v>
      </c>
    </row>
    <row r="4407" spans="2:3" x14ac:dyDescent="0.35">
      <c r="B4407" t="s">
        <v>571</v>
      </c>
      <c r="C4407" t="s">
        <v>572</v>
      </c>
    </row>
    <row r="4408" spans="2:3" x14ac:dyDescent="0.35">
      <c r="B4408" t="s">
        <v>219</v>
      </c>
      <c r="C4408" t="s">
        <v>220</v>
      </c>
    </row>
    <row r="4409" spans="2:3" x14ac:dyDescent="0.35">
      <c r="B4409" t="s">
        <v>640</v>
      </c>
      <c r="C4409" t="s">
        <v>641</v>
      </c>
    </row>
    <row r="4410" spans="2:3" x14ac:dyDescent="0.35">
      <c r="B4410" t="s">
        <v>1061</v>
      </c>
      <c r="C4410" t="s">
        <v>1062</v>
      </c>
    </row>
    <row r="4411" spans="2:3" x14ac:dyDescent="0.35">
      <c r="B4411" t="s">
        <v>230</v>
      </c>
      <c r="C4411" t="s">
        <v>231</v>
      </c>
    </row>
    <row r="4412" spans="2:3" x14ac:dyDescent="0.35">
      <c r="B4412" t="s">
        <v>787</v>
      </c>
      <c r="C4412" t="s">
        <v>788</v>
      </c>
    </row>
    <row r="4413" spans="2:3" x14ac:dyDescent="0.35">
      <c r="B4413" t="s">
        <v>703</v>
      </c>
      <c r="C4413" t="s">
        <v>704</v>
      </c>
    </row>
    <row r="4414" spans="2:3" x14ac:dyDescent="0.35">
      <c r="B4414" t="s">
        <v>260</v>
      </c>
      <c r="C4414" t="s">
        <v>261</v>
      </c>
    </row>
    <row r="4415" spans="2:3" x14ac:dyDescent="0.35">
      <c r="B4415" t="s">
        <v>208</v>
      </c>
      <c r="C4415" t="s">
        <v>209</v>
      </c>
    </row>
    <row r="4416" spans="2:3" x14ac:dyDescent="0.35">
      <c r="B4416" t="s">
        <v>692</v>
      </c>
      <c r="C4416" t="s">
        <v>693</v>
      </c>
    </row>
    <row r="4417" spans="2:3" x14ac:dyDescent="0.35">
      <c r="B4417" t="s">
        <v>46</v>
      </c>
      <c r="C4417" t="s">
        <v>47</v>
      </c>
    </row>
    <row r="4418" spans="2:3" x14ac:dyDescent="0.35">
      <c r="B4418" t="s">
        <v>694</v>
      </c>
      <c r="C4418" t="s">
        <v>695</v>
      </c>
    </row>
    <row r="4419" spans="2:3" x14ac:dyDescent="0.35">
      <c r="B4419" t="s">
        <v>656</v>
      </c>
      <c r="C4419" t="s">
        <v>657</v>
      </c>
    </row>
    <row r="4420" spans="2:3" x14ac:dyDescent="0.35">
      <c r="B4420" t="s">
        <v>416</v>
      </c>
      <c r="C4420" t="s">
        <v>417</v>
      </c>
    </row>
    <row r="4421" spans="2:3" x14ac:dyDescent="0.35">
      <c r="B4421" t="s">
        <v>507</v>
      </c>
      <c r="C4421" t="s">
        <v>508</v>
      </c>
    </row>
    <row r="4422" spans="2:3" x14ac:dyDescent="0.35">
      <c r="B4422" t="s">
        <v>378</v>
      </c>
      <c r="C4422" t="s">
        <v>379</v>
      </c>
    </row>
    <row r="4423" spans="2:3" x14ac:dyDescent="0.35">
      <c r="B4423" t="s">
        <v>700</v>
      </c>
      <c r="C4423" t="s">
        <v>701</v>
      </c>
    </row>
    <row r="4424" spans="2:3" x14ac:dyDescent="0.35">
      <c r="B4424" t="s">
        <v>163</v>
      </c>
      <c r="C4424" t="s">
        <v>164</v>
      </c>
    </row>
    <row r="4425" spans="2:3" x14ac:dyDescent="0.35">
      <c r="B4425" t="s">
        <v>202</v>
      </c>
      <c r="C4425" t="s">
        <v>203</v>
      </c>
    </row>
    <row r="4426" spans="2:3" x14ac:dyDescent="0.35">
      <c r="B4426" t="s">
        <v>662</v>
      </c>
      <c r="C4426" t="s">
        <v>663</v>
      </c>
    </row>
    <row r="4427" spans="2:3" x14ac:dyDescent="0.35">
      <c r="B4427" t="s">
        <v>654</v>
      </c>
      <c r="C4427" t="s">
        <v>655</v>
      </c>
    </row>
    <row r="4428" spans="2:3" x14ac:dyDescent="0.35">
      <c r="B4428" t="s">
        <v>208</v>
      </c>
      <c r="C4428" t="s">
        <v>209</v>
      </c>
    </row>
    <row r="4429" spans="2:3" x14ac:dyDescent="0.35">
      <c r="B4429" t="s">
        <v>700</v>
      </c>
      <c r="C4429" t="s">
        <v>701</v>
      </c>
    </row>
    <row r="4430" spans="2:3" x14ac:dyDescent="0.35">
      <c r="B4430" t="s">
        <v>260</v>
      </c>
      <c r="C4430" t="s">
        <v>261</v>
      </c>
    </row>
    <row r="4431" spans="2:3" x14ac:dyDescent="0.35">
      <c r="B4431" t="s">
        <v>163</v>
      </c>
      <c r="C4431" t="s">
        <v>164</v>
      </c>
    </row>
    <row r="4432" spans="2:3" x14ac:dyDescent="0.35">
      <c r="B4432" t="s">
        <v>122</v>
      </c>
      <c r="C4432" t="s">
        <v>123</v>
      </c>
    </row>
    <row r="4433" spans="2:3" x14ac:dyDescent="0.35">
      <c r="B4433" t="s">
        <v>676</v>
      </c>
      <c r="C4433" t="s">
        <v>677</v>
      </c>
    </row>
    <row r="4434" spans="2:3" x14ac:dyDescent="0.35">
      <c r="B4434" t="s">
        <v>84</v>
      </c>
      <c r="C4434" t="s">
        <v>85</v>
      </c>
    </row>
    <row r="4435" spans="2:3" x14ac:dyDescent="0.35">
      <c r="B4435" t="s">
        <v>174</v>
      </c>
      <c r="C4435" t="s">
        <v>175</v>
      </c>
    </row>
    <row r="4436" spans="2:3" x14ac:dyDescent="0.35">
      <c r="B4436" t="s">
        <v>703</v>
      </c>
      <c r="C4436" t="s">
        <v>704</v>
      </c>
    </row>
    <row r="4437" spans="2:3" x14ac:dyDescent="0.35">
      <c r="B4437" t="s">
        <v>559</v>
      </c>
      <c r="C4437" t="s">
        <v>560</v>
      </c>
    </row>
    <row r="4438" spans="2:3" x14ac:dyDescent="0.35">
      <c r="B4438" t="s">
        <v>449</v>
      </c>
      <c r="C4438" t="s">
        <v>450</v>
      </c>
    </row>
    <row r="4439" spans="2:3" x14ac:dyDescent="0.35">
      <c r="B4439" t="s">
        <v>437</v>
      </c>
      <c r="C4439" t="s">
        <v>438</v>
      </c>
    </row>
    <row r="4440" spans="2:3" x14ac:dyDescent="0.35">
      <c r="B4440" t="s">
        <v>700</v>
      </c>
      <c r="C4440" t="s">
        <v>701</v>
      </c>
    </row>
    <row r="4441" spans="2:3" x14ac:dyDescent="0.35">
      <c r="B4441" t="s">
        <v>202</v>
      </c>
      <c r="C4441" t="s">
        <v>203</v>
      </c>
    </row>
    <row r="4442" spans="2:3" x14ac:dyDescent="0.35">
      <c r="B4442" t="s">
        <v>202</v>
      </c>
      <c r="C4442" t="s">
        <v>203</v>
      </c>
    </row>
    <row r="4443" spans="2:3" x14ac:dyDescent="0.35">
      <c r="B4443" t="s">
        <v>1061</v>
      </c>
      <c r="C4443" t="s">
        <v>1062</v>
      </c>
    </row>
    <row r="4444" spans="2:3" x14ac:dyDescent="0.35">
      <c r="B4444" t="s">
        <v>174</v>
      </c>
      <c r="C4444" t="s">
        <v>175</v>
      </c>
    </row>
    <row r="4445" spans="2:3" x14ac:dyDescent="0.35">
      <c r="B4445" t="s">
        <v>202</v>
      </c>
      <c r="C4445" t="s">
        <v>203</v>
      </c>
    </row>
    <row r="4446" spans="2:3" x14ac:dyDescent="0.35">
      <c r="B4446" t="s">
        <v>254</v>
      </c>
      <c r="C4446" t="s">
        <v>255</v>
      </c>
    </row>
    <row r="4447" spans="2:3" x14ac:dyDescent="0.35">
      <c r="B4447" t="s">
        <v>610</v>
      </c>
      <c r="C4447" t="s">
        <v>611</v>
      </c>
    </row>
    <row r="4448" spans="2:3" x14ac:dyDescent="0.35">
      <c r="B4448" t="s">
        <v>694</v>
      </c>
      <c r="C4448" t="s">
        <v>695</v>
      </c>
    </row>
    <row r="4449" spans="2:3" x14ac:dyDescent="0.35">
      <c r="B4449" t="s">
        <v>293</v>
      </c>
      <c r="C4449" t="s">
        <v>294</v>
      </c>
    </row>
    <row r="4450" spans="2:3" x14ac:dyDescent="0.35">
      <c r="B4450" t="s">
        <v>658</v>
      </c>
      <c r="C4450" t="s">
        <v>659</v>
      </c>
    </row>
    <row r="4451" spans="2:3" x14ac:dyDescent="0.35">
      <c r="B4451" t="s">
        <v>703</v>
      </c>
      <c r="C4451" t="s">
        <v>704</v>
      </c>
    </row>
    <row r="4452" spans="2:3" x14ac:dyDescent="0.35">
      <c r="B4452" t="s">
        <v>208</v>
      </c>
      <c r="C4452" t="s">
        <v>209</v>
      </c>
    </row>
    <row r="4453" spans="2:3" x14ac:dyDescent="0.35">
      <c r="B4453" t="s">
        <v>642</v>
      </c>
      <c r="C4453" t="s">
        <v>643</v>
      </c>
    </row>
    <row r="4454" spans="2:3" x14ac:dyDescent="0.35">
      <c r="B4454" t="s">
        <v>694</v>
      </c>
      <c r="C4454" t="s">
        <v>695</v>
      </c>
    </row>
    <row r="4455" spans="2:3" x14ac:dyDescent="0.35">
      <c r="B4455" t="s">
        <v>692</v>
      </c>
      <c r="C4455" t="s">
        <v>693</v>
      </c>
    </row>
    <row r="4456" spans="2:3" x14ac:dyDescent="0.35">
      <c r="B4456" t="s">
        <v>787</v>
      </c>
      <c r="C4456" t="s">
        <v>788</v>
      </c>
    </row>
    <row r="4457" spans="2:3" x14ac:dyDescent="0.35">
      <c r="B4457" t="s">
        <v>84</v>
      </c>
      <c r="C4457" t="s">
        <v>85</v>
      </c>
    </row>
    <row r="4458" spans="2:3" x14ac:dyDescent="0.35">
      <c r="B4458" t="s">
        <v>958</v>
      </c>
      <c r="C4458" t="s">
        <v>959</v>
      </c>
    </row>
    <row r="4459" spans="2:3" x14ac:dyDescent="0.35">
      <c r="B4459" t="s">
        <v>384</v>
      </c>
      <c r="C4459" t="s">
        <v>385</v>
      </c>
    </row>
    <row r="4460" spans="2:3" x14ac:dyDescent="0.35">
      <c r="B4460" t="s">
        <v>212</v>
      </c>
      <c r="C4460" t="s">
        <v>213</v>
      </c>
    </row>
    <row r="4461" spans="2:3" x14ac:dyDescent="0.35">
      <c r="B4461" t="s">
        <v>553</v>
      </c>
      <c r="C4461" t="s">
        <v>554</v>
      </c>
    </row>
    <row r="4462" spans="2:3" x14ac:dyDescent="0.35">
      <c r="B4462" t="s">
        <v>870</v>
      </c>
      <c r="C4462" t="s">
        <v>871</v>
      </c>
    </row>
    <row r="4463" spans="2:3" x14ac:dyDescent="0.35">
      <c r="B4463" t="s">
        <v>787</v>
      </c>
      <c r="C4463" t="s">
        <v>788</v>
      </c>
    </row>
    <row r="4464" spans="2:3" x14ac:dyDescent="0.35">
      <c r="B4464" t="s">
        <v>306</v>
      </c>
      <c r="C4464" t="s">
        <v>307</v>
      </c>
    </row>
    <row r="4465" spans="2:3" x14ac:dyDescent="0.35">
      <c r="B4465" t="s">
        <v>82</v>
      </c>
      <c r="C4465" t="s">
        <v>83</v>
      </c>
    </row>
    <row r="4466" spans="2:3" x14ac:dyDescent="0.35">
      <c r="B4466" t="s">
        <v>252</v>
      </c>
      <c r="C4466" t="s">
        <v>253</v>
      </c>
    </row>
    <row r="4467" spans="2:3" x14ac:dyDescent="0.35">
      <c r="B4467" t="s">
        <v>105</v>
      </c>
      <c r="C4467" t="s">
        <v>106</v>
      </c>
    </row>
    <row r="4468" spans="2:3" x14ac:dyDescent="0.35">
      <c r="B4468" t="s">
        <v>958</v>
      </c>
      <c r="C4468" t="s">
        <v>959</v>
      </c>
    </row>
    <row r="4469" spans="2:3" x14ac:dyDescent="0.35">
      <c r="B4469" t="s">
        <v>254</v>
      </c>
      <c r="C4469" t="s">
        <v>255</v>
      </c>
    </row>
    <row r="4470" spans="2:3" x14ac:dyDescent="0.35">
      <c r="B4470" t="s">
        <v>577</v>
      </c>
      <c r="C4470" t="s">
        <v>578</v>
      </c>
    </row>
    <row r="4471" spans="2:3" x14ac:dyDescent="0.35">
      <c r="B4471" t="s">
        <v>463</v>
      </c>
      <c r="C4471" t="s">
        <v>464</v>
      </c>
    </row>
    <row r="4472" spans="2:3" x14ac:dyDescent="0.35">
      <c r="B4472" t="s">
        <v>638</v>
      </c>
      <c r="C4472" t="s">
        <v>639</v>
      </c>
    </row>
    <row r="4473" spans="2:3" x14ac:dyDescent="0.35">
      <c r="B4473" t="s">
        <v>260</v>
      </c>
      <c r="C4473" t="s">
        <v>261</v>
      </c>
    </row>
    <row r="4474" spans="2:3" x14ac:dyDescent="0.35">
      <c r="B4474" t="s">
        <v>547</v>
      </c>
      <c r="C4474" t="s">
        <v>548</v>
      </c>
    </row>
    <row r="4475" spans="2:3" x14ac:dyDescent="0.35">
      <c r="B4475" t="s">
        <v>662</v>
      </c>
      <c r="C4475" t="s">
        <v>663</v>
      </c>
    </row>
    <row r="4476" spans="2:3" x14ac:dyDescent="0.35">
      <c r="B4476" t="s">
        <v>537</v>
      </c>
      <c r="C4476" t="s">
        <v>538</v>
      </c>
    </row>
    <row r="4477" spans="2:3" x14ac:dyDescent="0.35">
      <c r="B4477" t="s">
        <v>597</v>
      </c>
      <c r="C4477" t="s">
        <v>598</v>
      </c>
    </row>
    <row r="4478" spans="2:3" x14ac:dyDescent="0.35">
      <c r="B4478" t="s">
        <v>174</v>
      </c>
      <c r="C4478" t="s">
        <v>175</v>
      </c>
    </row>
    <row r="4479" spans="2:3" x14ac:dyDescent="0.35">
      <c r="B4479" t="s">
        <v>872</v>
      </c>
      <c r="C4479" t="s">
        <v>873</v>
      </c>
    </row>
    <row r="4480" spans="2:3" x14ac:dyDescent="0.35">
      <c r="B4480" t="s">
        <v>254</v>
      </c>
      <c r="C4480" t="s">
        <v>255</v>
      </c>
    </row>
    <row r="4481" spans="2:3" x14ac:dyDescent="0.35">
      <c r="B4481" t="s">
        <v>787</v>
      </c>
      <c r="C4481" t="s">
        <v>788</v>
      </c>
    </row>
    <row r="4482" spans="2:3" x14ac:dyDescent="0.35">
      <c r="B4482" t="s">
        <v>202</v>
      </c>
      <c r="C4482" t="s">
        <v>203</v>
      </c>
    </row>
    <row r="4483" spans="2:3" x14ac:dyDescent="0.35">
      <c r="B4483" t="s">
        <v>950</v>
      </c>
      <c r="C4483" t="s">
        <v>951</v>
      </c>
    </row>
    <row r="4484" spans="2:3" x14ac:dyDescent="0.35">
      <c r="B4484" t="s">
        <v>110</v>
      </c>
      <c r="C4484" t="s">
        <v>111</v>
      </c>
    </row>
    <row r="4485" spans="2:3" x14ac:dyDescent="0.35">
      <c r="B4485" t="s">
        <v>642</v>
      </c>
      <c r="C4485" t="s">
        <v>643</v>
      </c>
    </row>
    <row r="4486" spans="2:3" x14ac:dyDescent="0.35">
      <c r="B4486" t="s">
        <v>107</v>
      </c>
      <c r="C4486" t="s">
        <v>108</v>
      </c>
    </row>
    <row r="4487" spans="2:3" x14ac:dyDescent="0.35">
      <c r="B4487" t="s">
        <v>787</v>
      </c>
      <c r="C4487" t="s">
        <v>788</v>
      </c>
    </row>
    <row r="4488" spans="2:3" x14ac:dyDescent="0.35">
      <c r="B4488" t="s">
        <v>577</v>
      </c>
      <c r="C4488" t="s">
        <v>578</v>
      </c>
    </row>
    <row r="4489" spans="2:3" x14ac:dyDescent="0.35">
      <c r="B4489" t="s">
        <v>703</v>
      </c>
      <c r="C4489" t="s">
        <v>704</v>
      </c>
    </row>
    <row r="4490" spans="2:3" x14ac:dyDescent="0.35">
      <c r="B4490" t="s">
        <v>163</v>
      </c>
      <c r="C4490" t="s">
        <v>164</v>
      </c>
    </row>
    <row r="4491" spans="2:3" x14ac:dyDescent="0.35">
      <c r="B4491" t="s">
        <v>1195</v>
      </c>
      <c r="C4491" t="s">
        <v>1195</v>
      </c>
    </row>
    <row r="4492" spans="2:3" x14ac:dyDescent="0.35">
      <c r="B4492" t="s">
        <v>703</v>
      </c>
      <c r="C4492" t="s">
        <v>704</v>
      </c>
    </row>
    <row r="4493" spans="2:3" x14ac:dyDescent="0.35">
      <c r="B4493" t="s">
        <v>260</v>
      </c>
      <c r="C4493" t="s">
        <v>261</v>
      </c>
    </row>
    <row r="4494" spans="2:3" x14ac:dyDescent="0.35">
      <c r="B4494" t="s">
        <v>632</v>
      </c>
      <c r="C4494" t="s">
        <v>633</v>
      </c>
    </row>
    <row r="4495" spans="2:3" x14ac:dyDescent="0.35">
      <c r="B4495" t="s">
        <v>559</v>
      </c>
      <c r="C4495" t="s">
        <v>560</v>
      </c>
    </row>
    <row r="4496" spans="2:3" x14ac:dyDescent="0.35">
      <c r="B4496" t="s">
        <v>64</v>
      </c>
      <c r="C4496" t="s">
        <v>65</v>
      </c>
    </row>
    <row r="4497" spans="2:3" x14ac:dyDescent="0.35">
      <c r="B4497" t="s">
        <v>174</v>
      </c>
      <c r="C4497" t="s">
        <v>175</v>
      </c>
    </row>
    <row r="4498" spans="2:3" x14ac:dyDescent="0.35">
      <c r="B4498" t="s">
        <v>178</v>
      </c>
      <c r="C4498" t="s">
        <v>179</v>
      </c>
    </row>
    <row r="4499" spans="2:3" x14ac:dyDescent="0.35">
      <c r="B4499" t="s">
        <v>58</v>
      </c>
      <c r="C4499" t="s">
        <v>59</v>
      </c>
    </row>
    <row r="4500" spans="2:3" x14ac:dyDescent="0.35">
      <c r="B4500" t="s">
        <v>804</v>
      </c>
      <c r="C4500" t="s">
        <v>805</v>
      </c>
    </row>
    <row r="4501" spans="2:3" x14ac:dyDescent="0.35">
      <c r="B4501" t="s">
        <v>412</v>
      </c>
      <c r="C4501" t="s">
        <v>413</v>
      </c>
    </row>
    <row r="4502" spans="2:3" x14ac:dyDescent="0.35">
      <c r="B4502" t="s">
        <v>64</v>
      </c>
      <c r="C4502" t="s">
        <v>65</v>
      </c>
    </row>
    <row r="4503" spans="2:3" x14ac:dyDescent="0.35">
      <c r="B4503" t="s">
        <v>1195</v>
      </c>
      <c r="C4503" t="s">
        <v>1195</v>
      </c>
    </row>
    <row r="4504" spans="2:3" x14ac:dyDescent="0.35">
      <c r="B4504" t="s">
        <v>694</v>
      </c>
      <c r="C4504" t="s">
        <v>695</v>
      </c>
    </row>
    <row r="4505" spans="2:3" x14ac:dyDescent="0.35">
      <c r="B4505" t="s">
        <v>105</v>
      </c>
      <c r="C4505" t="s">
        <v>106</v>
      </c>
    </row>
    <row r="4506" spans="2:3" x14ac:dyDescent="0.35">
      <c r="B4506" t="s">
        <v>703</v>
      </c>
      <c r="C4506" t="s">
        <v>704</v>
      </c>
    </row>
    <row r="4507" spans="2:3" x14ac:dyDescent="0.35">
      <c r="B4507" t="s">
        <v>638</v>
      </c>
      <c r="C4507" t="s">
        <v>639</v>
      </c>
    </row>
    <row r="4508" spans="2:3" x14ac:dyDescent="0.35">
      <c r="B4508" t="s">
        <v>358</v>
      </c>
      <c r="C4508" t="s">
        <v>359</v>
      </c>
    </row>
    <row r="4509" spans="2:3" x14ac:dyDescent="0.35">
      <c r="B4509" t="s">
        <v>694</v>
      </c>
      <c r="C4509" t="s">
        <v>695</v>
      </c>
    </row>
    <row r="4510" spans="2:3" x14ac:dyDescent="0.35">
      <c r="B4510" t="s">
        <v>787</v>
      </c>
      <c r="C4510" t="s">
        <v>788</v>
      </c>
    </row>
    <row r="4511" spans="2:3" x14ac:dyDescent="0.35">
      <c r="B4511" t="s">
        <v>376</v>
      </c>
      <c r="C4511" t="s">
        <v>377</v>
      </c>
    </row>
    <row r="4512" spans="2:3" x14ac:dyDescent="0.35">
      <c r="B4512" t="s">
        <v>787</v>
      </c>
      <c r="C4512" t="s">
        <v>788</v>
      </c>
    </row>
    <row r="4513" spans="2:3" x14ac:dyDescent="0.35">
      <c r="B4513" t="s">
        <v>202</v>
      </c>
      <c r="C4513" t="s">
        <v>203</v>
      </c>
    </row>
    <row r="4514" spans="2:3" x14ac:dyDescent="0.35">
      <c r="B4514" t="s">
        <v>577</v>
      </c>
      <c r="C4514" t="s">
        <v>578</v>
      </c>
    </row>
    <row r="4515" spans="2:3" x14ac:dyDescent="0.35">
      <c r="B4515" t="s">
        <v>428</v>
      </c>
      <c r="C4515" t="s">
        <v>429</v>
      </c>
    </row>
    <row r="4516" spans="2:3" x14ac:dyDescent="0.35">
      <c r="B4516" t="s">
        <v>64</v>
      </c>
      <c r="C4516" t="s">
        <v>65</v>
      </c>
    </row>
    <row r="4517" spans="2:3" x14ac:dyDescent="0.35">
      <c r="B4517" t="s">
        <v>559</v>
      </c>
      <c r="C4517" t="s">
        <v>560</v>
      </c>
    </row>
    <row r="4518" spans="2:3" x14ac:dyDescent="0.35">
      <c r="B4518" t="s">
        <v>961</v>
      </c>
      <c r="C4518" t="s">
        <v>962</v>
      </c>
    </row>
    <row r="4519" spans="2:3" x14ac:dyDescent="0.35">
      <c r="B4519" t="s">
        <v>700</v>
      </c>
      <c r="C4519" t="s">
        <v>701</v>
      </c>
    </row>
    <row r="4520" spans="2:3" x14ac:dyDescent="0.35">
      <c r="B4520" t="s">
        <v>465</v>
      </c>
      <c r="C4520" t="s">
        <v>466</v>
      </c>
    </row>
    <row r="4521" spans="2:3" x14ac:dyDescent="0.35">
      <c r="B4521" t="s">
        <v>961</v>
      </c>
      <c r="C4521" t="s">
        <v>962</v>
      </c>
    </row>
    <row r="4522" spans="2:3" x14ac:dyDescent="0.35">
      <c r="B4522" t="s">
        <v>648</v>
      </c>
      <c r="C4522" t="s">
        <v>649</v>
      </c>
    </row>
    <row r="4523" spans="2:3" x14ac:dyDescent="0.35">
      <c r="B4523" t="s">
        <v>700</v>
      </c>
      <c r="C4523" t="s">
        <v>701</v>
      </c>
    </row>
    <row r="4524" spans="2:3" x14ac:dyDescent="0.35">
      <c r="B4524" t="s">
        <v>202</v>
      </c>
      <c r="C4524" t="s">
        <v>203</v>
      </c>
    </row>
    <row r="4525" spans="2:3" x14ac:dyDescent="0.35">
      <c r="B4525" t="s">
        <v>700</v>
      </c>
      <c r="C4525" t="s">
        <v>701</v>
      </c>
    </row>
    <row r="4526" spans="2:3" x14ac:dyDescent="0.35">
      <c r="B4526" t="s">
        <v>549</v>
      </c>
      <c r="C4526" t="s">
        <v>550</v>
      </c>
    </row>
    <row r="4527" spans="2:3" x14ac:dyDescent="0.35">
      <c r="B4527" t="s">
        <v>703</v>
      </c>
      <c r="C4527" t="s">
        <v>704</v>
      </c>
    </row>
    <row r="4528" spans="2:3" x14ac:dyDescent="0.35">
      <c r="B4528" t="s">
        <v>212</v>
      </c>
      <c r="C4528" t="s">
        <v>213</v>
      </c>
    </row>
    <row r="4529" spans="2:3" x14ac:dyDescent="0.35">
      <c r="B4529" t="s">
        <v>605</v>
      </c>
      <c r="C4529" t="s">
        <v>606</v>
      </c>
    </row>
    <row r="4530" spans="2:3" x14ac:dyDescent="0.35">
      <c r="B4530" t="s">
        <v>874</v>
      </c>
      <c r="C4530" t="s">
        <v>875</v>
      </c>
    </row>
    <row r="4531" spans="2:3" x14ac:dyDescent="0.35">
      <c r="B4531" t="s">
        <v>316</v>
      </c>
      <c r="C4531" t="s">
        <v>317</v>
      </c>
    </row>
    <row r="4532" spans="2:3" x14ac:dyDescent="0.35">
      <c r="B4532" t="s">
        <v>105</v>
      </c>
      <c r="C4532" t="s">
        <v>106</v>
      </c>
    </row>
    <row r="4533" spans="2:3" x14ac:dyDescent="0.35">
      <c r="B4533" t="s">
        <v>254</v>
      </c>
      <c r="C4533" t="s">
        <v>255</v>
      </c>
    </row>
    <row r="4534" spans="2:3" x14ac:dyDescent="0.35">
      <c r="B4534" t="s">
        <v>533</v>
      </c>
      <c r="C4534" t="s">
        <v>534</v>
      </c>
    </row>
    <row r="4535" spans="2:3" x14ac:dyDescent="0.35">
      <c r="B4535" t="s">
        <v>559</v>
      </c>
      <c r="C4535" t="s">
        <v>560</v>
      </c>
    </row>
    <row r="4536" spans="2:3" x14ac:dyDescent="0.35">
      <c r="B4536" t="s">
        <v>58</v>
      </c>
      <c r="C4536" t="s">
        <v>59</v>
      </c>
    </row>
    <row r="4537" spans="2:3" x14ac:dyDescent="0.35">
      <c r="B4537" t="s">
        <v>208</v>
      </c>
      <c r="C4537" t="s">
        <v>209</v>
      </c>
    </row>
    <row r="4538" spans="2:3" x14ac:dyDescent="0.35">
      <c r="B4538" t="s">
        <v>787</v>
      </c>
      <c r="C4538" t="s">
        <v>788</v>
      </c>
    </row>
    <row r="4539" spans="2:3" x14ac:dyDescent="0.35">
      <c r="B4539" t="s">
        <v>543</v>
      </c>
      <c r="C4539" t="s">
        <v>544</v>
      </c>
    </row>
    <row r="4540" spans="2:3" x14ac:dyDescent="0.35">
      <c r="B4540" t="s">
        <v>82</v>
      </c>
      <c r="C4540" t="s">
        <v>83</v>
      </c>
    </row>
    <row r="4541" spans="2:3" x14ac:dyDescent="0.35">
      <c r="B4541" t="s">
        <v>703</v>
      </c>
      <c r="C4541" t="s">
        <v>704</v>
      </c>
    </row>
    <row r="4542" spans="2:3" x14ac:dyDescent="0.35">
      <c r="B4542" t="s">
        <v>84</v>
      </c>
      <c r="C4542" t="s">
        <v>85</v>
      </c>
    </row>
    <row r="4543" spans="2:3" x14ac:dyDescent="0.35">
      <c r="B4543" t="s">
        <v>487</v>
      </c>
      <c r="C4543" t="s">
        <v>488</v>
      </c>
    </row>
    <row r="4544" spans="2:3" x14ac:dyDescent="0.35">
      <c r="B4544" t="s">
        <v>174</v>
      </c>
      <c r="C4544" t="s">
        <v>175</v>
      </c>
    </row>
    <row r="4545" spans="2:3" x14ac:dyDescent="0.35">
      <c r="B4545" t="s">
        <v>56</v>
      </c>
      <c r="C4545" t="s">
        <v>57</v>
      </c>
    </row>
    <row r="4546" spans="2:3" x14ac:dyDescent="0.35">
      <c r="B4546" t="s">
        <v>350</v>
      </c>
      <c r="C4546" t="s">
        <v>351</v>
      </c>
    </row>
    <row r="4547" spans="2:3" x14ac:dyDescent="0.35">
      <c r="B4547" t="s">
        <v>700</v>
      </c>
      <c r="C4547" t="s">
        <v>701</v>
      </c>
    </row>
    <row r="4548" spans="2:3" x14ac:dyDescent="0.35">
      <c r="B4548" t="s">
        <v>694</v>
      </c>
      <c r="C4548" t="s">
        <v>695</v>
      </c>
    </row>
    <row r="4549" spans="2:3" x14ac:dyDescent="0.35">
      <c r="B4549" t="s">
        <v>254</v>
      </c>
      <c r="C4549" t="s">
        <v>255</v>
      </c>
    </row>
    <row r="4550" spans="2:3" x14ac:dyDescent="0.35">
      <c r="B4550" t="s">
        <v>200</v>
      </c>
      <c r="C4550" t="s">
        <v>201</v>
      </c>
    </row>
    <row r="4551" spans="2:3" x14ac:dyDescent="0.35">
      <c r="B4551" t="s">
        <v>787</v>
      </c>
      <c r="C4551" t="s">
        <v>788</v>
      </c>
    </row>
    <row r="4552" spans="2:3" x14ac:dyDescent="0.35">
      <c r="B4552" t="s">
        <v>961</v>
      </c>
      <c r="C4552" t="s">
        <v>962</v>
      </c>
    </row>
    <row r="4553" spans="2:3" x14ac:dyDescent="0.35">
      <c r="B4553" t="s">
        <v>293</v>
      </c>
      <c r="C4553" t="s">
        <v>294</v>
      </c>
    </row>
    <row r="4554" spans="2:3" x14ac:dyDescent="0.35">
      <c r="B4554" t="s">
        <v>787</v>
      </c>
      <c r="C4554" t="s">
        <v>788</v>
      </c>
    </row>
    <row r="4555" spans="2:3" x14ac:dyDescent="0.35">
      <c r="B4555" t="s">
        <v>961</v>
      </c>
      <c r="C4555" t="s">
        <v>962</v>
      </c>
    </row>
    <row r="4556" spans="2:3" x14ac:dyDescent="0.35">
      <c r="B4556" t="s">
        <v>393</v>
      </c>
      <c r="C4556" t="s">
        <v>394</v>
      </c>
    </row>
    <row r="4557" spans="2:3" x14ac:dyDescent="0.35">
      <c r="B4557" t="s">
        <v>545</v>
      </c>
      <c r="C4557" t="s">
        <v>546</v>
      </c>
    </row>
    <row r="4558" spans="2:3" x14ac:dyDescent="0.35">
      <c r="B4558" t="s">
        <v>208</v>
      </c>
      <c r="C4558" t="s">
        <v>209</v>
      </c>
    </row>
    <row r="4559" spans="2:3" x14ac:dyDescent="0.35">
      <c r="B4559" t="s">
        <v>787</v>
      </c>
      <c r="C4559" t="s">
        <v>788</v>
      </c>
    </row>
    <row r="4560" spans="2:3" x14ac:dyDescent="0.35">
      <c r="B4560" t="s">
        <v>692</v>
      </c>
      <c r="C4560" t="s">
        <v>693</v>
      </c>
    </row>
    <row r="4561" spans="2:3" x14ac:dyDescent="0.35">
      <c r="B4561" t="s">
        <v>281</v>
      </c>
      <c r="C4561" t="s">
        <v>282</v>
      </c>
    </row>
    <row r="4562" spans="2:3" x14ac:dyDescent="0.35">
      <c r="B4562" t="s">
        <v>654</v>
      </c>
      <c r="C4562" t="s">
        <v>655</v>
      </c>
    </row>
    <row r="4563" spans="2:3" x14ac:dyDescent="0.35">
      <c r="B4563" t="s">
        <v>787</v>
      </c>
      <c r="C4563" t="s">
        <v>788</v>
      </c>
    </row>
    <row r="4564" spans="2:3" x14ac:dyDescent="0.35">
      <c r="B4564" t="s">
        <v>208</v>
      </c>
      <c r="C4564" t="s">
        <v>209</v>
      </c>
    </row>
    <row r="4565" spans="2:3" x14ac:dyDescent="0.35">
      <c r="B4565" t="s">
        <v>176</v>
      </c>
      <c r="C4565" t="s">
        <v>177</v>
      </c>
    </row>
    <row r="4566" spans="2:3" x14ac:dyDescent="0.35">
      <c r="B4566" t="s">
        <v>447</v>
      </c>
      <c r="C4566" t="s">
        <v>448</v>
      </c>
    </row>
    <row r="4567" spans="2:3" x14ac:dyDescent="0.35">
      <c r="B4567" t="s">
        <v>543</v>
      </c>
      <c r="C4567" t="s">
        <v>544</v>
      </c>
    </row>
    <row r="4568" spans="2:3" x14ac:dyDescent="0.35">
      <c r="B4568" t="s">
        <v>110</v>
      </c>
      <c r="C4568" t="s">
        <v>111</v>
      </c>
    </row>
    <row r="4569" spans="2:3" x14ac:dyDescent="0.35">
      <c r="B4569" t="s">
        <v>703</v>
      </c>
      <c r="C4569" t="s">
        <v>704</v>
      </c>
    </row>
    <row r="4570" spans="2:3" x14ac:dyDescent="0.35">
      <c r="B4570" t="s">
        <v>208</v>
      </c>
      <c r="C4570" t="s">
        <v>209</v>
      </c>
    </row>
    <row r="4571" spans="2:3" x14ac:dyDescent="0.35">
      <c r="B4571" t="s">
        <v>703</v>
      </c>
      <c r="C4571" t="s">
        <v>704</v>
      </c>
    </row>
    <row r="4572" spans="2:3" x14ac:dyDescent="0.35">
      <c r="B4572" t="s">
        <v>640</v>
      </c>
      <c r="C4572" t="s">
        <v>641</v>
      </c>
    </row>
    <row r="4573" spans="2:3" x14ac:dyDescent="0.35">
      <c r="B4573" t="s">
        <v>360</v>
      </c>
      <c r="C4573" t="s">
        <v>361</v>
      </c>
    </row>
    <row r="4574" spans="2:3" x14ac:dyDescent="0.35">
      <c r="B4574" t="s">
        <v>703</v>
      </c>
      <c r="C4574" t="s">
        <v>704</v>
      </c>
    </row>
    <row r="4575" spans="2:3" x14ac:dyDescent="0.35">
      <c r="B4575" t="s">
        <v>507</v>
      </c>
      <c r="C4575" t="s">
        <v>508</v>
      </c>
    </row>
    <row r="4576" spans="2:3" x14ac:dyDescent="0.35">
      <c r="B4576" t="s">
        <v>700</v>
      </c>
      <c r="C4576" t="s">
        <v>701</v>
      </c>
    </row>
    <row r="4577" spans="2:3" x14ac:dyDescent="0.35">
      <c r="B4577" t="s">
        <v>589</v>
      </c>
      <c r="C4577" t="s">
        <v>590</v>
      </c>
    </row>
    <row r="4578" spans="2:3" x14ac:dyDescent="0.35">
      <c r="B4578" t="s">
        <v>674</v>
      </c>
      <c r="C4578" t="s">
        <v>675</v>
      </c>
    </row>
    <row r="4579" spans="2:3" x14ac:dyDescent="0.35">
      <c r="B4579" t="s">
        <v>499</v>
      </c>
      <c r="C4579" t="s">
        <v>500</v>
      </c>
    </row>
    <row r="4580" spans="2:3" x14ac:dyDescent="0.35">
      <c r="B4580" t="s">
        <v>202</v>
      </c>
      <c r="C4580" t="s">
        <v>203</v>
      </c>
    </row>
    <row r="4581" spans="2:3" x14ac:dyDescent="0.35">
      <c r="B4581" t="s">
        <v>511</v>
      </c>
      <c r="C4581" t="s">
        <v>512</v>
      </c>
    </row>
    <row r="4582" spans="2:3" x14ac:dyDescent="0.35">
      <c r="B4582" t="s">
        <v>700</v>
      </c>
      <c r="C4582" t="s">
        <v>701</v>
      </c>
    </row>
    <row r="4583" spans="2:3" x14ac:dyDescent="0.35">
      <c r="B4583" t="s">
        <v>642</v>
      </c>
      <c r="C4583" t="s">
        <v>643</v>
      </c>
    </row>
    <row r="4584" spans="2:3" x14ac:dyDescent="0.35">
      <c r="B4584" t="s">
        <v>531</v>
      </c>
      <c r="C4584" t="s">
        <v>532</v>
      </c>
    </row>
    <row r="4585" spans="2:3" x14ac:dyDescent="0.35">
      <c r="B4585" t="s">
        <v>638</v>
      </c>
      <c r="C4585" t="s">
        <v>639</v>
      </c>
    </row>
    <row r="4586" spans="2:3" x14ac:dyDescent="0.35">
      <c r="B4586" t="s">
        <v>853</v>
      </c>
      <c r="C4586" t="s">
        <v>854</v>
      </c>
    </row>
    <row r="4587" spans="2:3" x14ac:dyDescent="0.35">
      <c r="B4587" t="s">
        <v>260</v>
      </c>
      <c r="C4587" t="s">
        <v>261</v>
      </c>
    </row>
    <row r="4588" spans="2:3" x14ac:dyDescent="0.35">
      <c r="B4588" t="s">
        <v>208</v>
      </c>
      <c r="C4588" t="s">
        <v>209</v>
      </c>
    </row>
    <row r="4589" spans="2:3" x14ac:dyDescent="0.35">
      <c r="B4589" t="s">
        <v>599</v>
      </c>
      <c r="C4589" t="s">
        <v>600</v>
      </c>
    </row>
    <row r="4590" spans="2:3" x14ac:dyDescent="0.35">
      <c r="B4590" t="s">
        <v>318</v>
      </c>
      <c r="C4590" t="s">
        <v>319</v>
      </c>
    </row>
    <row r="4591" spans="2:3" x14ac:dyDescent="0.35">
      <c r="B4591" t="s">
        <v>254</v>
      </c>
      <c r="C4591" t="s">
        <v>255</v>
      </c>
    </row>
    <row r="4592" spans="2:3" x14ac:dyDescent="0.35">
      <c r="B4592" t="s">
        <v>529</v>
      </c>
      <c r="C4592" t="s">
        <v>530</v>
      </c>
    </row>
    <row r="4593" spans="2:3" x14ac:dyDescent="0.35">
      <c r="B4593" t="s">
        <v>208</v>
      </c>
      <c r="C4593" t="s">
        <v>209</v>
      </c>
    </row>
    <row r="4594" spans="2:3" x14ac:dyDescent="0.35">
      <c r="B4594" t="s">
        <v>475</v>
      </c>
      <c r="C4594" t="s">
        <v>476</v>
      </c>
    </row>
    <row r="4595" spans="2:3" x14ac:dyDescent="0.35">
      <c r="B4595" t="s">
        <v>787</v>
      </c>
      <c r="C4595" t="s">
        <v>788</v>
      </c>
    </row>
    <row r="4596" spans="2:3" x14ac:dyDescent="0.35">
      <c r="B4596" t="s">
        <v>640</v>
      </c>
      <c r="C4596" t="s">
        <v>641</v>
      </c>
    </row>
    <row r="4597" spans="2:3" x14ac:dyDescent="0.35">
      <c r="B4597" t="s">
        <v>208</v>
      </c>
      <c r="C4597" t="s">
        <v>209</v>
      </c>
    </row>
    <row r="4598" spans="2:3" x14ac:dyDescent="0.35">
      <c r="B4598" t="s">
        <v>545</v>
      </c>
      <c r="C4598" t="s">
        <v>546</v>
      </c>
    </row>
    <row r="4599" spans="2:3" x14ac:dyDescent="0.35">
      <c r="B4599" t="s">
        <v>787</v>
      </c>
      <c r="C4599" t="s">
        <v>788</v>
      </c>
    </row>
    <row r="4600" spans="2:3" x14ac:dyDescent="0.35">
      <c r="B4600" t="s">
        <v>499</v>
      </c>
      <c r="C4600" t="s">
        <v>500</v>
      </c>
    </row>
    <row r="4601" spans="2:3" x14ac:dyDescent="0.35">
      <c r="B4601" t="s">
        <v>664</v>
      </c>
      <c r="C4601" t="s">
        <v>665</v>
      </c>
    </row>
    <row r="4602" spans="2:3" x14ac:dyDescent="0.35">
      <c r="B4602" t="s">
        <v>662</v>
      </c>
      <c r="C4602" t="s">
        <v>663</v>
      </c>
    </row>
    <row r="4603" spans="2:3" x14ac:dyDescent="0.35">
      <c r="B4603" t="s">
        <v>642</v>
      </c>
      <c r="C4603" t="s">
        <v>643</v>
      </c>
    </row>
    <row r="4604" spans="2:3" x14ac:dyDescent="0.35">
      <c r="B4604" t="s">
        <v>963</v>
      </c>
      <c r="C4604" t="s">
        <v>964</v>
      </c>
    </row>
    <row r="4605" spans="2:3" x14ac:dyDescent="0.35">
      <c r="B4605" t="s">
        <v>64</v>
      </c>
      <c r="C4605" t="s">
        <v>65</v>
      </c>
    </row>
    <row r="4606" spans="2:3" x14ac:dyDescent="0.35">
      <c r="B4606" t="s">
        <v>489</v>
      </c>
      <c r="C4606" t="s">
        <v>490</v>
      </c>
    </row>
    <row r="4607" spans="2:3" x14ac:dyDescent="0.35">
      <c r="B4607" t="s">
        <v>799</v>
      </c>
      <c r="C4607" t="s">
        <v>800</v>
      </c>
    </row>
    <row r="4608" spans="2:3" x14ac:dyDescent="0.35">
      <c r="B4608" t="s">
        <v>559</v>
      </c>
      <c r="C4608" t="s">
        <v>560</v>
      </c>
    </row>
    <row r="4609" spans="2:3" x14ac:dyDescent="0.35">
      <c r="B4609" t="s">
        <v>787</v>
      </c>
      <c r="C4609" t="s">
        <v>788</v>
      </c>
    </row>
    <row r="4610" spans="2:3" x14ac:dyDescent="0.35">
      <c r="B4610" t="s">
        <v>656</v>
      </c>
      <c r="C4610" t="s">
        <v>657</v>
      </c>
    </row>
    <row r="4611" spans="2:3" x14ac:dyDescent="0.35">
      <c r="B4611" t="s">
        <v>318</v>
      </c>
      <c r="C4611" t="s">
        <v>319</v>
      </c>
    </row>
    <row r="4612" spans="2:3" x14ac:dyDescent="0.35">
      <c r="B4612" t="s">
        <v>202</v>
      </c>
      <c r="C4612" t="s">
        <v>203</v>
      </c>
    </row>
    <row r="4613" spans="2:3" x14ac:dyDescent="0.35">
      <c r="B4613" t="s">
        <v>868</v>
      </c>
      <c r="C4613" t="s">
        <v>869</v>
      </c>
    </row>
    <row r="4614" spans="2:3" x14ac:dyDescent="0.35">
      <c r="B4614" t="s">
        <v>694</v>
      </c>
      <c r="C4614" t="s">
        <v>695</v>
      </c>
    </row>
    <row r="4615" spans="2:3" x14ac:dyDescent="0.35">
      <c r="B4615" t="s">
        <v>616</v>
      </c>
      <c r="C4615" t="s">
        <v>617</v>
      </c>
    </row>
    <row r="4616" spans="2:3" x14ac:dyDescent="0.35">
      <c r="B4616" t="s">
        <v>589</v>
      </c>
      <c r="C4616" t="s">
        <v>590</v>
      </c>
    </row>
    <row r="4617" spans="2:3" x14ac:dyDescent="0.35">
      <c r="B4617" t="s">
        <v>501</v>
      </c>
      <c r="C4617" t="s">
        <v>502</v>
      </c>
    </row>
    <row r="4618" spans="2:3" x14ac:dyDescent="0.35">
      <c r="B4618" t="s">
        <v>1195</v>
      </c>
      <c r="C4618" t="s">
        <v>1195</v>
      </c>
    </row>
    <row r="4619" spans="2:3" x14ac:dyDescent="0.35">
      <c r="B4619" t="s">
        <v>295</v>
      </c>
      <c r="C4619" t="s">
        <v>296</v>
      </c>
    </row>
    <row r="4620" spans="2:3" x14ac:dyDescent="0.35">
      <c r="B4620" t="s">
        <v>208</v>
      </c>
      <c r="C4620" t="s">
        <v>209</v>
      </c>
    </row>
    <row r="4621" spans="2:3" x14ac:dyDescent="0.35">
      <c r="B4621" t="s">
        <v>232</v>
      </c>
      <c r="C4621" t="s">
        <v>233</v>
      </c>
    </row>
    <row r="4622" spans="2:3" x14ac:dyDescent="0.35">
      <c r="B4622" t="s">
        <v>694</v>
      </c>
      <c r="C4622" t="s">
        <v>695</v>
      </c>
    </row>
    <row r="4623" spans="2:3" x14ac:dyDescent="0.35">
      <c r="B4623" t="s">
        <v>200</v>
      </c>
      <c r="C4623" t="s">
        <v>201</v>
      </c>
    </row>
    <row r="4624" spans="2:3" x14ac:dyDescent="0.35">
      <c r="B4624" t="s">
        <v>595</v>
      </c>
      <c r="C4624" t="s">
        <v>596</v>
      </c>
    </row>
    <row r="4625" spans="2:3" x14ac:dyDescent="0.35">
      <c r="B4625" t="s">
        <v>703</v>
      </c>
      <c r="C4625" t="s">
        <v>704</v>
      </c>
    </row>
    <row r="4626" spans="2:3" x14ac:dyDescent="0.35">
      <c r="B4626" t="s">
        <v>593</v>
      </c>
      <c r="C4626" t="s">
        <v>594</v>
      </c>
    </row>
    <row r="4627" spans="2:3" x14ac:dyDescent="0.35">
      <c r="B4627" t="s">
        <v>252</v>
      </c>
      <c r="C4627" t="s">
        <v>253</v>
      </c>
    </row>
    <row r="4628" spans="2:3" x14ac:dyDescent="0.35">
      <c r="B4628" t="s">
        <v>360</v>
      </c>
      <c r="C4628" t="s">
        <v>361</v>
      </c>
    </row>
    <row r="4629" spans="2:3" x14ac:dyDescent="0.35">
      <c r="B4629" t="s">
        <v>202</v>
      </c>
      <c r="C4629" t="s">
        <v>203</v>
      </c>
    </row>
    <row r="4630" spans="2:3" x14ac:dyDescent="0.35">
      <c r="B4630" t="s">
        <v>527</v>
      </c>
      <c r="C4630" t="s">
        <v>528</v>
      </c>
    </row>
    <row r="4631" spans="2:3" x14ac:dyDescent="0.35">
      <c r="B4631" t="s">
        <v>1195</v>
      </c>
      <c r="C4631" t="s">
        <v>1195</v>
      </c>
    </row>
    <row r="4632" spans="2:3" x14ac:dyDescent="0.35">
      <c r="B4632" t="s">
        <v>527</v>
      </c>
      <c r="C4632" t="s">
        <v>528</v>
      </c>
    </row>
    <row r="4633" spans="2:3" x14ac:dyDescent="0.35">
      <c r="B4633" t="s">
        <v>543</v>
      </c>
      <c r="C4633" t="s">
        <v>544</v>
      </c>
    </row>
    <row r="4634" spans="2:3" x14ac:dyDescent="0.35">
      <c r="B4634" t="s">
        <v>787</v>
      </c>
      <c r="C4634" t="s">
        <v>788</v>
      </c>
    </row>
    <row r="4635" spans="2:3" x14ac:dyDescent="0.35">
      <c r="B4635" t="s">
        <v>787</v>
      </c>
      <c r="C4635" t="s">
        <v>788</v>
      </c>
    </row>
    <row r="4636" spans="2:3" x14ac:dyDescent="0.35">
      <c r="B4636" t="s">
        <v>787</v>
      </c>
      <c r="C4636" t="s">
        <v>788</v>
      </c>
    </row>
    <row r="4637" spans="2:3" x14ac:dyDescent="0.35">
      <c r="B4637" t="s">
        <v>84</v>
      </c>
      <c r="C4637" t="s">
        <v>85</v>
      </c>
    </row>
    <row r="4638" spans="2:3" x14ac:dyDescent="0.35">
      <c r="B4638" t="s">
        <v>485</v>
      </c>
      <c r="C4638" t="s">
        <v>486</v>
      </c>
    </row>
    <row r="4639" spans="2:3" x14ac:dyDescent="0.35">
      <c r="B4639" t="s">
        <v>664</v>
      </c>
      <c r="C4639" t="s">
        <v>665</v>
      </c>
    </row>
    <row r="4640" spans="2:3" x14ac:dyDescent="0.35">
      <c r="B4640" t="s">
        <v>692</v>
      </c>
      <c r="C4640" t="s">
        <v>693</v>
      </c>
    </row>
    <row r="4641" spans="2:3" x14ac:dyDescent="0.35">
      <c r="B4641" t="s">
        <v>1195</v>
      </c>
      <c r="C4641" t="s">
        <v>1195</v>
      </c>
    </row>
    <row r="4642" spans="2:3" x14ac:dyDescent="0.35">
      <c r="B4642" t="s">
        <v>650</v>
      </c>
      <c r="C4642" t="s">
        <v>651</v>
      </c>
    </row>
    <row r="4643" spans="2:3" x14ac:dyDescent="0.35">
      <c r="B4643" t="s">
        <v>202</v>
      </c>
      <c r="C4643" t="s">
        <v>203</v>
      </c>
    </row>
    <row r="4644" spans="2:3" x14ac:dyDescent="0.35">
      <c r="B4644" t="s">
        <v>252</v>
      </c>
      <c r="C4644" t="s">
        <v>253</v>
      </c>
    </row>
    <row r="4645" spans="2:3" x14ac:dyDescent="0.35">
      <c r="B4645" t="s">
        <v>700</v>
      </c>
      <c r="C4645" t="s">
        <v>701</v>
      </c>
    </row>
    <row r="4646" spans="2:3" x14ac:dyDescent="0.35">
      <c r="B4646" t="s">
        <v>58</v>
      </c>
      <c r="C4646" t="s">
        <v>59</v>
      </c>
    </row>
    <row r="4647" spans="2:3" x14ac:dyDescent="0.35">
      <c r="B4647" t="s">
        <v>559</v>
      </c>
      <c r="C4647" t="s">
        <v>560</v>
      </c>
    </row>
    <row r="4648" spans="2:3" x14ac:dyDescent="0.35">
      <c r="B4648" t="s">
        <v>455</v>
      </c>
      <c r="C4648" t="s">
        <v>456</v>
      </c>
    </row>
    <row r="4649" spans="2:3" x14ac:dyDescent="0.35">
      <c r="B4649" t="s">
        <v>658</v>
      </c>
      <c r="C4649" t="s">
        <v>659</v>
      </c>
    </row>
    <row r="4650" spans="2:3" x14ac:dyDescent="0.35">
      <c r="B4650" t="s">
        <v>182</v>
      </c>
      <c r="C4650" t="s">
        <v>183</v>
      </c>
    </row>
    <row r="4651" spans="2:3" x14ac:dyDescent="0.35">
      <c r="B4651" t="s">
        <v>700</v>
      </c>
      <c r="C4651" t="s">
        <v>701</v>
      </c>
    </row>
    <row r="4652" spans="2:3" x14ac:dyDescent="0.35">
      <c r="B4652" t="s">
        <v>254</v>
      </c>
      <c r="C4652" t="s">
        <v>255</v>
      </c>
    </row>
    <row r="4653" spans="2:3" x14ac:dyDescent="0.35">
      <c r="B4653" t="s">
        <v>559</v>
      </c>
      <c r="C4653" t="s">
        <v>560</v>
      </c>
    </row>
    <row r="4654" spans="2:3" x14ac:dyDescent="0.35">
      <c r="B4654" t="s">
        <v>230</v>
      </c>
      <c r="C4654" t="s">
        <v>231</v>
      </c>
    </row>
    <row r="4655" spans="2:3" x14ac:dyDescent="0.35">
      <c r="B4655" t="s">
        <v>208</v>
      </c>
      <c r="C4655" t="s">
        <v>209</v>
      </c>
    </row>
    <row r="4656" spans="2:3" x14ac:dyDescent="0.35">
      <c r="B4656" t="s">
        <v>648</v>
      </c>
      <c r="C4656" t="s">
        <v>649</v>
      </c>
    </row>
    <row r="4657" spans="2:3" x14ac:dyDescent="0.35">
      <c r="B4657" t="s">
        <v>499</v>
      </c>
      <c r="C4657" t="s">
        <v>500</v>
      </c>
    </row>
    <row r="4658" spans="2:3" x14ac:dyDescent="0.35">
      <c r="B4658" t="s">
        <v>804</v>
      </c>
      <c r="C4658" t="s">
        <v>805</v>
      </c>
    </row>
    <row r="4659" spans="2:3" x14ac:dyDescent="0.35">
      <c r="B4659" t="s">
        <v>676</v>
      </c>
      <c r="C4659" t="s">
        <v>677</v>
      </c>
    </row>
    <row r="4660" spans="2:3" x14ac:dyDescent="0.35">
      <c r="B4660" t="s">
        <v>573</v>
      </c>
      <c r="C4660" t="s">
        <v>574</v>
      </c>
    </row>
    <row r="4661" spans="2:3" x14ac:dyDescent="0.35">
      <c r="B4661" t="s">
        <v>465</v>
      </c>
      <c r="C4661" t="s">
        <v>466</v>
      </c>
    </row>
    <row r="4662" spans="2:3" x14ac:dyDescent="0.35">
      <c r="B4662" t="s">
        <v>335</v>
      </c>
      <c r="C4662" t="s">
        <v>336</v>
      </c>
    </row>
    <row r="4663" spans="2:3" x14ac:dyDescent="0.35">
      <c r="B4663" t="s">
        <v>64</v>
      </c>
      <c r="C4663" t="s">
        <v>65</v>
      </c>
    </row>
    <row r="4664" spans="2:3" x14ac:dyDescent="0.35">
      <c r="B4664" t="s">
        <v>56</v>
      </c>
      <c r="C4664" t="s">
        <v>57</v>
      </c>
    </row>
    <row r="4665" spans="2:3" x14ac:dyDescent="0.35">
      <c r="B4665" t="s">
        <v>232</v>
      </c>
      <c r="C4665" t="s">
        <v>233</v>
      </c>
    </row>
    <row r="4666" spans="2:3" x14ac:dyDescent="0.35">
      <c r="B4666" t="s">
        <v>453</v>
      </c>
      <c r="C4666" t="s">
        <v>454</v>
      </c>
    </row>
    <row r="4667" spans="2:3" x14ac:dyDescent="0.35">
      <c r="B4667" t="s">
        <v>652</v>
      </c>
      <c r="C4667" t="s">
        <v>653</v>
      </c>
    </row>
    <row r="4668" spans="2:3" x14ac:dyDescent="0.35">
      <c r="B4668" t="s">
        <v>787</v>
      </c>
      <c r="C4668" t="s">
        <v>788</v>
      </c>
    </row>
    <row r="4669" spans="2:3" x14ac:dyDescent="0.35">
      <c r="B4669" t="s">
        <v>787</v>
      </c>
      <c r="C4669" t="s">
        <v>788</v>
      </c>
    </row>
    <row r="4670" spans="2:3" x14ac:dyDescent="0.35">
      <c r="B4670" t="s">
        <v>799</v>
      </c>
      <c r="C4670" t="s">
        <v>800</v>
      </c>
    </row>
    <row r="4671" spans="2:3" x14ac:dyDescent="0.35">
      <c r="B4671" t="s">
        <v>595</v>
      </c>
      <c r="C4671" t="s">
        <v>596</v>
      </c>
    </row>
    <row r="4672" spans="2:3" x14ac:dyDescent="0.35">
      <c r="B4672" t="s">
        <v>694</v>
      </c>
      <c r="C4672" t="s">
        <v>695</v>
      </c>
    </row>
    <row r="4673" spans="2:3" x14ac:dyDescent="0.35">
      <c r="B4673" t="s">
        <v>316</v>
      </c>
      <c r="C4673" t="s">
        <v>317</v>
      </c>
    </row>
    <row r="4674" spans="2:3" x14ac:dyDescent="0.35">
      <c r="B4674" t="s">
        <v>700</v>
      </c>
      <c r="C4674" t="s">
        <v>701</v>
      </c>
    </row>
    <row r="4675" spans="2:3" x14ac:dyDescent="0.35">
      <c r="B4675" t="s">
        <v>787</v>
      </c>
      <c r="C4675" t="s">
        <v>788</v>
      </c>
    </row>
    <row r="4676" spans="2:3" x14ac:dyDescent="0.35">
      <c r="B4676" t="s">
        <v>787</v>
      </c>
      <c r="C4676" t="s">
        <v>788</v>
      </c>
    </row>
    <row r="4677" spans="2:3" x14ac:dyDescent="0.35">
      <c r="B4677" t="s">
        <v>1061</v>
      </c>
      <c r="C4677" t="s">
        <v>1062</v>
      </c>
    </row>
    <row r="4678" spans="2:3" x14ac:dyDescent="0.35">
      <c r="B4678" t="s">
        <v>105</v>
      </c>
      <c r="C4678" t="s">
        <v>106</v>
      </c>
    </row>
    <row r="4679" spans="2:3" x14ac:dyDescent="0.35">
      <c r="B4679" t="s">
        <v>855</v>
      </c>
      <c r="C4679" t="s">
        <v>856</v>
      </c>
    </row>
    <row r="4680" spans="2:3" x14ac:dyDescent="0.35">
      <c r="B4680" t="s">
        <v>84</v>
      </c>
      <c r="C4680" t="s">
        <v>85</v>
      </c>
    </row>
    <row r="4681" spans="2:3" x14ac:dyDescent="0.35">
      <c r="B4681" t="s">
        <v>376</v>
      </c>
      <c r="C4681" t="s">
        <v>377</v>
      </c>
    </row>
    <row r="4682" spans="2:3" x14ac:dyDescent="0.35">
      <c r="B4682" t="s">
        <v>787</v>
      </c>
      <c r="C4682" t="s">
        <v>788</v>
      </c>
    </row>
    <row r="4683" spans="2:3" x14ac:dyDescent="0.35">
      <c r="B4683" t="s">
        <v>652</v>
      </c>
      <c r="C4683" t="s">
        <v>653</v>
      </c>
    </row>
    <row r="4684" spans="2:3" x14ac:dyDescent="0.35">
      <c r="B4684" t="s">
        <v>787</v>
      </c>
      <c r="C4684" t="s">
        <v>788</v>
      </c>
    </row>
    <row r="4685" spans="2:3" x14ac:dyDescent="0.35">
      <c r="B4685" t="s">
        <v>787</v>
      </c>
      <c r="C4685" t="s">
        <v>788</v>
      </c>
    </row>
    <row r="4686" spans="2:3" x14ac:dyDescent="0.35">
      <c r="B4686" t="s">
        <v>531</v>
      </c>
      <c r="C4686" t="s">
        <v>532</v>
      </c>
    </row>
    <row r="4687" spans="2:3" x14ac:dyDescent="0.35">
      <c r="B4687" t="s">
        <v>787</v>
      </c>
      <c r="C4687" t="s">
        <v>788</v>
      </c>
    </row>
    <row r="4688" spans="2:3" x14ac:dyDescent="0.35">
      <c r="B4688" t="s">
        <v>787</v>
      </c>
      <c r="C4688" t="s">
        <v>788</v>
      </c>
    </row>
    <row r="4689" spans="2:3" x14ac:dyDescent="0.35">
      <c r="B4689" t="s">
        <v>463</v>
      </c>
      <c r="C4689" t="s">
        <v>464</v>
      </c>
    </row>
    <row r="4690" spans="2:3" x14ac:dyDescent="0.35">
      <c r="B4690" t="s">
        <v>412</v>
      </c>
      <c r="C4690" t="s">
        <v>413</v>
      </c>
    </row>
    <row r="4691" spans="2:3" x14ac:dyDescent="0.35">
      <c r="B4691" t="s">
        <v>384</v>
      </c>
      <c r="C4691" t="s">
        <v>385</v>
      </c>
    </row>
    <row r="4692" spans="2:3" x14ac:dyDescent="0.35">
      <c r="B4692" t="s">
        <v>804</v>
      </c>
      <c r="C4692" t="s">
        <v>805</v>
      </c>
    </row>
    <row r="4693" spans="2:3" x14ac:dyDescent="0.35">
      <c r="B4693" t="s">
        <v>703</v>
      </c>
      <c r="C4693" t="s">
        <v>704</v>
      </c>
    </row>
    <row r="4694" spans="2:3" x14ac:dyDescent="0.35">
      <c r="B4694" t="s">
        <v>295</v>
      </c>
      <c r="C4694" t="s">
        <v>296</v>
      </c>
    </row>
    <row r="4695" spans="2:3" x14ac:dyDescent="0.35">
      <c r="B4695" t="s">
        <v>868</v>
      </c>
      <c r="C4695" t="s">
        <v>869</v>
      </c>
    </row>
    <row r="4696" spans="2:3" x14ac:dyDescent="0.35">
      <c r="B4696" t="s">
        <v>90</v>
      </c>
      <c r="C4696" t="s">
        <v>91</v>
      </c>
    </row>
    <row r="4697" spans="2:3" x14ac:dyDescent="0.35">
      <c r="B4697" t="s">
        <v>662</v>
      </c>
      <c r="C4697" t="s">
        <v>663</v>
      </c>
    </row>
    <row r="4698" spans="2:3" x14ac:dyDescent="0.35">
      <c r="B4698" t="s">
        <v>799</v>
      </c>
      <c r="C4698" t="s">
        <v>800</v>
      </c>
    </row>
    <row r="4699" spans="2:3" x14ac:dyDescent="0.35">
      <c r="B4699" t="s">
        <v>281</v>
      </c>
      <c r="C4699" t="s">
        <v>282</v>
      </c>
    </row>
    <row r="4700" spans="2:3" x14ac:dyDescent="0.35">
      <c r="B4700" t="s">
        <v>700</v>
      </c>
      <c r="C4700" t="s">
        <v>701</v>
      </c>
    </row>
    <row r="4701" spans="2:3" x14ac:dyDescent="0.35">
      <c r="B4701" t="s">
        <v>694</v>
      </c>
      <c r="C4701" t="s">
        <v>695</v>
      </c>
    </row>
    <row r="4702" spans="2:3" x14ac:dyDescent="0.35">
      <c r="B4702" t="s">
        <v>208</v>
      </c>
      <c r="C4702" t="s">
        <v>209</v>
      </c>
    </row>
    <row r="4703" spans="2:3" x14ac:dyDescent="0.35">
      <c r="B4703" t="s">
        <v>700</v>
      </c>
      <c r="C4703" t="s">
        <v>701</v>
      </c>
    </row>
    <row r="4704" spans="2:3" x14ac:dyDescent="0.35">
      <c r="B4704" t="s">
        <v>64</v>
      </c>
      <c r="C4704" t="s">
        <v>65</v>
      </c>
    </row>
    <row r="4705" spans="2:3" x14ac:dyDescent="0.35">
      <c r="B4705" t="s">
        <v>120</v>
      </c>
      <c r="C4705" t="s">
        <v>121</v>
      </c>
    </row>
    <row r="4706" spans="2:3" x14ac:dyDescent="0.35">
      <c r="B4706" t="s">
        <v>575</v>
      </c>
      <c r="C4706" t="s">
        <v>576</v>
      </c>
    </row>
    <row r="4707" spans="2:3" x14ac:dyDescent="0.35">
      <c r="B4707" t="s">
        <v>799</v>
      </c>
      <c r="C4707" t="s">
        <v>800</v>
      </c>
    </row>
    <row r="4708" spans="2:3" x14ac:dyDescent="0.35">
      <c r="B4708" t="s">
        <v>254</v>
      </c>
      <c r="C4708" t="s">
        <v>255</v>
      </c>
    </row>
    <row r="4709" spans="2:3" x14ac:dyDescent="0.35">
      <c r="B4709" t="s">
        <v>72</v>
      </c>
      <c r="C4709" t="s">
        <v>73</v>
      </c>
    </row>
    <row r="4710" spans="2:3" x14ac:dyDescent="0.35">
      <c r="B4710" t="s">
        <v>465</v>
      </c>
      <c r="C4710" t="s">
        <v>466</v>
      </c>
    </row>
    <row r="4711" spans="2:3" x14ac:dyDescent="0.35">
      <c r="B4711" t="s">
        <v>128</v>
      </c>
      <c r="C4711" t="s">
        <v>129</v>
      </c>
    </row>
    <row r="4712" spans="2:3" x14ac:dyDescent="0.35">
      <c r="B4712" t="s">
        <v>128</v>
      </c>
      <c r="C4712" t="s">
        <v>129</v>
      </c>
    </row>
    <row r="4713" spans="2:3" x14ac:dyDescent="0.35">
      <c r="B4713" t="s">
        <v>642</v>
      </c>
      <c r="C4713" t="s">
        <v>643</v>
      </c>
    </row>
    <row r="4714" spans="2:3" x14ac:dyDescent="0.35">
      <c r="B4714" t="s">
        <v>443</v>
      </c>
      <c r="C4714" t="s">
        <v>444</v>
      </c>
    </row>
    <row r="4715" spans="2:3" x14ac:dyDescent="0.35">
      <c r="B4715" t="s">
        <v>638</v>
      </c>
      <c r="C4715" t="s">
        <v>639</v>
      </c>
    </row>
    <row r="4716" spans="2:3" x14ac:dyDescent="0.35">
      <c r="B4716" t="s">
        <v>543</v>
      </c>
      <c r="C4716" t="s">
        <v>544</v>
      </c>
    </row>
    <row r="4717" spans="2:3" x14ac:dyDescent="0.35">
      <c r="B4717" t="s">
        <v>344</v>
      </c>
      <c r="C4717" t="s">
        <v>345</v>
      </c>
    </row>
    <row r="4718" spans="2:3" x14ac:dyDescent="0.35">
      <c r="B4718" t="s">
        <v>787</v>
      </c>
      <c r="C4718" t="s">
        <v>788</v>
      </c>
    </row>
    <row r="4719" spans="2:3" x14ac:dyDescent="0.35">
      <c r="B4719" t="s">
        <v>700</v>
      </c>
      <c r="C4719" t="s">
        <v>701</v>
      </c>
    </row>
    <row r="4720" spans="2:3" x14ac:dyDescent="0.35">
      <c r="B4720" t="s">
        <v>316</v>
      </c>
      <c r="C4720" t="s">
        <v>317</v>
      </c>
    </row>
    <row r="4721" spans="2:3" x14ac:dyDescent="0.35">
      <c r="B4721" t="s">
        <v>787</v>
      </c>
      <c r="C4721" t="s">
        <v>788</v>
      </c>
    </row>
    <row r="4722" spans="2:3" x14ac:dyDescent="0.35">
      <c r="B4722" t="s">
        <v>963</v>
      </c>
      <c r="C4722" t="s">
        <v>964</v>
      </c>
    </row>
    <row r="4723" spans="2:3" x14ac:dyDescent="0.35">
      <c r="B4723" t="s">
        <v>963</v>
      </c>
      <c r="C4723" t="s">
        <v>964</v>
      </c>
    </row>
    <row r="4724" spans="2:3" x14ac:dyDescent="0.35">
      <c r="B4724" t="s">
        <v>545</v>
      </c>
      <c r="C4724" t="s">
        <v>546</v>
      </c>
    </row>
    <row r="4725" spans="2:3" x14ac:dyDescent="0.35">
      <c r="B4725" t="s">
        <v>479</v>
      </c>
      <c r="C4725" t="s">
        <v>480</v>
      </c>
    </row>
    <row r="4726" spans="2:3" x14ac:dyDescent="0.35">
      <c r="B4726" t="s">
        <v>260</v>
      </c>
      <c r="C4726" t="s">
        <v>261</v>
      </c>
    </row>
    <row r="4727" spans="2:3" x14ac:dyDescent="0.35">
      <c r="B4727" t="s">
        <v>557</v>
      </c>
      <c r="C4727" t="s">
        <v>558</v>
      </c>
    </row>
    <row r="4728" spans="2:3" x14ac:dyDescent="0.35">
      <c r="B4728" t="s">
        <v>416</v>
      </c>
      <c r="C4728" t="s">
        <v>417</v>
      </c>
    </row>
    <row r="4729" spans="2:3" x14ac:dyDescent="0.35">
      <c r="B4729" t="s">
        <v>449</v>
      </c>
      <c r="C4729" t="s">
        <v>450</v>
      </c>
    </row>
    <row r="4730" spans="2:3" x14ac:dyDescent="0.35">
      <c r="B4730" t="s">
        <v>393</v>
      </c>
      <c r="C4730" t="s">
        <v>394</v>
      </c>
    </row>
    <row r="4731" spans="2:3" x14ac:dyDescent="0.35">
      <c r="B4731" t="s">
        <v>90</v>
      </c>
      <c r="C4731" t="s">
        <v>91</v>
      </c>
    </row>
    <row r="4732" spans="2:3" x14ac:dyDescent="0.35">
      <c r="B4732" t="s">
        <v>293</v>
      </c>
      <c r="C4732" t="s">
        <v>294</v>
      </c>
    </row>
    <row r="4733" spans="2:3" x14ac:dyDescent="0.35">
      <c r="B4733" t="s">
        <v>105</v>
      </c>
      <c r="C4733" t="s">
        <v>106</v>
      </c>
    </row>
    <row r="4734" spans="2:3" x14ac:dyDescent="0.35">
      <c r="B4734" t="s">
        <v>387</v>
      </c>
      <c r="C4734" t="s">
        <v>388</v>
      </c>
    </row>
    <row r="4735" spans="2:3" x14ac:dyDescent="0.35">
      <c r="B4735" t="s">
        <v>163</v>
      </c>
      <c r="C4735" t="s">
        <v>164</v>
      </c>
    </row>
    <row r="4736" spans="2:3" x14ac:dyDescent="0.35">
      <c r="B4736" t="s">
        <v>487</v>
      </c>
      <c r="C4736" t="s">
        <v>488</v>
      </c>
    </row>
    <row r="4737" spans="2:3" x14ac:dyDescent="0.35">
      <c r="B4737" t="s">
        <v>105</v>
      </c>
      <c r="C4737" t="s">
        <v>106</v>
      </c>
    </row>
    <row r="4738" spans="2:3" x14ac:dyDescent="0.35">
      <c r="B4738" t="s">
        <v>557</v>
      </c>
      <c r="C4738" t="s">
        <v>558</v>
      </c>
    </row>
    <row r="4739" spans="2:3" x14ac:dyDescent="0.35">
      <c r="B4739" t="s">
        <v>559</v>
      </c>
      <c r="C4739" t="s">
        <v>560</v>
      </c>
    </row>
    <row r="4740" spans="2:3" x14ac:dyDescent="0.35">
      <c r="B4740" t="s">
        <v>692</v>
      </c>
      <c r="C4740" t="s">
        <v>693</v>
      </c>
    </row>
    <row r="4741" spans="2:3" x14ac:dyDescent="0.35">
      <c r="B4741" t="s">
        <v>787</v>
      </c>
      <c r="C4741" t="s">
        <v>788</v>
      </c>
    </row>
    <row r="4742" spans="2:3" x14ac:dyDescent="0.35">
      <c r="B4742" t="s">
        <v>517</v>
      </c>
      <c r="C4742" t="s">
        <v>518</v>
      </c>
    </row>
    <row r="4743" spans="2:3" x14ac:dyDescent="0.35">
      <c r="B4743" t="s">
        <v>64</v>
      </c>
      <c r="C4743" t="s">
        <v>65</v>
      </c>
    </row>
    <row r="4744" spans="2:3" x14ac:dyDescent="0.35">
      <c r="B4744" t="s">
        <v>128</v>
      </c>
      <c r="C4744" t="s">
        <v>129</v>
      </c>
    </row>
    <row r="4745" spans="2:3" x14ac:dyDescent="0.35">
      <c r="B4745" t="s">
        <v>662</v>
      </c>
      <c r="C4745" t="s">
        <v>663</v>
      </c>
    </row>
    <row r="4746" spans="2:3" x14ac:dyDescent="0.35">
      <c r="B4746" t="s">
        <v>378</v>
      </c>
      <c r="C4746" t="s">
        <v>379</v>
      </c>
    </row>
    <row r="4747" spans="2:3" x14ac:dyDescent="0.35">
      <c r="B4747" t="s">
        <v>350</v>
      </c>
      <c r="C4747" t="s">
        <v>351</v>
      </c>
    </row>
    <row r="4748" spans="2:3" x14ac:dyDescent="0.35">
      <c r="B4748" t="s">
        <v>537</v>
      </c>
      <c r="C4748" t="s">
        <v>538</v>
      </c>
    </row>
    <row r="4749" spans="2:3" x14ac:dyDescent="0.35">
      <c r="B4749" t="s">
        <v>58</v>
      </c>
      <c r="C4749" t="s">
        <v>59</v>
      </c>
    </row>
    <row r="4750" spans="2:3" x14ac:dyDescent="0.35">
      <c r="B4750" t="s">
        <v>515</v>
      </c>
      <c r="C4750" t="s">
        <v>516</v>
      </c>
    </row>
    <row r="4751" spans="2:3" x14ac:dyDescent="0.35">
      <c r="B4751" t="s">
        <v>428</v>
      </c>
      <c r="C4751" t="s">
        <v>429</v>
      </c>
    </row>
    <row r="4752" spans="2:3" x14ac:dyDescent="0.35">
      <c r="B4752" t="s">
        <v>537</v>
      </c>
      <c r="C4752" t="s">
        <v>538</v>
      </c>
    </row>
    <row r="4753" spans="2:3" x14ac:dyDescent="0.35">
      <c r="B4753" t="s">
        <v>254</v>
      </c>
      <c r="C4753" t="s">
        <v>255</v>
      </c>
    </row>
    <row r="4754" spans="2:3" x14ac:dyDescent="0.35">
      <c r="B4754" t="s">
        <v>618</v>
      </c>
      <c r="C4754" t="s">
        <v>619</v>
      </c>
    </row>
    <row r="4755" spans="2:3" x14ac:dyDescent="0.35">
      <c r="B4755" t="s">
        <v>287</v>
      </c>
      <c r="C4755" t="s">
        <v>288</v>
      </c>
    </row>
    <row r="4756" spans="2:3" x14ac:dyDescent="0.35">
      <c r="B4756" t="s">
        <v>465</v>
      </c>
      <c r="C4756" t="s">
        <v>466</v>
      </c>
    </row>
    <row r="4757" spans="2:3" x14ac:dyDescent="0.35">
      <c r="B4757" t="s">
        <v>230</v>
      </c>
      <c r="C4757" t="s">
        <v>231</v>
      </c>
    </row>
    <row r="4758" spans="2:3" x14ac:dyDescent="0.35">
      <c r="B4758" t="s">
        <v>694</v>
      </c>
      <c r="C4758" t="s">
        <v>695</v>
      </c>
    </row>
    <row r="4759" spans="2:3" x14ac:dyDescent="0.35">
      <c r="B4759" t="s">
        <v>219</v>
      </c>
      <c r="C4759" t="s">
        <v>220</v>
      </c>
    </row>
    <row r="4760" spans="2:3" x14ac:dyDescent="0.35">
      <c r="B4760" t="s">
        <v>575</v>
      </c>
      <c r="C4760" t="s">
        <v>576</v>
      </c>
    </row>
    <row r="4761" spans="2:3" x14ac:dyDescent="0.35">
      <c r="B4761" t="s">
        <v>559</v>
      </c>
      <c r="C4761" t="s">
        <v>560</v>
      </c>
    </row>
    <row r="4762" spans="2:3" x14ac:dyDescent="0.35">
      <c r="B4762" t="s">
        <v>1195</v>
      </c>
      <c r="C4762" t="s">
        <v>1195</v>
      </c>
    </row>
    <row r="4763" spans="2:3" x14ac:dyDescent="0.35">
      <c r="B4763" t="s">
        <v>961</v>
      </c>
      <c r="C4763" t="s">
        <v>962</v>
      </c>
    </row>
    <row r="4764" spans="2:3" x14ac:dyDescent="0.35">
      <c r="B4764" t="s">
        <v>465</v>
      </c>
      <c r="C4764" t="s">
        <v>466</v>
      </c>
    </row>
    <row r="4765" spans="2:3" x14ac:dyDescent="0.35">
      <c r="B4765" t="s">
        <v>254</v>
      </c>
      <c r="C4765" t="s">
        <v>255</v>
      </c>
    </row>
    <row r="4766" spans="2:3" x14ac:dyDescent="0.35">
      <c r="B4766" t="s">
        <v>787</v>
      </c>
      <c r="C4766" t="s">
        <v>788</v>
      </c>
    </row>
    <row r="4767" spans="2:3" x14ac:dyDescent="0.35">
      <c r="B4767" t="s">
        <v>537</v>
      </c>
      <c r="C4767" t="s">
        <v>538</v>
      </c>
    </row>
    <row r="4768" spans="2:3" x14ac:dyDescent="0.35">
      <c r="B4768" t="s">
        <v>527</v>
      </c>
      <c r="C4768" t="s">
        <v>528</v>
      </c>
    </row>
    <row r="4769" spans="2:3" x14ac:dyDescent="0.35">
      <c r="B4769" t="s">
        <v>958</v>
      </c>
      <c r="C4769" t="s">
        <v>959</v>
      </c>
    </row>
    <row r="4770" spans="2:3" x14ac:dyDescent="0.35">
      <c r="B4770" t="s">
        <v>430</v>
      </c>
      <c r="C4770" t="s">
        <v>431</v>
      </c>
    </row>
    <row r="4771" spans="2:3" x14ac:dyDescent="0.35">
      <c r="B4771" t="s">
        <v>289</v>
      </c>
      <c r="C4771" t="s">
        <v>290</v>
      </c>
    </row>
    <row r="4772" spans="2:3" x14ac:dyDescent="0.35">
      <c r="B4772" t="s">
        <v>1061</v>
      </c>
      <c r="C4772" t="s">
        <v>1062</v>
      </c>
    </row>
    <row r="4773" spans="2:3" x14ac:dyDescent="0.35">
      <c r="B4773" t="s">
        <v>495</v>
      </c>
      <c r="C4773" t="s">
        <v>496</v>
      </c>
    </row>
    <row r="4774" spans="2:3" x14ac:dyDescent="0.35">
      <c r="B4774" t="s">
        <v>384</v>
      </c>
      <c r="C4774" t="s">
        <v>385</v>
      </c>
    </row>
    <row r="4775" spans="2:3" x14ac:dyDescent="0.35">
      <c r="B4775" t="s">
        <v>1061</v>
      </c>
      <c r="C4775" t="s">
        <v>1062</v>
      </c>
    </row>
    <row r="4776" spans="2:3" x14ac:dyDescent="0.35">
      <c r="B4776" t="s">
        <v>219</v>
      </c>
      <c r="C4776" t="s">
        <v>220</v>
      </c>
    </row>
    <row r="4777" spans="2:3" x14ac:dyDescent="0.35">
      <c r="B4777" t="s">
        <v>963</v>
      </c>
      <c r="C4777" t="s">
        <v>964</v>
      </c>
    </row>
    <row r="4778" spans="2:3" x14ac:dyDescent="0.35">
      <c r="B4778" t="s">
        <v>787</v>
      </c>
      <c r="C4778" t="s">
        <v>788</v>
      </c>
    </row>
    <row r="4779" spans="2:3" x14ac:dyDescent="0.35">
      <c r="B4779" t="s">
        <v>787</v>
      </c>
      <c r="C4779" t="s">
        <v>788</v>
      </c>
    </row>
    <row r="4780" spans="2:3" x14ac:dyDescent="0.35">
      <c r="B4780" t="s">
        <v>787</v>
      </c>
      <c r="C4780" t="s">
        <v>788</v>
      </c>
    </row>
    <row r="4781" spans="2:3" x14ac:dyDescent="0.35">
      <c r="B4781" t="s">
        <v>545</v>
      </c>
      <c r="C4781" t="s">
        <v>546</v>
      </c>
    </row>
    <row r="4782" spans="2:3" x14ac:dyDescent="0.35">
      <c r="B4782" t="s">
        <v>254</v>
      </c>
      <c r="C4782" t="s">
        <v>255</v>
      </c>
    </row>
    <row r="4783" spans="2:3" x14ac:dyDescent="0.35">
      <c r="B4783" t="s">
        <v>674</v>
      </c>
      <c r="C4783" t="s">
        <v>675</v>
      </c>
    </row>
    <row r="4784" spans="2:3" x14ac:dyDescent="0.35">
      <c r="B4784" t="s">
        <v>202</v>
      </c>
      <c r="C4784" t="s">
        <v>203</v>
      </c>
    </row>
    <row r="4785" spans="2:3" x14ac:dyDescent="0.35">
      <c r="B4785" t="s">
        <v>122</v>
      </c>
      <c r="C4785" t="s">
        <v>123</v>
      </c>
    </row>
    <row r="4786" spans="2:3" x14ac:dyDescent="0.35">
      <c r="B4786" t="s">
        <v>1061</v>
      </c>
      <c r="C4786" t="s">
        <v>1062</v>
      </c>
    </row>
    <row r="4787" spans="2:3" x14ac:dyDescent="0.35">
      <c r="B4787" t="s">
        <v>700</v>
      </c>
      <c r="C4787" t="s">
        <v>701</v>
      </c>
    </row>
    <row r="4788" spans="2:3" x14ac:dyDescent="0.35">
      <c r="B4788" t="s">
        <v>595</v>
      </c>
      <c r="C4788" t="s">
        <v>596</v>
      </c>
    </row>
    <row r="4789" spans="2:3" x14ac:dyDescent="0.35">
      <c r="B4789" t="s">
        <v>295</v>
      </c>
      <c r="C4789" t="s">
        <v>296</v>
      </c>
    </row>
    <row r="4790" spans="2:3" x14ac:dyDescent="0.35">
      <c r="B4790" t="s">
        <v>577</v>
      </c>
      <c r="C4790" t="s">
        <v>578</v>
      </c>
    </row>
    <row r="4791" spans="2:3" x14ac:dyDescent="0.35">
      <c r="B4791" t="s">
        <v>692</v>
      </c>
      <c r="C4791" t="s">
        <v>693</v>
      </c>
    </row>
    <row r="4792" spans="2:3" x14ac:dyDescent="0.35">
      <c r="B4792" t="s">
        <v>787</v>
      </c>
      <c r="C4792" t="s">
        <v>788</v>
      </c>
    </row>
    <row r="4793" spans="2:3" x14ac:dyDescent="0.35">
      <c r="B4793" t="s">
        <v>299</v>
      </c>
      <c r="C4793" t="s">
        <v>300</v>
      </c>
    </row>
    <row r="4794" spans="2:3" x14ac:dyDescent="0.35">
      <c r="B4794" t="s">
        <v>82</v>
      </c>
      <c r="C4794" t="s">
        <v>83</v>
      </c>
    </row>
    <row r="4795" spans="2:3" x14ac:dyDescent="0.35">
      <c r="B4795" t="s">
        <v>443</v>
      </c>
      <c r="C4795" t="s">
        <v>444</v>
      </c>
    </row>
    <row r="4796" spans="2:3" x14ac:dyDescent="0.35">
      <c r="B4796" t="s">
        <v>208</v>
      </c>
      <c r="C4796" t="s">
        <v>209</v>
      </c>
    </row>
    <row r="4797" spans="2:3" x14ac:dyDescent="0.35">
      <c r="B4797" t="s">
        <v>163</v>
      </c>
      <c r="C4797" t="s">
        <v>164</v>
      </c>
    </row>
    <row r="4798" spans="2:3" x14ac:dyDescent="0.35">
      <c r="B4798" t="s">
        <v>90</v>
      </c>
      <c r="C4798" t="s">
        <v>91</v>
      </c>
    </row>
    <row r="4799" spans="2:3" x14ac:dyDescent="0.35">
      <c r="B4799" t="s">
        <v>90</v>
      </c>
      <c r="C4799" t="s">
        <v>91</v>
      </c>
    </row>
    <row r="4800" spans="2:3" x14ac:dyDescent="0.35">
      <c r="B4800" t="s">
        <v>537</v>
      </c>
      <c r="C4800" t="s">
        <v>538</v>
      </c>
    </row>
    <row r="4801" spans="2:3" x14ac:dyDescent="0.35">
      <c r="B4801" t="s">
        <v>640</v>
      </c>
      <c r="C4801" t="s">
        <v>641</v>
      </c>
    </row>
    <row r="4802" spans="2:3" x14ac:dyDescent="0.35">
      <c r="B4802" t="s">
        <v>258</v>
      </c>
      <c r="C4802" t="s">
        <v>259</v>
      </c>
    </row>
    <row r="4803" spans="2:3" x14ac:dyDescent="0.35">
      <c r="B4803" t="s">
        <v>232</v>
      </c>
      <c r="C4803" t="s">
        <v>233</v>
      </c>
    </row>
    <row r="4804" spans="2:3" x14ac:dyDescent="0.35">
      <c r="B4804" t="s">
        <v>443</v>
      </c>
      <c r="C4804" t="s">
        <v>444</v>
      </c>
    </row>
    <row r="4805" spans="2:3" x14ac:dyDescent="0.35">
      <c r="B4805" t="s">
        <v>200</v>
      </c>
      <c r="C4805" t="s">
        <v>201</v>
      </c>
    </row>
    <row r="4806" spans="2:3" x14ac:dyDescent="0.35">
      <c r="B4806" t="s">
        <v>1195</v>
      </c>
      <c r="C4806" t="s">
        <v>1195</v>
      </c>
    </row>
    <row r="4807" spans="2:3" x14ac:dyDescent="0.35">
      <c r="B4807" t="s">
        <v>662</v>
      </c>
      <c r="C4807" t="s">
        <v>663</v>
      </c>
    </row>
    <row r="4808" spans="2:3" x14ac:dyDescent="0.35">
      <c r="B4808" t="s">
        <v>648</v>
      </c>
      <c r="C4808" t="s">
        <v>649</v>
      </c>
    </row>
    <row r="4809" spans="2:3" x14ac:dyDescent="0.35">
      <c r="B4809" t="s">
        <v>90</v>
      </c>
      <c r="C4809" t="s">
        <v>91</v>
      </c>
    </row>
    <row r="4810" spans="2:3" x14ac:dyDescent="0.35">
      <c r="B4810" t="s">
        <v>527</v>
      </c>
      <c r="C4810" t="s">
        <v>528</v>
      </c>
    </row>
    <row r="4811" spans="2:3" x14ac:dyDescent="0.35">
      <c r="B4811" t="s">
        <v>612</v>
      </c>
      <c r="C4811" t="s">
        <v>613</v>
      </c>
    </row>
    <row r="4812" spans="2:3" x14ac:dyDescent="0.35">
      <c r="B4812" t="s">
        <v>202</v>
      </c>
      <c r="C4812" t="s">
        <v>203</v>
      </c>
    </row>
    <row r="4813" spans="2:3" x14ac:dyDescent="0.35">
      <c r="B4813" t="s">
        <v>344</v>
      </c>
      <c r="C4813" t="s">
        <v>345</v>
      </c>
    </row>
    <row r="4814" spans="2:3" x14ac:dyDescent="0.35">
      <c r="B4814" t="s">
        <v>200</v>
      </c>
      <c r="C4814" t="s">
        <v>201</v>
      </c>
    </row>
    <row r="4815" spans="2:3" x14ac:dyDescent="0.35">
      <c r="B4815" t="s">
        <v>384</v>
      </c>
      <c r="C4815" t="s">
        <v>385</v>
      </c>
    </row>
    <row r="4816" spans="2:3" x14ac:dyDescent="0.35">
      <c r="B4816" t="s">
        <v>527</v>
      </c>
      <c r="C4816" t="s">
        <v>528</v>
      </c>
    </row>
    <row r="4817" spans="2:3" x14ac:dyDescent="0.35">
      <c r="B4817" t="s">
        <v>874</v>
      </c>
      <c r="C4817" t="s">
        <v>875</v>
      </c>
    </row>
    <row r="4818" spans="2:3" x14ac:dyDescent="0.35">
      <c r="B4818" t="s">
        <v>202</v>
      </c>
      <c r="C4818" t="s">
        <v>203</v>
      </c>
    </row>
    <row r="4819" spans="2:3" x14ac:dyDescent="0.35">
      <c r="B4819" t="s">
        <v>700</v>
      </c>
      <c r="C4819" t="s">
        <v>701</v>
      </c>
    </row>
    <row r="4820" spans="2:3" x14ac:dyDescent="0.35">
      <c r="B4820" t="s">
        <v>787</v>
      </c>
      <c r="C4820" t="s">
        <v>788</v>
      </c>
    </row>
    <row r="4821" spans="2:3" x14ac:dyDescent="0.35">
      <c r="B4821" t="s">
        <v>105</v>
      </c>
      <c r="C4821" t="s">
        <v>106</v>
      </c>
    </row>
    <row r="4822" spans="2:3" x14ac:dyDescent="0.35">
      <c r="B4822" t="s">
        <v>1195</v>
      </c>
      <c r="C4822" t="s">
        <v>1195</v>
      </c>
    </row>
    <row r="4823" spans="2:3" x14ac:dyDescent="0.35">
      <c r="B4823" t="s">
        <v>90</v>
      </c>
      <c r="C4823" t="s">
        <v>91</v>
      </c>
    </row>
    <row r="4824" spans="2:3" x14ac:dyDescent="0.35">
      <c r="B4824" t="s">
        <v>612</v>
      </c>
      <c r="C4824" t="s">
        <v>613</v>
      </c>
    </row>
    <row r="4825" spans="2:3" x14ac:dyDescent="0.35">
      <c r="B4825" t="s">
        <v>537</v>
      </c>
      <c r="C4825" t="s">
        <v>538</v>
      </c>
    </row>
    <row r="4826" spans="2:3" x14ac:dyDescent="0.35">
      <c r="B4826" t="s">
        <v>105</v>
      </c>
      <c r="C4826" t="s">
        <v>106</v>
      </c>
    </row>
    <row r="4827" spans="2:3" x14ac:dyDescent="0.35">
      <c r="B4827" t="s">
        <v>202</v>
      </c>
      <c r="C4827" t="s">
        <v>203</v>
      </c>
    </row>
    <row r="4828" spans="2:3" x14ac:dyDescent="0.35">
      <c r="B4828" t="s">
        <v>90</v>
      </c>
      <c r="C4828" t="s">
        <v>91</v>
      </c>
    </row>
    <row r="4829" spans="2:3" x14ac:dyDescent="0.35">
      <c r="B4829" t="s">
        <v>230</v>
      </c>
      <c r="C4829" t="s">
        <v>231</v>
      </c>
    </row>
    <row r="4830" spans="2:3" x14ac:dyDescent="0.35">
      <c r="B4830" t="s">
        <v>642</v>
      </c>
      <c r="C4830" t="s">
        <v>643</v>
      </c>
    </row>
    <row r="4831" spans="2:3" x14ac:dyDescent="0.35">
      <c r="B4831" t="s">
        <v>457</v>
      </c>
      <c r="C4831" t="s">
        <v>458</v>
      </c>
    </row>
    <row r="4832" spans="2:3" x14ac:dyDescent="0.35">
      <c r="B4832" t="s">
        <v>787</v>
      </c>
      <c r="C4832" t="s">
        <v>788</v>
      </c>
    </row>
    <row r="4833" spans="2:3" x14ac:dyDescent="0.35">
      <c r="B4833" t="s">
        <v>787</v>
      </c>
      <c r="C4833" t="s">
        <v>788</v>
      </c>
    </row>
    <row r="4834" spans="2:3" x14ac:dyDescent="0.35">
      <c r="B4834" t="s">
        <v>545</v>
      </c>
      <c r="C4834" t="s">
        <v>546</v>
      </c>
    </row>
    <row r="4835" spans="2:3" x14ac:dyDescent="0.35">
      <c r="B4835" t="s">
        <v>299</v>
      </c>
      <c r="C4835" t="s">
        <v>300</v>
      </c>
    </row>
    <row r="4836" spans="2:3" x14ac:dyDescent="0.35">
      <c r="B4836" t="s">
        <v>230</v>
      </c>
      <c r="C4836" t="s">
        <v>231</v>
      </c>
    </row>
    <row r="4837" spans="2:3" x14ac:dyDescent="0.35">
      <c r="B4837" t="s">
        <v>601</v>
      </c>
      <c r="C4837" t="s">
        <v>602</v>
      </c>
    </row>
    <row r="4838" spans="2:3" x14ac:dyDescent="0.35">
      <c r="B4838" t="s">
        <v>105</v>
      </c>
      <c r="C4838" t="s">
        <v>106</v>
      </c>
    </row>
    <row r="4839" spans="2:3" x14ac:dyDescent="0.35">
      <c r="B4839" t="s">
        <v>465</v>
      </c>
      <c r="C4839" t="s">
        <v>466</v>
      </c>
    </row>
    <row r="4840" spans="2:3" x14ac:dyDescent="0.35">
      <c r="B4840" t="s">
        <v>463</v>
      </c>
      <c r="C4840" t="s">
        <v>464</v>
      </c>
    </row>
    <row r="4841" spans="2:3" x14ac:dyDescent="0.35">
      <c r="B4841" t="s">
        <v>122</v>
      </c>
      <c r="C4841" t="s">
        <v>123</v>
      </c>
    </row>
    <row r="4842" spans="2:3" x14ac:dyDescent="0.35">
      <c r="B4842" t="s">
        <v>703</v>
      </c>
      <c r="C4842" t="s">
        <v>704</v>
      </c>
    </row>
    <row r="4843" spans="2:3" x14ac:dyDescent="0.35">
      <c r="B4843" t="s">
        <v>787</v>
      </c>
      <c r="C4843" t="s">
        <v>788</v>
      </c>
    </row>
    <row r="4844" spans="2:3" x14ac:dyDescent="0.35">
      <c r="B4844" t="s">
        <v>176</v>
      </c>
      <c r="C4844" t="s">
        <v>177</v>
      </c>
    </row>
    <row r="4845" spans="2:3" x14ac:dyDescent="0.35">
      <c r="B4845" t="s">
        <v>90</v>
      </c>
      <c r="C4845" t="s">
        <v>91</v>
      </c>
    </row>
    <row r="4846" spans="2:3" x14ac:dyDescent="0.35">
      <c r="B4846" t="s">
        <v>467</v>
      </c>
      <c r="C4846" t="s">
        <v>468</v>
      </c>
    </row>
    <row r="4847" spans="2:3" x14ac:dyDescent="0.35">
      <c r="B4847" t="s">
        <v>700</v>
      </c>
      <c r="C4847" t="s">
        <v>701</v>
      </c>
    </row>
    <row r="4848" spans="2:3" x14ac:dyDescent="0.35">
      <c r="B4848" t="s">
        <v>700</v>
      </c>
      <c r="C4848" t="s">
        <v>701</v>
      </c>
    </row>
    <row r="4849" spans="2:3" x14ac:dyDescent="0.35">
      <c r="B4849" t="s">
        <v>163</v>
      </c>
      <c r="C4849" t="s">
        <v>164</v>
      </c>
    </row>
    <row r="4850" spans="2:3" x14ac:dyDescent="0.35">
      <c r="B4850" t="s">
        <v>208</v>
      </c>
      <c r="C4850" t="s">
        <v>209</v>
      </c>
    </row>
    <row r="4851" spans="2:3" x14ac:dyDescent="0.35">
      <c r="B4851" t="s">
        <v>254</v>
      </c>
      <c r="C4851" t="s">
        <v>255</v>
      </c>
    </row>
    <row r="4852" spans="2:3" x14ac:dyDescent="0.35">
      <c r="B4852" t="s">
        <v>1061</v>
      </c>
      <c r="C4852" t="s">
        <v>1062</v>
      </c>
    </row>
    <row r="4853" spans="2:3" x14ac:dyDescent="0.35">
      <c r="B4853" t="s">
        <v>527</v>
      </c>
      <c r="C4853" t="s">
        <v>528</v>
      </c>
    </row>
    <row r="4854" spans="2:3" x14ac:dyDescent="0.35">
      <c r="B4854" t="s">
        <v>465</v>
      </c>
      <c r="C4854" t="s">
        <v>466</v>
      </c>
    </row>
    <row r="4855" spans="2:3" x14ac:dyDescent="0.35">
      <c r="B4855" t="s">
        <v>692</v>
      </c>
      <c r="C4855" t="s">
        <v>693</v>
      </c>
    </row>
    <row r="4856" spans="2:3" x14ac:dyDescent="0.35">
      <c r="B4856" t="s">
        <v>457</v>
      </c>
      <c r="C4856" t="s">
        <v>458</v>
      </c>
    </row>
    <row r="4857" spans="2:3" x14ac:dyDescent="0.35">
      <c r="B4857" t="s">
        <v>527</v>
      </c>
      <c r="C4857" t="s">
        <v>528</v>
      </c>
    </row>
    <row r="4858" spans="2:3" x14ac:dyDescent="0.35">
      <c r="B4858" t="s">
        <v>593</v>
      </c>
      <c r="C4858" t="s">
        <v>594</v>
      </c>
    </row>
    <row r="4859" spans="2:3" x14ac:dyDescent="0.35">
      <c r="B4859" t="s">
        <v>232</v>
      </c>
      <c r="C4859" t="s">
        <v>233</v>
      </c>
    </row>
    <row r="4860" spans="2:3" x14ac:dyDescent="0.35">
      <c r="B4860" t="s">
        <v>1195</v>
      </c>
      <c r="C4860" t="s">
        <v>1195</v>
      </c>
    </row>
    <row r="4861" spans="2:3" x14ac:dyDescent="0.35">
      <c r="B4861" t="s">
        <v>295</v>
      </c>
      <c r="C4861" t="s">
        <v>296</v>
      </c>
    </row>
    <row r="4862" spans="2:3" x14ac:dyDescent="0.35">
      <c r="B4862" t="s">
        <v>378</v>
      </c>
      <c r="C4862" t="s">
        <v>379</v>
      </c>
    </row>
    <row r="4863" spans="2:3" x14ac:dyDescent="0.35">
      <c r="B4863" t="s">
        <v>662</v>
      </c>
      <c r="C4863" t="s">
        <v>663</v>
      </c>
    </row>
    <row r="4864" spans="2:3" x14ac:dyDescent="0.35">
      <c r="B4864" t="s">
        <v>872</v>
      </c>
      <c r="C4864" t="s">
        <v>873</v>
      </c>
    </row>
    <row r="4865" spans="2:3" x14ac:dyDescent="0.35">
      <c r="B4865" t="s">
        <v>475</v>
      </c>
      <c r="C4865" t="s">
        <v>476</v>
      </c>
    </row>
    <row r="4866" spans="2:3" x14ac:dyDescent="0.35">
      <c r="B4866" t="s">
        <v>787</v>
      </c>
      <c r="C4866" t="s">
        <v>788</v>
      </c>
    </row>
    <row r="4867" spans="2:3" x14ac:dyDescent="0.35">
      <c r="B4867" t="s">
        <v>632</v>
      </c>
      <c r="C4867" t="s">
        <v>633</v>
      </c>
    </row>
    <row r="4868" spans="2:3" x14ac:dyDescent="0.35">
      <c r="B4868" t="s">
        <v>252</v>
      </c>
      <c r="C4868" t="s">
        <v>253</v>
      </c>
    </row>
    <row r="4869" spans="2:3" x14ac:dyDescent="0.35">
      <c r="B4869" t="s">
        <v>230</v>
      </c>
      <c r="C4869" t="s">
        <v>231</v>
      </c>
    </row>
    <row r="4870" spans="2:3" x14ac:dyDescent="0.35">
      <c r="B4870" t="s">
        <v>601</v>
      </c>
      <c r="C4870" t="s">
        <v>602</v>
      </c>
    </row>
    <row r="4871" spans="2:3" x14ac:dyDescent="0.35">
      <c r="B4871" t="s">
        <v>559</v>
      </c>
      <c r="C4871" t="s">
        <v>560</v>
      </c>
    </row>
    <row r="4872" spans="2:3" x14ac:dyDescent="0.35">
      <c r="B4872" t="s">
        <v>469</v>
      </c>
      <c r="C4872" t="s">
        <v>470</v>
      </c>
    </row>
    <row r="4873" spans="2:3" x14ac:dyDescent="0.35">
      <c r="B4873" t="s">
        <v>640</v>
      </c>
      <c r="C4873" t="s">
        <v>641</v>
      </c>
    </row>
    <row r="4874" spans="2:3" x14ac:dyDescent="0.35">
      <c r="B4874" t="s">
        <v>692</v>
      </c>
      <c r="C4874" t="s">
        <v>693</v>
      </c>
    </row>
    <row r="4875" spans="2:3" x14ac:dyDescent="0.35">
      <c r="B4875" t="s">
        <v>299</v>
      </c>
      <c r="C4875" t="s">
        <v>300</v>
      </c>
    </row>
    <row r="4876" spans="2:3" x14ac:dyDescent="0.35">
      <c r="B4876" t="s">
        <v>703</v>
      </c>
      <c r="C4876" t="s">
        <v>704</v>
      </c>
    </row>
    <row r="4877" spans="2:3" x14ac:dyDescent="0.35">
      <c r="B4877" t="s">
        <v>293</v>
      </c>
      <c r="C4877" t="s">
        <v>294</v>
      </c>
    </row>
    <row r="4878" spans="2:3" x14ac:dyDescent="0.35">
      <c r="B4878" t="s">
        <v>787</v>
      </c>
      <c r="C4878" t="s">
        <v>788</v>
      </c>
    </row>
    <row r="4879" spans="2:3" x14ac:dyDescent="0.35">
      <c r="B4879" t="s">
        <v>662</v>
      </c>
      <c r="C4879" t="s">
        <v>663</v>
      </c>
    </row>
    <row r="4880" spans="2:3" x14ac:dyDescent="0.35">
      <c r="B4880" t="s">
        <v>200</v>
      </c>
      <c r="C4880" t="s">
        <v>201</v>
      </c>
    </row>
    <row r="4881" spans="2:3" x14ac:dyDescent="0.35">
      <c r="B4881" t="s">
        <v>344</v>
      </c>
      <c r="C4881" t="s">
        <v>345</v>
      </c>
    </row>
    <row r="4882" spans="2:3" x14ac:dyDescent="0.35">
      <c r="B4882" t="s">
        <v>90</v>
      </c>
      <c r="C4882" t="s">
        <v>91</v>
      </c>
    </row>
    <row r="4883" spans="2:3" x14ac:dyDescent="0.35">
      <c r="B4883" t="s">
        <v>692</v>
      </c>
      <c r="C4883" t="s">
        <v>693</v>
      </c>
    </row>
    <row r="4884" spans="2:3" x14ac:dyDescent="0.35">
      <c r="B4884" t="s">
        <v>575</v>
      </c>
      <c r="C4884" t="s">
        <v>576</v>
      </c>
    </row>
    <row r="4885" spans="2:3" x14ac:dyDescent="0.35">
      <c r="B4885" t="s">
        <v>384</v>
      </c>
      <c r="C4885" t="s">
        <v>385</v>
      </c>
    </row>
    <row r="4886" spans="2:3" x14ac:dyDescent="0.35">
      <c r="B4886" t="s">
        <v>656</v>
      </c>
      <c r="C4886" t="s">
        <v>657</v>
      </c>
    </row>
    <row r="4887" spans="2:3" x14ac:dyDescent="0.35">
      <c r="B4887" t="s">
        <v>648</v>
      </c>
      <c r="C4887" t="s">
        <v>649</v>
      </c>
    </row>
    <row r="4888" spans="2:3" x14ac:dyDescent="0.35">
      <c r="B4888" t="s">
        <v>787</v>
      </c>
      <c r="C4888" t="s">
        <v>788</v>
      </c>
    </row>
    <row r="4889" spans="2:3" x14ac:dyDescent="0.35">
      <c r="B4889" t="s">
        <v>787</v>
      </c>
      <c r="C4889" t="s">
        <v>788</v>
      </c>
    </row>
    <row r="4890" spans="2:3" x14ac:dyDescent="0.35">
      <c r="B4890" t="s">
        <v>694</v>
      </c>
      <c r="C4890" t="s">
        <v>695</v>
      </c>
    </row>
    <row r="4891" spans="2:3" x14ac:dyDescent="0.35">
      <c r="B4891" t="s">
        <v>700</v>
      </c>
      <c r="C4891" t="s">
        <v>701</v>
      </c>
    </row>
    <row r="4892" spans="2:3" x14ac:dyDescent="0.35">
      <c r="B4892" t="s">
        <v>208</v>
      </c>
      <c r="C4892" t="s">
        <v>209</v>
      </c>
    </row>
    <row r="4893" spans="2:3" x14ac:dyDescent="0.35">
      <c r="B4893" t="s">
        <v>694</v>
      </c>
      <c r="C4893" t="s">
        <v>695</v>
      </c>
    </row>
    <row r="4894" spans="2:3" x14ac:dyDescent="0.35">
      <c r="B4894" t="s">
        <v>537</v>
      </c>
      <c r="C4894" t="s">
        <v>538</v>
      </c>
    </row>
    <row r="4895" spans="2:3" x14ac:dyDescent="0.35">
      <c r="B4895" t="s">
        <v>523</v>
      </c>
      <c r="C4895" t="s">
        <v>524</v>
      </c>
    </row>
    <row r="4896" spans="2:3" x14ac:dyDescent="0.35">
      <c r="B4896" t="s">
        <v>178</v>
      </c>
      <c r="C4896" t="s">
        <v>179</v>
      </c>
    </row>
    <row r="4897" spans="2:3" x14ac:dyDescent="0.35">
      <c r="B4897" t="s">
        <v>507</v>
      </c>
      <c r="C4897" t="s">
        <v>508</v>
      </c>
    </row>
    <row r="4898" spans="2:3" x14ac:dyDescent="0.35">
      <c r="B4898" t="s">
        <v>537</v>
      </c>
      <c r="C4898" t="s">
        <v>538</v>
      </c>
    </row>
    <row r="4899" spans="2:3" x14ac:dyDescent="0.35">
      <c r="B4899" t="s">
        <v>260</v>
      </c>
      <c r="C4899" t="s">
        <v>261</v>
      </c>
    </row>
    <row r="4900" spans="2:3" x14ac:dyDescent="0.35">
      <c r="B4900" t="s">
        <v>694</v>
      </c>
      <c r="C4900" t="s">
        <v>695</v>
      </c>
    </row>
    <row r="4901" spans="2:3" x14ac:dyDescent="0.35">
      <c r="B4901" t="s">
        <v>700</v>
      </c>
      <c r="C4901" t="s">
        <v>701</v>
      </c>
    </row>
    <row r="4902" spans="2:3" x14ac:dyDescent="0.35">
      <c r="B4902" t="s">
        <v>787</v>
      </c>
      <c r="C4902" t="s">
        <v>788</v>
      </c>
    </row>
    <row r="4903" spans="2:3" x14ac:dyDescent="0.35">
      <c r="B4903" t="s">
        <v>557</v>
      </c>
      <c r="C4903" t="s">
        <v>558</v>
      </c>
    </row>
    <row r="4904" spans="2:3" x14ac:dyDescent="0.35">
      <c r="B4904" t="s">
        <v>787</v>
      </c>
      <c r="C4904" t="s">
        <v>788</v>
      </c>
    </row>
    <row r="4905" spans="2:3" x14ac:dyDescent="0.35">
      <c r="B4905" t="s">
        <v>642</v>
      </c>
      <c r="C4905" t="s">
        <v>643</v>
      </c>
    </row>
    <row r="4906" spans="2:3" x14ac:dyDescent="0.35">
      <c r="B4906" t="s">
        <v>58</v>
      </c>
      <c r="C4906" t="s">
        <v>59</v>
      </c>
    </row>
    <row r="4907" spans="2:3" x14ac:dyDescent="0.35">
      <c r="B4907" t="s">
        <v>350</v>
      </c>
      <c r="C4907" t="s">
        <v>351</v>
      </c>
    </row>
    <row r="4908" spans="2:3" x14ac:dyDescent="0.35">
      <c r="B4908" t="s">
        <v>90</v>
      </c>
      <c r="C4908" t="s">
        <v>91</v>
      </c>
    </row>
    <row r="4909" spans="2:3" x14ac:dyDescent="0.35">
      <c r="B4909" t="s">
        <v>358</v>
      </c>
      <c r="C4909" t="s">
        <v>359</v>
      </c>
    </row>
    <row r="4910" spans="2:3" x14ac:dyDescent="0.35">
      <c r="B4910" t="s">
        <v>465</v>
      </c>
      <c r="C4910" t="s">
        <v>466</v>
      </c>
    </row>
    <row r="4911" spans="2:3" x14ac:dyDescent="0.35">
      <c r="B4911" t="s">
        <v>279</v>
      </c>
      <c r="C4911" t="s">
        <v>280</v>
      </c>
    </row>
    <row r="4912" spans="2:3" x14ac:dyDescent="0.35">
      <c r="B4912" t="s">
        <v>56</v>
      </c>
      <c r="C4912" t="s">
        <v>57</v>
      </c>
    </row>
    <row r="4913" spans="2:3" x14ac:dyDescent="0.35">
      <c r="B4913" t="s">
        <v>82</v>
      </c>
      <c r="C4913" t="s">
        <v>83</v>
      </c>
    </row>
    <row r="4914" spans="2:3" x14ac:dyDescent="0.35">
      <c r="B4914" t="s">
        <v>507</v>
      </c>
      <c r="C4914" t="s">
        <v>508</v>
      </c>
    </row>
    <row r="4915" spans="2:3" x14ac:dyDescent="0.35">
      <c r="B4915" t="s">
        <v>692</v>
      </c>
      <c r="C4915" t="s">
        <v>693</v>
      </c>
    </row>
    <row r="4916" spans="2:3" x14ac:dyDescent="0.35">
      <c r="B4916" t="s">
        <v>787</v>
      </c>
      <c r="C4916" t="s">
        <v>788</v>
      </c>
    </row>
    <row r="4917" spans="2:3" x14ac:dyDescent="0.35">
      <c r="B4917" t="s">
        <v>495</v>
      </c>
      <c r="C4917" t="s">
        <v>496</v>
      </c>
    </row>
    <row r="4918" spans="2:3" x14ac:dyDescent="0.35">
      <c r="B4918" t="s">
        <v>122</v>
      </c>
      <c r="C4918" t="s">
        <v>123</v>
      </c>
    </row>
    <row r="4919" spans="2:3" x14ac:dyDescent="0.35">
      <c r="B4919" t="s">
        <v>131</v>
      </c>
      <c r="C4919" t="s">
        <v>132</v>
      </c>
    </row>
    <row r="4920" spans="2:3" x14ac:dyDescent="0.35">
      <c r="B4920" t="s">
        <v>507</v>
      </c>
      <c r="C4920" t="s">
        <v>508</v>
      </c>
    </row>
    <row r="4921" spans="2:3" x14ac:dyDescent="0.35">
      <c r="B4921" t="s">
        <v>703</v>
      </c>
      <c r="C4921" t="s">
        <v>704</v>
      </c>
    </row>
    <row r="4922" spans="2:3" x14ac:dyDescent="0.35">
      <c r="B4922" t="s">
        <v>787</v>
      </c>
      <c r="C4922" t="s">
        <v>788</v>
      </c>
    </row>
    <row r="4923" spans="2:3" x14ac:dyDescent="0.35">
      <c r="B4923" t="s">
        <v>787</v>
      </c>
      <c r="C4923" t="s">
        <v>788</v>
      </c>
    </row>
    <row r="4924" spans="2:3" x14ac:dyDescent="0.35">
      <c r="B4924" t="s">
        <v>465</v>
      </c>
      <c r="C4924" t="s">
        <v>466</v>
      </c>
    </row>
    <row r="4925" spans="2:3" x14ac:dyDescent="0.35">
      <c r="B4925" t="s">
        <v>692</v>
      </c>
      <c r="C4925" t="s">
        <v>693</v>
      </c>
    </row>
    <row r="4926" spans="2:3" x14ac:dyDescent="0.35">
      <c r="B4926" t="s">
        <v>583</v>
      </c>
      <c r="C4926" t="s">
        <v>584</v>
      </c>
    </row>
    <row r="4927" spans="2:3" x14ac:dyDescent="0.35">
      <c r="B4927" t="s">
        <v>163</v>
      </c>
      <c r="C4927" t="s">
        <v>164</v>
      </c>
    </row>
    <row r="4928" spans="2:3" x14ac:dyDescent="0.35">
      <c r="B4928" t="s">
        <v>587</v>
      </c>
      <c r="C4928" t="s">
        <v>588</v>
      </c>
    </row>
    <row r="4929" spans="2:3" x14ac:dyDescent="0.35">
      <c r="B4929" t="s">
        <v>1079</v>
      </c>
      <c r="C4929" t="s">
        <v>1080</v>
      </c>
    </row>
    <row r="4930" spans="2:3" x14ac:dyDescent="0.35">
      <c r="B4930" t="s">
        <v>208</v>
      </c>
      <c r="C4930" t="s">
        <v>209</v>
      </c>
    </row>
    <row r="4931" spans="2:3" x14ac:dyDescent="0.35">
      <c r="B4931" t="s">
        <v>640</v>
      </c>
      <c r="C4931" t="s">
        <v>641</v>
      </c>
    </row>
    <row r="4932" spans="2:3" x14ac:dyDescent="0.35">
      <c r="B4932" t="s">
        <v>575</v>
      </c>
      <c r="C4932" t="s">
        <v>576</v>
      </c>
    </row>
    <row r="4933" spans="2:3" x14ac:dyDescent="0.35">
      <c r="B4933" t="s">
        <v>208</v>
      </c>
      <c r="C4933" t="s">
        <v>209</v>
      </c>
    </row>
    <row r="4934" spans="2:3" x14ac:dyDescent="0.35">
      <c r="B4934" t="s">
        <v>58</v>
      </c>
      <c r="C4934" t="s">
        <v>59</v>
      </c>
    </row>
    <row r="4935" spans="2:3" x14ac:dyDescent="0.35">
      <c r="B4935" t="s">
        <v>787</v>
      </c>
      <c r="C4935" t="s">
        <v>788</v>
      </c>
    </row>
    <row r="4936" spans="2:3" x14ac:dyDescent="0.35">
      <c r="B4936" t="s">
        <v>537</v>
      </c>
      <c r="C4936" t="s">
        <v>538</v>
      </c>
    </row>
    <row r="4937" spans="2:3" x14ac:dyDescent="0.35">
      <c r="B4937" t="s">
        <v>787</v>
      </c>
      <c r="C4937" t="s">
        <v>788</v>
      </c>
    </row>
    <row r="4938" spans="2:3" x14ac:dyDescent="0.35">
      <c r="B4938" t="s">
        <v>103</v>
      </c>
      <c r="C4938" t="s">
        <v>104</v>
      </c>
    </row>
    <row r="4939" spans="2:3" x14ac:dyDescent="0.35">
      <c r="B4939" t="s">
        <v>787</v>
      </c>
      <c r="C4939" t="s">
        <v>788</v>
      </c>
    </row>
    <row r="4940" spans="2:3" x14ac:dyDescent="0.35">
      <c r="B4940" t="s">
        <v>378</v>
      </c>
      <c r="C4940" t="s">
        <v>379</v>
      </c>
    </row>
    <row r="4941" spans="2:3" x14ac:dyDescent="0.35">
      <c r="B4941" t="s">
        <v>293</v>
      </c>
      <c r="C4941" t="s">
        <v>294</v>
      </c>
    </row>
    <row r="4942" spans="2:3" x14ac:dyDescent="0.35">
      <c r="B4942" t="s">
        <v>703</v>
      </c>
      <c r="C4942" t="s">
        <v>704</v>
      </c>
    </row>
    <row r="4943" spans="2:3" x14ac:dyDescent="0.35">
      <c r="B4943" t="s">
        <v>804</v>
      </c>
      <c r="C4943" t="s">
        <v>805</v>
      </c>
    </row>
    <row r="4944" spans="2:3" x14ac:dyDescent="0.35">
      <c r="B4944" t="s">
        <v>451</v>
      </c>
      <c r="C4944" t="s">
        <v>452</v>
      </c>
    </row>
    <row r="4945" spans="2:3" x14ac:dyDescent="0.35">
      <c r="B4945" t="s">
        <v>316</v>
      </c>
      <c r="C4945" t="s">
        <v>317</v>
      </c>
    </row>
    <row r="4946" spans="2:3" x14ac:dyDescent="0.35">
      <c r="B4946" t="s">
        <v>787</v>
      </c>
      <c r="C4946" t="s">
        <v>788</v>
      </c>
    </row>
    <row r="4947" spans="2:3" x14ac:dyDescent="0.35">
      <c r="B4947" t="s">
        <v>640</v>
      </c>
      <c r="C4947" t="s">
        <v>641</v>
      </c>
    </row>
    <row r="4948" spans="2:3" x14ac:dyDescent="0.35">
      <c r="B4948" t="s">
        <v>64</v>
      </c>
      <c r="C4948" t="s">
        <v>65</v>
      </c>
    </row>
    <row r="4949" spans="2:3" x14ac:dyDescent="0.35">
      <c r="B4949" t="s">
        <v>208</v>
      </c>
      <c r="C4949" t="s">
        <v>209</v>
      </c>
    </row>
    <row r="4950" spans="2:3" x14ac:dyDescent="0.35">
      <c r="B4950" t="s">
        <v>443</v>
      </c>
      <c r="C4950" t="s">
        <v>444</v>
      </c>
    </row>
    <row r="4951" spans="2:3" x14ac:dyDescent="0.35">
      <c r="B4951" t="s">
        <v>963</v>
      </c>
      <c r="C4951" t="s">
        <v>964</v>
      </c>
    </row>
    <row r="4952" spans="2:3" x14ac:dyDescent="0.35">
      <c r="B4952" t="s">
        <v>595</v>
      </c>
      <c r="C4952" t="s">
        <v>596</v>
      </c>
    </row>
    <row r="4953" spans="2:3" x14ac:dyDescent="0.35">
      <c r="B4953" t="s">
        <v>465</v>
      </c>
      <c r="C4953" t="s">
        <v>466</v>
      </c>
    </row>
    <row r="4954" spans="2:3" x14ac:dyDescent="0.35">
      <c r="B4954" t="s">
        <v>595</v>
      </c>
      <c r="C4954" t="s">
        <v>596</v>
      </c>
    </row>
    <row r="4955" spans="2:3" x14ac:dyDescent="0.35">
      <c r="B4955" t="s">
        <v>254</v>
      </c>
      <c r="C4955" t="s">
        <v>255</v>
      </c>
    </row>
    <row r="4956" spans="2:3" x14ac:dyDescent="0.35">
      <c r="B4956" t="s">
        <v>107</v>
      </c>
      <c r="C4956" t="s">
        <v>108</v>
      </c>
    </row>
    <row r="4957" spans="2:3" x14ac:dyDescent="0.35">
      <c r="B4957" t="s">
        <v>82</v>
      </c>
      <c r="C4957" t="s">
        <v>83</v>
      </c>
    </row>
    <row r="4958" spans="2:3" x14ac:dyDescent="0.35">
      <c r="B4958" t="s">
        <v>614</v>
      </c>
      <c r="C4958" t="s">
        <v>615</v>
      </c>
    </row>
    <row r="4959" spans="2:3" x14ac:dyDescent="0.35">
      <c r="B4959" t="s">
        <v>82</v>
      </c>
      <c r="C4959" t="s">
        <v>83</v>
      </c>
    </row>
    <row r="4960" spans="2:3" x14ac:dyDescent="0.35">
      <c r="B4960" t="s">
        <v>787</v>
      </c>
      <c r="C4960" t="s">
        <v>788</v>
      </c>
    </row>
    <row r="4961" spans="2:3" x14ac:dyDescent="0.35">
      <c r="B4961" t="s">
        <v>787</v>
      </c>
      <c r="C4961" t="s">
        <v>788</v>
      </c>
    </row>
    <row r="4962" spans="2:3" x14ac:dyDescent="0.35">
      <c r="B4962" t="s">
        <v>463</v>
      </c>
      <c r="C4962" t="s">
        <v>464</v>
      </c>
    </row>
    <row r="4963" spans="2:3" x14ac:dyDescent="0.35">
      <c r="B4963" t="s">
        <v>107</v>
      </c>
      <c r="C4963" t="s">
        <v>108</v>
      </c>
    </row>
    <row r="4964" spans="2:3" x14ac:dyDescent="0.35">
      <c r="B4964" t="s">
        <v>658</v>
      </c>
      <c r="C4964" t="s">
        <v>659</v>
      </c>
    </row>
    <row r="4965" spans="2:3" x14ac:dyDescent="0.35">
      <c r="B4965" t="s">
        <v>260</v>
      </c>
      <c r="C4965" t="s">
        <v>261</v>
      </c>
    </row>
    <row r="4966" spans="2:3" x14ac:dyDescent="0.35">
      <c r="B4966" t="s">
        <v>225</v>
      </c>
      <c r="C4966" t="s">
        <v>226</v>
      </c>
    </row>
    <row r="4967" spans="2:3" x14ac:dyDescent="0.35">
      <c r="B4967" t="s">
        <v>703</v>
      </c>
      <c r="C4967" t="s">
        <v>704</v>
      </c>
    </row>
    <row r="4968" spans="2:3" x14ac:dyDescent="0.35">
      <c r="B4968" t="s">
        <v>120</v>
      </c>
      <c r="C4968" t="s">
        <v>121</v>
      </c>
    </row>
    <row r="4969" spans="2:3" x14ac:dyDescent="0.35">
      <c r="B4969" t="s">
        <v>318</v>
      </c>
      <c r="C4969" t="s">
        <v>319</v>
      </c>
    </row>
    <row r="4970" spans="2:3" x14ac:dyDescent="0.35">
      <c r="B4970" t="s">
        <v>640</v>
      </c>
      <c r="C4970" t="s">
        <v>641</v>
      </c>
    </row>
    <row r="4971" spans="2:3" x14ac:dyDescent="0.35">
      <c r="B4971" t="s">
        <v>787</v>
      </c>
      <c r="C4971" t="s">
        <v>788</v>
      </c>
    </row>
    <row r="4972" spans="2:3" x14ac:dyDescent="0.35">
      <c r="B4972" t="s">
        <v>559</v>
      </c>
      <c r="C4972" t="s">
        <v>560</v>
      </c>
    </row>
    <row r="4973" spans="2:3" x14ac:dyDescent="0.35">
      <c r="B4973" t="s">
        <v>787</v>
      </c>
      <c r="C4973" t="s">
        <v>788</v>
      </c>
    </row>
    <row r="4974" spans="2:3" x14ac:dyDescent="0.35">
      <c r="B4974" t="s">
        <v>501</v>
      </c>
      <c r="C4974" t="s">
        <v>502</v>
      </c>
    </row>
    <row r="4975" spans="2:3" x14ac:dyDescent="0.35">
      <c r="B4975" t="s">
        <v>527</v>
      </c>
      <c r="C4975" t="s">
        <v>528</v>
      </c>
    </row>
    <row r="4976" spans="2:3" x14ac:dyDescent="0.35">
      <c r="B4976" t="s">
        <v>258</v>
      </c>
      <c r="C4976" t="s">
        <v>259</v>
      </c>
    </row>
    <row r="4977" spans="2:3" x14ac:dyDescent="0.35">
      <c r="B4977" t="s">
        <v>537</v>
      </c>
      <c r="C4977" t="s">
        <v>538</v>
      </c>
    </row>
    <row r="4978" spans="2:3" x14ac:dyDescent="0.35">
      <c r="B4978" t="s">
        <v>787</v>
      </c>
      <c r="C4978" t="s">
        <v>788</v>
      </c>
    </row>
    <row r="4979" spans="2:3" x14ac:dyDescent="0.35">
      <c r="B4979" t="s">
        <v>700</v>
      </c>
      <c r="C4979" t="s">
        <v>701</v>
      </c>
    </row>
    <row r="4980" spans="2:3" x14ac:dyDescent="0.35">
      <c r="B4980" t="s">
        <v>487</v>
      </c>
      <c r="C4980" t="s">
        <v>488</v>
      </c>
    </row>
    <row r="4981" spans="2:3" x14ac:dyDescent="0.35">
      <c r="B4981" t="s">
        <v>515</v>
      </c>
      <c r="C4981" t="s">
        <v>516</v>
      </c>
    </row>
    <row r="4982" spans="2:3" x14ac:dyDescent="0.35">
      <c r="B4982" t="s">
        <v>225</v>
      </c>
      <c r="C4982" t="s">
        <v>226</v>
      </c>
    </row>
    <row r="4983" spans="2:3" x14ac:dyDescent="0.35">
      <c r="B4983" t="s">
        <v>84</v>
      </c>
      <c r="C4983" t="s">
        <v>85</v>
      </c>
    </row>
    <row r="4984" spans="2:3" x14ac:dyDescent="0.35">
      <c r="B4984" t="s">
        <v>1195</v>
      </c>
      <c r="C4984" t="s">
        <v>1195</v>
      </c>
    </row>
    <row r="4985" spans="2:3" x14ac:dyDescent="0.35">
      <c r="B4985" t="s">
        <v>640</v>
      </c>
      <c r="C4985" t="s">
        <v>641</v>
      </c>
    </row>
    <row r="4986" spans="2:3" x14ac:dyDescent="0.35">
      <c r="B4986" t="s">
        <v>700</v>
      </c>
      <c r="C4986" t="s">
        <v>701</v>
      </c>
    </row>
    <row r="4987" spans="2:3" x14ac:dyDescent="0.35">
      <c r="B4987" t="s">
        <v>575</v>
      </c>
      <c r="C4987" t="s">
        <v>576</v>
      </c>
    </row>
    <row r="4988" spans="2:3" x14ac:dyDescent="0.35">
      <c r="B4988" t="s">
        <v>254</v>
      </c>
      <c r="C4988" t="s">
        <v>255</v>
      </c>
    </row>
    <row r="4989" spans="2:3" x14ac:dyDescent="0.35">
      <c r="B4989" t="s">
        <v>64</v>
      </c>
      <c r="C4989" t="s">
        <v>65</v>
      </c>
    </row>
    <row r="4990" spans="2:3" x14ac:dyDescent="0.35">
      <c r="B4990" t="s">
        <v>200</v>
      </c>
      <c r="C4990" t="s">
        <v>201</v>
      </c>
    </row>
    <row r="4991" spans="2:3" x14ac:dyDescent="0.35">
      <c r="B4991" t="s">
        <v>230</v>
      </c>
      <c r="C4991" t="s">
        <v>231</v>
      </c>
    </row>
    <row r="4992" spans="2:3" x14ac:dyDescent="0.35">
      <c r="B4992" t="s">
        <v>449</v>
      </c>
      <c r="C4992" t="s">
        <v>450</v>
      </c>
    </row>
    <row r="4993" spans="2:3" x14ac:dyDescent="0.35">
      <c r="B4993" t="s">
        <v>557</v>
      </c>
      <c r="C4993" t="s">
        <v>558</v>
      </c>
    </row>
    <row r="4994" spans="2:3" x14ac:dyDescent="0.35">
      <c r="B4994" t="s">
        <v>963</v>
      </c>
      <c r="C4994" t="s">
        <v>964</v>
      </c>
    </row>
    <row r="4995" spans="2:3" x14ac:dyDescent="0.35">
      <c r="B4995" t="s">
        <v>658</v>
      </c>
      <c r="C4995" t="s">
        <v>659</v>
      </c>
    </row>
    <row r="4996" spans="2:3" x14ac:dyDescent="0.35">
      <c r="B4996" t="s">
        <v>64</v>
      </c>
      <c r="C4996" t="s">
        <v>65</v>
      </c>
    </row>
    <row r="4997" spans="2:3" x14ac:dyDescent="0.35">
      <c r="B4997" t="s">
        <v>416</v>
      </c>
      <c r="C4997" t="s">
        <v>417</v>
      </c>
    </row>
    <row r="4998" spans="2:3" x14ac:dyDescent="0.35">
      <c r="B4998" t="s">
        <v>575</v>
      </c>
      <c r="C4998" t="s">
        <v>576</v>
      </c>
    </row>
    <row r="4999" spans="2:3" x14ac:dyDescent="0.35">
      <c r="B4999" t="s">
        <v>527</v>
      </c>
      <c r="C4999" t="s">
        <v>528</v>
      </c>
    </row>
    <row r="5000" spans="2:3" x14ac:dyDescent="0.35">
      <c r="B5000" t="s">
        <v>656</v>
      </c>
      <c r="C5000" t="s">
        <v>657</v>
      </c>
    </row>
    <row r="5001" spans="2:3" x14ac:dyDescent="0.35">
      <c r="B5001" t="s">
        <v>430</v>
      </c>
      <c r="C5001" t="s">
        <v>431</v>
      </c>
    </row>
    <row r="5002" spans="2:3" x14ac:dyDescent="0.35">
      <c r="B5002" t="s">
        <v>527</v>
      </c>
      <c r="C5002" t="s">
        <v>528</v>
      </c>
    </row>
    <row r="5003" spans="2:3" x14ac:dyDescent="0.35">
      <c r="B5003" t="s">
        <v>642</v>
      </c>
      <c r="C5003" t="s">
        <v>643</v>
      </c>
    </row>
    <row r="5004" spans="2:3" x14ac:dyDescent="0.35">
      <c r="B5004" t="s">
        <v>252</v>
      </c>
      <c r="C5004" t="s">
        <v>253</v>
      </c>
    </row>
    <row r="5005" spans="2:3" x14ac:dyDescent="0.35">
      <c r="B5005" t="s">
        <v>618</v>
      </c>
      <c r="C5005" t="s">
        <v>619</v>
      </c>
    </row>
    <row r="5006" spans="2:3" x14ac:dyDescent="0.35">
      <c r="B5006" t="s">
        <v>128</v>
      </c>
      <c r="C5006" t="s">
        <v>129</v>
      </c>
    </row>
    <row r="5007" spans="2:3" x14ac:dyDescent="0.35">
      <c r="B5007" t="s">
        <v>703</v>
      </c>
      <c r="C5007" t="s">
        <v>704</v>
      </c>
    </row>
    <row r="5008" spans="2:3" x14ac:dyDescent="0.35">
      <c r="B5008" t="s">
        <v>202</v>
      </c>
      <c r="C5008" t="s">
        <v>203</v>
      </c>
    </row>
    <row r="5009" spans="2:3" x14ac:dyDescent="0.35">
      <c r="B5009" t="s">
        <v>479</v>
      </c>
      <c r="C5009" t="s">
        <v>480</v>
      </c>
    </row>
    <row r="5010" spans="2:3" x14ac:dyDescent="0.35">
      <c r="B5010" t="s">
        <v>559</v>
      </c>
      <c r="C5010" t="s">
        <v>560</v>
      </c>
    </row>
    <row r="5011" spans="2:3" x14ac:dyDescent="0.35">
      <c r="B5011" t="s">
        <v>703</v>
      </c>
      <c r="C5011" t="s">
        <v>704</v>
      </c>
    </row>
    <row r="5012" spans="2:3" x14ac:dyDescent="0.35">
      <c r="B5012" t="s">
        <v>443</v>
      </c>
      <c r="C5012" t="s">
        <v>444</v>
      </c>
    </row>
    <row r="5013" spans="2:3" x14ac:dyDescent="0.35">
      <c r="B5013" t="s">
        <v>252</v>
      </c>
      <c r="C5013" t="s">
        <v>253</v>
      </c>
    </row>
    <row r="5014" spans="2:3" x14ac:dyDescent="0.35">
      <c r="B5014" t="s">
        <v>376</v>
      </c>
      <c r="C5014" t="s">
        <v>377</v>
      </c>
    </row>
    <row r="5015" spans="2:3" x14ac:dyDescent="0.35">
      <c r="B5015" t="s">
        <v>465</v>
      </c>
      <c r="C5015" t="s">
        <v>466</v>
      </c>
    </row>
    <row r="5016" spans="2:3" x14ac:dyDescent="0.35">
      <c r="B5016" t="s">
        <v>642</v>
      </c>
      <c r="C5016" t="s">
        <v>643</v>
      </c>
    </row>
    <row r="5017" spans="2:3" x14ac:dyDescent="0.35">
      <c r="B5017" t="s">
        <v>252</v>
      </c>
      <c r="C5017" t="s">
        <v>253</v>
      </c>
    </row>
    <row r="5018" spans="2:3" x14ac:dyDescent="0.35">
      <c r="B5018" t="s">
        <v>662</v>
      </c>
      <c r="C5018" t="s">
        <v>663</v>
      </c>
    </row>
    <row r="5019" spans="2:3" x14ac:dyDescent="0.35">
      <c r="B5019" t="s">
        <v>700</v>
      </c>
      <c r="C5019" t="s">
        <v>701</v>
      </c>
    </row>
    <row r="5020" spans="2:3" x14ac:dyDescent="0.35">
      <c r="B5020" t="s">
        <v>90</v>
      </c>
      <c r="C5020" t="s">
        <v>91</v>
      </c>
    </row>
    <row r="5021" spans="2:3" x14ac:dyDescent="0.35">
      <c r="B5021" t="s">
        <v>616</v>
      </c>
      <c r="C5021" t="s">
        <v>617</v>
      </c>
    </row>
    <row r="5022" spans="2:3" x14ac:dyDescent="0.35">
      <c r="B5022" t="s">
        <v>868</v>
      </c>
      <c r="C5022" t="s">
        <v>869</v>
      </c>
    </row>
    <row r="5023" spans="2:3" x14ac:dyDescent="0.35">
      <c r="B5023" t="s">
        <v>378</v>
      </c>
      <c r="C5023" t="s">
        <v>379</v>
      </c>
    </row>
    <row r="5024" spans="2:3" x14ac:dyDescent="0.35">
      <c r="B5024" t="s">
        <v>614</v>
      </c>
      <c r="C5024" t="s">
        <v>615</v>
      </c>
    </row>
    <row r="5025" spans="2:3" x14ac:dyDescent="0.35">
      <c r="B5025" t="s">
        <v>787</v>
      </c>
      <c r="C5025" t="s">
        <v>788</v>
      </c>
    </row>
    <row r="5026" spans="2:3" x14ac:dyDescent="0.35">
      <c r="B5026" t="s">
        <v>950</v>
      </c>
      <c r="C5026" t="s">
        <v>951</v>
      </c>
    </row>
    <row r="5027" spans="2:3" x14ac:dyDescent="0.35">
      <c r="B5027" t="s">
        <v>58</v>
      </c>
      <c r="C5027" t="s">
        <v>59</v>
      </c>
    </row>
    <row r="5028" spans="2:3" x14ac:dyDescent="0.35">
      <c r="B5028" t="s">
        <v>700</v>
      </c>
      <c r="C5028" t="s">
        <v>701</v>
      </c>
    </row>
    <row r="5029" spans="2:3" x14ac:dyDescent="0.35">
      <c r="B5029" t="s">
        <v>557</v>
      </c>
      <c r="C5029" t="s">
        <v>558</v>
      </c>
    </row>
    <row r="5030" spans="2:3" x14ac:dyDescent="0.35">
      <c r="B5030" t="s">
        <v>638</v>
      </c>
      <c r="C5030" t="s">
        <v>639</v>
      </c>
    </row>
    <row r="5031" spans="2:3" x14ac:dyDescent="0.35">
      <c r="B5031" t="s">
        <v>1061</v>
      </c>
      <c r="C5031" t="s">
        <v>1062</v>
      </c>
    </row>
    <row r="5032" spans="2:3" x14ac:dyDescent="0.35">
      <c r="B5032" t="s">
        <v>258</v>
      </c>
      <c r="C5032" t="s">
        <v>259</v>
      </c>
    </row>
    <row r="5033" spans="2:3" x14ac:dyDescent="0.35">
      <c r="B5033" t="s">
        <v>275</v>
      </c>
      <c r="C5033" t="s">
        <v>276</v>
      </c>
    </row>
    <row r="5034" spans="2:3" x14ac:dyDescent="0.35">
      <c r="B5034" t="s">
        <v>640</v>
      </c>
      <c r="C5034" t="s">
        <v>641</v>
      </c>
    </row>
    <row r="5035" spans="2:3" x14ac:dyDescent="0.35">
      <c r="B5035" t="s">
        <v>593</v>
      </c>
      <c r="C5035" t="s">
        <v>594</v>
      </c>
    </row>
    <row r="5036" spans="2:3" x14ac:dyDescent="0.35">
      <c r="B5036" t="s">
        <v>616</v>
      </c>
      <c r="C5036" t="s">
        <v>617</v>
      </c>
    </row>
    <row r="5037" spans="2:3" x14ac:dyDescent="0.35">
      <c r="B5037" t="s">
        <v>527</v>
      </c>
      <c r="C5037" t="s">
        <v>528</v>
      </c>
    </row>
    <row r="5038" spans="2:3" x14ac:dyDescent="0.35">
      <c r="B5038" t="s">
        <v>577</v>
      </c>
      <c r="C5038" t="s">
        <v>578</v>
      </c>
    </row>
    <row r="5039" spans="2:3" x14ac:dyDescent="0.35">
      <c r="B5039" t="s">
        <v>658</v>
      </c>
      <c r="C5039" t="s">
        <v>659</v>
      </c>
    </row>
    <row r="5040" spans="2:3" x14ac:dyDescent="0.35">
      <c r="B5040" t="s">
        <v>787</v>
      </c>
      <c r="C5040" t="s">
        <v>788</v>
      </c>
    </row>
    <row r="5041" spans="2:3" x14ac:dyDescent="0.35">
      <c r="B5041" t="s">
        <v>511</v>
      </c>
      <c r="C5041" t="s">
        <v>512</v>
      </c>
    </row>
    <row r="5042" spans="2:3" x14ac:dyDescent="0.35">
      <c r="B5042" t="s">
        <v>260</v>
      </c>
      <c r="C5042" t="s">
        <v>261</v>
      </c>
    </row>
    <row r="5043" spans="2:3" x14ac:dyDescent="0.35">
      <c r="B5043" t="s">
        <v>58</v>
      </c>
      <c r="C5043" t="s">
        <v>59</v>
      </c>
    </row>
    <row r="5044" spans="2:3" x14ac:dyDescent="0.35">
      <c r="B5044" t="s">
        <v>254</v>
      </c>
      <c r="C5044" t="s">
        <v>255</v>
      </c>
    </row>
    <row r="5045" spans="2:3" x14ac:dyDescent="0.35">
      <c r="B5045" t="s">
        <v>346</v>
      </c>
      <c r="C5045" t="s">
        <v>347</v>
      </c>
    </row>
    <row r="5046" spans="2:3" x14ac:dyDescent="0.35">
      <c r="B5046" t="s">
        <v>575</v>
      </c>
      <c r="C5046" t="s">
        <v>576</v>
      </c>
    </row>
    <row r="5047" spans="2:3" x14ac:dyDescent="0.35">
      <c r="B5047" t="s">
        <v>416</v>
      </c>
      <c r="C5047" t="s">
        <v>417</v>
      </c>
    </row>
    <row r="5048" spans="2:3" x14ac:dyDescent="0.35">
      <c r="B5048" t="s">
        <v>787</v>
      </c>
      <c r="C5048" t="s">
        <v>788</v>
      </c>
    </row>
    <row r="5049" spans="2:3" x14ac:dyDescent="0.35">
      <c r="B5049" t="s">
        <v>622</v>
      </c>
      <c r="C5049" t="s">
        <v>623</v>
      </c>
    </row>
    <row r="5050" spans="2:3" x14ac:dyDescent="0.35">
      <c r="B5050" t="s">
        <v>64</v>
      </c>
      <c r="C5050" t="s">
        <v>65</v>
      </c>
    </row>
    <row r="5051" spans="2:3" x14ac:dyDescent="0.35">
      <c r="B5051" t="s">
        <v>219</v>
      </c>
      <c r="C5051" t="s">
        <v>220</v>
      </c>
    </row>
    <row r="5052" spans="2:3" x14ac:dyDescent="0.35">
      <c r="B5052" t="s">
        <v>434</v>
      </c>
      <c r="C5052" t="s">
        <v>435</v>
      </c>
    </row>
    <row r="5053" spans="2:3" x14ac:dyDescent="0.35">
      <c r="B5053" t="s">
        <v>254</v>
      </c>
      <c r="C5053" t="s">
        <v>255</v>
      </c>
    </row>
    <row r="5054" spans="2:3" x14ac:dyDescent="0.35">
      <c r="B5054" t="s">
        <v>163</v>
      </c>
      <c r="C5054" t="s">
        <v>164</v>
      </c>
    </row>
    <row r="5055" spans="2:3" x14ac:dyDescent="0.35">
      <c r="B5055" t="s">
        <v>358</v>
      </c>
      <c r="C5055" t="s">
        <v>359</v>
      </c>
    </row>
    <row r="5056" spans="2:3" x14ac:dyDescent="0.35">
      <c r="B5056" t="s">
        <v>601</v>
      </c>
      <c r="C5056" t="s">
        <v>602</v>
      </c>
    </row>
    <row r="5057" spans="2:3" x14ac:dyDescent="0.35">
      <c r="B5057" t="s">
        <v>350</v>
      </c>
      <c r="C5057" t="s">
        <v>351</v>
      </c>
    </row>
    <row r="5058" spans="2:3" x14ac:dyDescent="0.35">
      <c r="B5058" t="s">
        <v>640</v>
      </c>
      <c r="C5058" t="s">
        <v>641</v>
      </c>
    </row>
    <row r="5059" spans="2:3" x14ac:dyDescent="0.35">
      <c r="B5059" t="s">
        <v>787</v>
      </c>
      <c r="C5059" t="s">
        <v>788</v>
      </c>
    </row>
    <row r="5060" spans="2:3" x14ac:dyDescent="0.35">
      <c r="B5060" t="s">
        <v>575</v>
      </c>
      <c r="C5060" t="s">
        <v>576</v>
      </c>
    </row>
    <row r="5061" spans="2:3" x14ac:dyDescent="0.35">
      <c r="B5061" t="s">
        <v>575</v>
      </c>
      <c r="C5061" t="s">
        <v>576</v>
      </c>
    </row>
    <row r="5062" spans="2:3" x14ac:dyDescent="0.35">
      <c r="B5062" t="s">
        <v>787</v>
      </c>
      <c r="C5062" t="s">
        <v>788</v>
      </c>
    </row>
    <row r="5063" spans="2:3" x14ac:dyDescent="0.35">
      <c r="B5063" t="s">
        <v>787</v>
      </c>
      <c r="C5063" t="s">
        <v>788</v>
      </c>
    </row>
    <row r="5064" spans="2:3" x14ac:dyDescent="0.35">
      <c r="B5064" t="s">
        <v>577</v>
      </c>
      <c r="C5064" t="s">
        <v>578</v>
      </c>
    </row>
    <row r="5065" spans="2:3" x14ac:dyDescent="0.35">
      <c r="B5065" t="s">
        <v>56</v>
      </c>
      <c r="C5065" t="s">
        <v>57</v>
      </c>
    </row>
    <row r="5066" spans="2:3" x14ac:dyDescent="0.35">
      <c r="B5066" t="s">
        <v>208</v>
      </c>
      <c r="C5066" t="s">
        <v>209</v>
      </c>
    </row>
    <row r="5067" spans="2:3" x14ac:dyDescent="0.35">
      <c r="B5067" t="s">
        <v>378</v>
      </c>
      <c r="C5067" t="s">
        <v>379</v>
      </c>
    </row>
    <row r="5068" spans="2:3" x14ac:dyDescent="0.35">
      <c r="B5068" t="s">
        <v>128</v>
      </c>
      <c r="C5068" t="s">
        <v>129</v>
      </c>
    </row>
    <row r="5069" spans="2:3" x14ac:dyDescent="0.35">
      <c r="B5069" t="s">
        <v>961</v>
      </c>
      <c r="C5069" t="s">
        <v>962</v>
      </c>
    </row>
    <row r="5070" spans="2:3" x14ac:dyDescent="0.35">
      <c r="B5070" t="s">
        <v>577</v>
      </c>
      <c r="C5070" t="s">
        <v>578</v>
      </c>
    </row>
    <row r="5071" spans="2:3" x14ac:dyDescent="0.35">
      <c r="B5071" t="s">
        <v>523</v>
      </c>
      <c r="C5071" t="s">
        <v>524</v>
      </c>
    </row>
    <row r="5072" spans="2:3" x14ac:dyDescent="0.35">
      <c r="B5072" t="s">
        <v>404</v>
      </c>
      <c r="C5072" t="s">
        <v>405</v>
      </c>
    </row>
    <row r="5073" spans="2:3" x14ac:dyDescent="0.35">
      <c r="B5073" t="s">
        <v>376</v>
      </c>
      <c r="C5073" t="s">
        <v>377</v>
      </c>
    </row>
    <row r="5074" spans="2:3" x14ac:dyDescent="0.35">
      <c r="B5074" t="s">
        <v>549</v>
      </c>
      <c r="C5074" t="s">
        <v>550</v>
      </c>
    </row>
    <row r="5075" spans="2:3" x14ac:dyDescent="0.35">
      <c r="B5075" t="s">
        <v>283</v>
      </c>
      <c r="C5075" t="s">
        <v>284</v>
      </c>
    </row>
    <row r="5076" spans="2:3" x14ac:dyDescent="0.35">
      <c r="B5076" t="s">
        <v>787</v>
      </c>
      <c r="C5076" t="s">
        <v>788</v>
      </c>
    </row>
    <row r="5077" spans="2:3" x14ac:dyDescent="0.35">
      <c r="B5077" t="s">
        <v>787</v>
      </c>
      <c r="C5077" t="s">
        <v>788</v>
      </c>
    </row>
    <row r="5078" spans="2:3" x14ac:dyDescent="0.35">
      <c r="B5078" t="s">
        <v>575</v>
      </c>
      <c r="C5078" t="s">
        <v>576</v>
      </c>
    </row>
    <row r="5079" spans="2:3" x14ac:dyDescent="0.35">
      <c r="B5079" t="s">
        <v>378</v>
      </c>
      <c r="C5079" t="s">
        <v>379</v>
      </c>
    </row>
    <row r="5080" spans="2:3" x14ac:dyDescent="0.35">
      <c r="B5080" t="s">
        <v>1195</v>
      </c>
      <c r="C5080" t="s">
        <v>1195</v>
      </c>
    </row>
    <row r="5081" spans="2:3" x14ac:dyDescent="0.35">
      <c r="B5081" t="s">
        <v>870</v>
      </c>
      <c r="C5081" t="s">
        <v>871</v>
      </c>
    </row>
    <row r="5082" spans="2:3" x14ac:dyDescent="0.35">
      <c r="B5082" t="s">
        <v>202</v>
      </c>
      <c r="C5082" t="s">
        <v>203</v>
      </c>
    </row>
    <row r="5083" spans="2:3" x14ac:dyDescent="0.35">
      <c r="B5083" t="s">
        <v>787</v>
      </c>
      <c r="C5083" t="s">
        <v>788</v>
      </c>
    </row>
    <row r="5084" spans="2:3" x14ac:dyDescent="0.35">
      <c r="B5084" t="s">
        <v>868</v>
      </c>
      <c r="C5084" t="s">
        <v>869</v>
      </c>
    </row>
    <row r="5085" spans="2:3" x14ac:dyDescent="0.35">
      <c r="B5085" t="s">
        <v>870</v>
      </c>
      <c r="C5085" t="s">
        <v>871</v>
      </c>
    </row>
    <row r="5086" spans="2:3" x14ac:dyDescent="0.35">
      <c r="B5086" t="s">
        <v>485</v>
      </c>
      <c r="C5086" t="s">
        <v>486</v>
      </c>
    </row>
    <row r="5087" spans="2:3" x14ac:dyDescent="0.35">
      <c r="B5087" t="s">
        <v>230</v>
      </c>
      <c r="C5087" t="s">
        <v>231</v>
      </c>
    </row>
    <row r="5088" spans="2:3" x14ac:dyDescent="0.35">
      <c r="B5088" t="s">
        <v>787</v>
      </c>
      <c r="C5088" t="s">
        <v>788</v>
      </c>
    </row>
    <row r="5089" spans="2:3" x14ac:dyDescent="0.35">
      <c r="B5089" t="s">
        <v>252</v>
      </c>
      <c r="C5089" t="s">
        <v>253</v>
      </c>
    </row>
    <row r="5090" spans="2:3" x14ac:dyDescent="0.35">
      <c r="B5090" t="s">
        <v>1195</v>
      </c>
      <c r="C5090" t="s">
        <v>1195</v>
      </c>
    </row>
    <row r="5091" spans="2:3" x14ac:dyDescent="0.35">
      <c r="B5091" t="s">
        <v>575</v>
      </c>
      <c r="C5091" t="s">
        <v>576</v>
      </c>
    </row>
    <row r="5092" spans="2:3" x14ac:dyDescent="0.35">
      <c r="B5092" t="s">
        <v>1195</v>
      </c>
      <c r="C5092" t="s">
        <v>1195</v>
      </c>
    </row>
    <row r="5093" spans="2:3" x14ac:dyDescent="0.35">
      <c r="B5093" t="s">
        <v>694</v>
      </c>
      <c r="C5093" t="s">
        <v>695</v>
      </c>
    </row>
    <row r="5094" spans="2:3" x14ac:dyDescent="0.35">
      <c r="B5094" t="s">
        <v>210</v>
      </c>
      <c r="C5094" t="s">
        <v>211</v>
      </c>
    </row>
    <row r="5095" spans="2:3" x14ac:dyDescent="0.35">
      <c r="B5095" t="s">
        <v>260</v>
      </c>
      <c r="C5095" t="s">
        <v>261</v>
      </c>
    </row>
    <row r="5096" spans="2:3" x14ac:dyDescent="0.35">
      <c r="B5096" t="s">
        <v>656</v>
      </c>
      <c r="C5096" t="s">
        <v>657</v>
      </c>
    </row>
    <row r="5097" spans="2:3" x14ac:dyDescent="0.35">
      <c r="B5097" t="s">
        <v>529</v>
      </c>
      <c r="C5097" t="s">
        <v>530</v>
      </c>
    </row>
    <row r="5098" spans="2:3" x14ac:dyDescent="0.35">
      <c r="B5098" t="s">
        <v>787</v>
      </c>
      <c r="C5098" t="s">
        <v>788</v>
      </c>
    </row>
    <row r="5099" spans="2:3" x14ac:dyDescent="0.35">
      <c r="B5099" t="s">
        <v>254</v>
      </c>
      <c r="C5099" t="s">
        <v>255</v>
      </c>
    </row>
    <row r="5100" spans="2:3" x14ac:dyDescent="0.35">
      <c r="B5100" t="s">
        <v>618</v>
      </c>
      <c r="C5100" t="s">
        <v>619</v>
      </c>
    </row>
    <row r="5101" spans="2:3" x14ac:dyDescent="0.35">
      <c r="B5101" t="s">
        <v>318</v>
      </c>
      <c r="C5101" t="s">
        <v>319</v>
      </c>
    </row>
    <row r="5102" spans="2:3" x14ac:dyDescent="0.35">
      <c r="B5102" t="s">
        <v>517</v>
      </c>
      <c r="C5102" t="s">
        <v>518</v>
      </c>
    </row>
    <row r="5103" spans="2:3" x14ac:dyDescent="0.35">
      <c r="B5103" t="s">
        <v>703</v>
      </c>
      <c r="C5103" t="s">
        <v>704</v>
      </c>
    </row>
    <row r="5104" spans="2:3" x14ac:dyDescent="0.35">
      <c r="B5104" t="s">
        <v>658</v>
      </c>
      <c r="C5104" t="s">
        <v>659</v>
      </c>
    </row>
    <row r="5105" spans="2:3" x14ac:dyDescent="0.35">
      <c r="B5105" t="s">
        <v>575</v>
      </c>
      <c r="C5105" t="s">
        <v>576</v>
      </c>
    </row>
    <row r="5106" spans="2:3" x14ac:dyDescent="0.35">
      <c r="B5106" t="s">
        <v>297</v>
      </c>
      <c r="C5106" t="s">
        <v>298</v>
      </c>
    </row>
    <row r="5107" spans="2:3" x14ac:dyDescent="0.35">
      <c r="B5107" t="s">
        <v>499</v>
      </c>
      <c r="C5107" t="s">
        <v>500</v>
      </c>
    </row>
    <row r="5108" spans="2:3" x14ac:dyDescent="0.35">
      <c r="B5108" t="s">
        <v>90</v>
      </c>
      <c r="C5108" t="s">
        <v>91</v>
      </c>
    </row>
    <row r="5109" spans="2:3" x14ac:dyDescent="0.35">
      <c r="B5109" t="s">
        <v>656</v>
      </c>
      <c r="C5109" t="s">
        <v>657</v>
      </c>
    </row>
    <row r="5110" spans="2:3" x14ac:dyDescent="0.35">
      <c r="B5110" t="s">
        <v>692</v>
      </c>
      <c r="C5110" t="s">
        <v>693</v>
      </c>
    </row>
    <row r="5111" spans="2:3" x14ac:dyDescent="0.35">
      <c r="B5111" t="s">
        <v>64</v>
      </c>
      <c r="C5111" t="s">
        <v>65</v>
      </c>
    </row>
    <row r="5112" spans="2:3" x14ac:dyDescent="0.35">
      <c r="B5112" t="s">
        <v>787</v>
      </c>
      <c r="C5112" t="s">
        <v>788</v>
      </c>
    </row>
    <row r="5113" spans="2:3" x14ac:dyDescent="0.35">
      <c r="B5113" t="s">
        <v>787</v>
      </c>
      <c r="C5113" t="s">
        <v>788</v>
      </c>
    </row>
    <row r="5114" spans="2:3" x14ac:dyDescent="0.35">
      <c r="B5114" t="s">
        <v>787</v>
      </c>
      <c r="C5114" t="s">
        <v>788</v>
      </c>
    </row>
    <row r="5115" spans="2:3" x14ac:dyDescent="0.35">
      <c r="B5115" t="s">
        <v>787</v>
      </c>
      <c r="C5115" t="s">
        <v>788</v>
      </c>
    </row>
    <row r="5116" spans="2:3" x14ac:dyDescent="0.35">
      <c r="B5116" t="s">
        <v>787</v>
      </c>
      <c r="C5116" t="s">
        <v>788</v>
      </c>
    </row>
    <row r="5117" spans="2:3" x14ac:dyDescent="0.35">
      <c r="B5117" t="s">
        <v>128</v>
      </c>
      <c r="C5117" t="s">
        <v>129</v>
      </c>
    </row>
    <row r="5118" spans="2:3" x14ac:dyDescent="0.35">
      <c r="B5118" t="s">
        <v>601</v>
      </c>
      <c r="C5118" t="s">
        <v>602</v>
      </c>
    </row>
    <row r="5119" spans="2:3" x14ac:dyDescent="0.35">
      <c r="B5119" t="s">
        <v>499</v>
      </c>
      <c r="C5119" t="s">
        <v>500</v>
      </c>
    </row>
    <row r="5120" spans="2:3" x14ac:dyDescent="0.35">
      <c r="B5120" t="s">
        <v>656</v>
      </c>
      <c r="C5120" t="s">
        <v>657</v>
      </c>
    </row>
    <row r="5121" spans="2:3" x14ac:dyDescent="0.35">
      <c r="B5121" t="s">
        <v>575</v>
      </c>
      <c r="C5121" t="s">
        <v>576</v>
      </c>
    </row>
    <row r="5122" spans="2:3" x14ac:dyDescent="0.35">
      <c r="B5122" t="s">
        <v>200</v>
      </c>
      <c r="C5122" t="s">
        <v>201</v>
      </c>
    </row>
    <row r="5123" spans="2:3" x14ac:dyDescent="0.35">
      <c r="B5123" t="s">
        <v>64</v>
      </c>
      <c r="C5123" t="s">
        <v>65</v>
      </c>
    </row>
    <row r="5124" spans="2:3" x14ac:dyDescent="0.35">
      <c r="B5124" t="s">
        <v>654</v>
      </c>
      <c r="C5124" t="s">
        <v>655</v>
      </c>
    </row>
    <row r="5125" spans="2:3" x14ac:dyDescent="0.35">
      <c r="B5125" t="s">
        <v>573</v>
      </c>
      <c r="C5125" t="s">
        <v>574</v>
      </c>
    </row>
    <row r="5126" spans="2:3" x14ac:dyDescent="0.35">
      <c r="B5126" t="s">
        <v>346</v>
      </c>
      <c r="C5126" t="s">
        <v>347</v>
      </c>
    </row>
    <row r="5127" spans="2:3" x14ac:dyDescent="0.35">
      <c r="B5127" t="s">
        <v>787</v>
      </c>
      <c r="C5127" t="s">
        <v>788</v>
      </c>
    </row>
    <row r="5128" spans="2:3" x14ac:dyDescent="0.35">
      <c r="B5128" t="s">
        <v>787</v>
      </c>
      <c r="C5128" t="s">
        <v>788</v>
      </c>
    </row>
    <row r="5129" spans="2:3" x14ac:dyDescent="0.35">
      <c r="B5129" t="s">
        <v>401</v>
      </c>
      <c r="C5129" t="s">
        <v>402</v>
      </c>
    </row>
    <row r="5130" spans="2:3" x14ac:dyDescent="0.35">
      <c r="B5130" t="s">
        <v>174</v>
      </c>
      <c r="C5130" t="s">
        <v>175</v>
      </c>
    </row>
    <row r="5131" spans="2:3" x14ac:dyDescent="0.35">
      <c r="B5131" t="s">
        <v>202</v>
      </c>
      <c r="C5131" t="s">
        <v>203</v>
      </c>
    </row>
    <row r="5132" spans="2:3" x14ac:dyDescent="0.35">
      <c r="B5132" t="s">
        <v>463</v>
      </c>
      <c r="C5132" t="s">
        <v>464</v>
      </c>
    </row>
    <row r="5133" spans="2:3" x14ac:dyDescent="0.35">
      <c r="B5133" t="s">
        <v>465</v>
      </c>
      <c r="C5133" t="s">
        <v>466</v>
      </c>
    </row>
    <row r="5134" spans="2:3" x14ac:dyDescent="0.35">
      <c r="B5134" t="s">
        <v>523</v>
      </c>
      <c r="C5134" t="s">
        <v>524</v>
      </c>
    </row>
    <row r="5135" spans="2:3" x14ac:dyDescent="0.35">
      <c r="B5135" t="s">
        <v>283</v>
      </c>
      <c r="C5135" t="s">
        <v>284</v>
      </c>
    </row>
    <row r="5136" spans="2:3" x14ac:dyDescent="0.35">
      <c r="B5136" t="s">
        <v>787</v>
      </c>
      <c r="C5136" t="s">
        <v>788</v>
      </c>
    </row>
    <row r="5137" spans="2:3" x14ac:dyDescent="0.35">
      <c r="B5137" t="s">
        <v>90</v>
      </c>
      <c r="C5137" t="s">
        <v>91</v>
      </c>
    </row>
    <row r="5138" spans="2:3" x14ac:dyDescent="0.35">
      <c r="B5138" t="s">
        <v>787</v>
      </c>
      <c r="C5138" t="s">
        <v>788</v>
      </c>
    </row>
    <row r="5139" spans="2:3" x14ac:dyDescent="0.35">
      <c r="B5139" t="s">
        <v>200</v>
      </c>
      <c r="C5139" t="s">
        <v>201</v>
      </c>
    </row>
    <row r="5140" spans="2:3" x14ac:dyDescent="0.35">
      <c r="B5140" t="s">
        <v>105</v>
      </c>
      <c r="C5140" t="s">
        <v>106</v>
      </c>
    </row>
    <row r="5141" spans="2:3" x14ac:dyDescent="0.35">
      <c r="B5141" t="s">
        <v>622</v>
      </c>
      <c r="C5141" t="s">
        <v>623</v>
      </c>
    </row>
    <row r="5142" spans="2:3" x14ac:dyDescent="0.35">
      <c r="B5142" t="s">
        <v>694</v>
      </c>
      <c r="C5142" t="s">
        <v>695</v>
      </c>
    </row>
    <row r="5143" spans="2:3" x14ac:dyDescent="0.35">
      <c r="B5143" t="s">
        <v>202</v>
      </c>
      <c r="C5143" t="s">
        <v>203</v>
      </c>
    </row>
    <row r="5144" spans="2:3" x14ac:dyDescent="0.35">
      <c r="B5144" t="s">
        <v>961</v>
      </c>
      <c r="C5144" t="s">
        <v>962</v>
      </c>
    </row>
    <row r="5145" spans="2:3" x14ac:dyDescent="0.35">
      <c r="B5145" t="s">
        <v>295</v>
      </c>
      <c r="C5145" t="s">
        <v>296</v>
      </c>
    </row>
    <row r="5146" spans="2:3" x14ac:dyDescent="0.35">
      <c r="B5146" t="s">
        <v>208</v>
      </c>
      <c r="C5146" t="s">
        <v>209</v>
      </c>
    </row>
    <row r="5147" spans="2:3" x14ac:dyDescent="0.35">
      <c r="B5147" t="s">
        <v>961</v>
      </c>
      <c r="C5147" t="s">
        <v>962</v>
      </c>
    </row>
    <row r="5148" spans="2:3" x14ac:dyDescent="0.35">
      <c r="B5148" t="s">
        <v>174</v>
      </c>
      <c r="C5148" t="s">
        <v>175</v>
      </c>
    </row>
    <row r="5149" spans="2:3" x14ac:dyDescent="0.35">
      <c r="B5149" t="s">
        <v>787</v>
      </c>
      <c r="C5149" t="s">
        <v>788</v>
      </c>
    </row>
    <row r="5150" spans="2:3" x14ac:dyDescent="0.35">
      <c r="B5150" t="s">
        <v>128</v>
      </c>
      <c r="C5150" t="s">
        <v>129</v>
      </c>
    </row>
    <row r="5151" spans="2:3" x14ac:dyDescent="0.35">
      <c r="B5151" t="s">
        <v>230</v>
      </c>
      <c r="C5151" t="s">
        <v>231</v>
      </c>
    </row>
    <row r="5152" spans="2:3" x14ac:dyDescent="0.35">
      <c r="B5152" t="s">
        <v>232</v>
      </c>
      <c r="C5152" t="s">
        <v>233</v>
      </c>
    </row>
    <row r="5153" spans="2:3" x14ac:dyDescent="0.35">
      <c r="B5153" t="s">
        <v>283</v>
      </c>
      <c r="C5153" t="s">
        <v>284</v>
      </c>
    </row>
    <row r="5154" spans="2:3" x14ac:dyDescent="0.35">
      <c r="B5154" t="s">
        <v>258</v>
      </c>
      <c r="C5154" t="s">
        <v>259</v>
      </c>
    </row>
    <row r="5155" spans="2:3" x14ac:dyDescent="0.35">
      <c r="B5155" t="s">
        <v>700</v>
      </c>
      <c r="C5155" t="s">
        <v>701</v>
      </c>
    </row>
    <row r="5156" spans="2:3" x14ac:dyDescent="0.35">
      <c r="B5156" t="s">
        <v>200</v>
      </c>
      <c r="C5156" t="s">
        <v>201</v>
      </c>
    </row>
    <row r="5157" spans="2:3" x14ac:dyDescent="0.35">
      <c r="B5157" t="s">
        <v>230</v>
      </c>
      <c r="C5157" t="s">
        <v>231</v>
      </c>
    </row>
    <row r="5158" spans="2:3" x14ac:dyDescent="0.35">
      <c r="B5158" t="s">
        <v>692</v>
      </c>
      <c r="C5158" t="s">
        <v>693</v>
      </c>
    </row>
    <row r="5159" spans="2:3" x14ac:dyDescent="0.35">
      <c r="B5159" t="s">
        <v>350</v>
      </c>
      <c r="C5159" t="s">
        <v>351</v>
      </c>
    </row>
    <row r="5160" spans="2:3" x14ac:dyDescent="0.35">
      <c r="B5160" t="s">
        <v>505</v>
      </c>
      <c r="C5160" t="s">
        <v>506</v>
      </c>
    </row>
    <row r="5161" spans="2:3" x14ac:dyDescent="0.35">
      <c r="B5161" t="s">
        <v>692</v>
      </c>
      <c r="C5161" t="s">
        <v>693</v>
      </c>
    </row>
    <row r="5162" spans="2:3" x14ac:dyDescent="0.35">
      <c r="B5162" t="s">
        <v>90</v>
      </c>
      <c r="C5162" t="s">
        <v>91</v>
      </c>
    </row>
    <row r="5163" spans="2:3" x14ac:dyDescent="0.35">
      <c r="B5163" t="s">
        <v>591</v>
      </c>
      <c r="C5163" t="s">
        <v>592</v>
      </c>
    </row>
    <row r="5164" spans="2:3" x14ac:dyDescent="0.35">
      <c r="B5164" t="s">
        <v>543</v>
      </c>
      <c r="C5164" t="s">
        <v>544</v>
      </c>
    </row>
    <row r="5165" spans="2:3" x14ac:dyDescent="0.35">
      <c r="B5165" t="s">
        <v>208</v>
      </c>
      <c r="C5165" t="s">
        <v>209</v>
      </c>
    </row>
    <row r="5166" spans="2:3" x14ac:dyDescent="0.35">
      <c r="B5166" t="s">
        <v>295</v>
      </c>
      <c r="C5166" t="s">
        <v>296</v>
      </c>
    </row>
    <row r="5167" spans="2:3" x14ac:dyDescent="0.35">
      <c r="B5167" t="s">
        <v>618</v>
      </c>
      <c r="C5167" t="s">
        <v>619</v>
      </c>
    </row>
    <row r="5168" spans="2:3" x14ac:dyDescent="0.35">
      <c r="B5168" t="s">
        <v>335</v>
      </c>
      <c r="C5168" t="s">
        <v>336</v>
      </c>
    </row>
    <row r="5169" spans="2:3" x14ac:dyDescent="0.35">
      <c r="B5169" t="s">
        <v>537</v>
      </c>
      <c r="C5169" t="s">
        <v>538</v>
      </c>
    </row>
    <row r="5170" spans="2:3" x14ac:dyDescent="0.35">
      <c r="B5170" t="s">
        <v>378</v>
      </c>
      <c r="C5170" t="s">
        <v>379</v>
      </c>
    </row>
    <row r="5171" spans="2:3" x14ac:dyDescent="0.35">
      <c r="B5171" t="s">
        <v>202</v>
      </c>
      <c r="C5171" t="s">
        <v>203</v>
      </c>
    </row>
    <row r="5172" spans="2:3" x14ac:dyDescent="0.35">
      <c r="B5172" t="s">
        <v>163</v>
      </c>
      <c r="C5172" t="s">
        <v>164</v>
      </c>
    </row>
    <row r="5173" spans="2:3" x14ac:dyDescent="0.35">
      <c r="B5173" t="s">
        <v>1079</v>
      </c>
      <c r="C5173" t="s">
        <v>1080</v>
      </c>
    </row>
    <row r="5174" spans="2:3" x14ac:dyDescent="0.35">
      <c r="B5174" t="s">
        <v>787</v>
      </c>
      <c r="C5174" t="s">
        <v>788</v>
      </c>
    </row>
    <row r="5175" spans="2:3" x14ac:dyDescent="0.35">
      <c r="B5175" t="s">
        <v>559</v>
      </c>
      <c r="C5175" t="s">
        <v>560</v>
      </c>
    </row>
    <row r="5176" spans="2:3" x14ac:dyDescent="0.35">
      <c r="B5176" t="s">
        <v>787</v>
      </c>
      <c r="C5176" t="s">
        <v>788</v>
      </c>
    </row>
    <row r="5177" spans="2:3" x14ac:dyDescent="0.35">
      <c r="B5177" t="s">
        <v>650</v>
      </c>
      <c r="C5177" t="s">
        <v>651</v>
      </c>
    </row>
    <row r="5178" spans="2:3" x14ac:dyDescent="0.35">
      <c r="B5178" t="s">
        <v>90</v>
      </c>
      <c r="C5178" t="s">
        <v>91</v>
      </c>
    </row>
    <row r="5179" spans="2:3" x14ac:dyDescent="0.35">
      <c r="B5179" t="s">
        <v>1061</v>
      </c>
      <c r="C5179" t="s">
        <v>1062</v>
      </c>
    </row>
    <row r="5180" spans="2:3" x14ac:dyDescent="0.35">
      <c r="B5180" t="s">
        <v>804</v>
      </c>
      <c r="C5180" t="s">
        <v>805</v>
      </c>
    </row>
    <row r="5181" spans="2:3" x14ac:dyDescent="0.35">
      <c r="B5181" t="s">
        <v>802</v>
      </c>
      <c r="C5181" t="s">
        <v>803</v>
      </c>
    </row>
    <row r="5182" spans="2:3" x14ac:dyDescent="0.35">
      <c r="B5182" t="s">
        <v>787</v>
      </c>
      <c r="C5182" t="s">
        <v>788</v>
      </c>
    </row>
    <row r="5183" spans="2:3" x14ac:dyDescent="0.35">
      <c r="B5183" t="s">
        <v>295</v>
      </c>
      <c r="C5183" t="s">
        <v>296</v>
      </c>
    </row>
    <row r="5184" spans="2:3" x14ac:dyDescent="0.35">
      <c r="B5184" t="s">
        <v>90</v>
      </c>
      <c r="C5184" t="s">
        <v>91</v>
      </c>
    </row>
    <row r="5185" spans="2:3" x14ac:dyDescent="0.35">
      <c r="B5185" t="s">
        <v>230</v>
      </c>
      <c r="C5185" t="s">
        <v>231</v>
      </c>
    </row>
    <row r="5186" spans="2:3" x14ac:dyDescent="0.35">
      <c r="B5186" t="s">
        <v>1195</v>
      </c>
      <c r="C5186" t="s">
        <v>1195</v>
      </c>
    </row>
    <row r="5187" spans="2:3" x14ac:dyDescent="0.35">
      <c r="B5187" t="s">
        <v>787</v>
      </c>
      <c r="C5187" t="s">
        <v>788</v>
      </c>
    </row>
    <row r="5188" spans="2:3" x14ac:dyDescent="0.35">
      <c r="B5188" t="s">
        <v>787</v>
      </c>
      <c r="C5188" t="s">
        <v>788</v>
      </c>
    </row>
    <row r="5189" spans="2:3" x14ac:dyDescent="0.35">
      <c r="B5189" t="s">
        <v>642</v>
      </c>
      <c r="C5189" t="s">
        <v>643</v>
      </c>
    </row>
    <row r="5190" spans="2:3" x14ac:dyDescent="0.35">
      <c r="B5190" t="s">
        <v>285</v>
      </c>
      <c r="C5190" t="s">
        <v>286</v>
      </c>
    </row>
    <row r="5191" spans="2:3" x14ac:dyDescent="0.35">
      <c r="B5191" t="s">
        <v>465</v>
      </c>
      <c r="C5191" t="s">
        <v>466</v>
      </c>
    </row>
    <row r="5192" spans="2:3" x14ac:dyDescent="0.35">
      <c r="B5192" t="s">
        <v>511</v>
      </c>
      <c r="C5192" t="s">
        <v>512</v>
      </c>
    </row>
    <row r="5193" spans="2:3" x14ac:dyDescent="0.35">
      <c r="B5193" t="s">
        <v>557</v>
      </c>
      <c r="C5193" t="s">
        <v>558</v>
      </c>
    </row>
    <row r="5194" spans="2:3" x14ac:dyDescent="0.35">
      <c r="B5194" t="s">
        <v>700</v>
      </c>
      <c r="C5194" t="s">
        <v>701</v>
      </c>
    </row>
    <row r="5195" spans="2:3" x14ac:dyDescent="0.35">
      <c r="B5195" t="s">
        <v>163</v>
      </c>
      <c r="C5195" t="s">
        <v>164</v>
      </c>
    </row>
    <row r="5196" spans="2:3" x14ac:dyDescent="0.35">
      <c r="B5196" t="s">
        <v>105</v>
      </c>
      <c r="C5196" t="s">
        <v>106</v>
      </c>
    </row>
    <row r="5197" spans="2:3" x14ac:dyDescent="0.35">
      <c r="B5197" t="s">
        <v>700</v>
      </c>
      <c r="C5197" t="s">
        <v>701</v>
      </c>
    </row>
    <row r="5198" spans="2:3" x14ac:dyDescent="0.35">
      <c r="B5198" t="s">
        <v>401</v>
      </c>
      <c r="C5198" t="s">
        <v>402</v>
      </c>
    </row>
    <row r="5199" spans="2:3" x14ac:dyDescent="0.35">
      <c r="B5199" t="s">
        <v>787</v>
      </c>
      <c r="C5199" t="s">
        <v>788</v>
      </c>
    </row>
    <row r="5200" spans="2:3" x14ac:dyDescent="0.35">
      <c r="B5200" t="s">
        <v>64</v>
      </c>
      <c r="C5200" t="s">
        <v>65</v>
      </c>
    </row>
    <row r="5201" spans="2:3" x14ac:dyDescent="0.35">
      <c r="B5201" t="s">
        <v>306</v>
      </c>
      <c r="C5201" t="s">
        <v>307</v>
      </c>
    </row>
    <row r="5202" spans="2:3" x14ac:dyDescent="0.35">
      <c r="B5202" t="s">
        <v>475</v>
      </c>
      <c r="C5202" t="s">
        <v>476</v>
      </c>
    </row>
    <row r="5203" spans="2:3" x14ac:dyDescent="0.35">
      <c r="B5203" t="s">
        <v>384</v>
      </c>
      <c r="C5203" t="s">
        <v>385</v>
      </c>
    </row>
    <row r="5204" spans="2:3" x14ac:dyDescent="0.35">
      <c r="B5204" t="s">
        <v>787</v>
      </c>
      <c r="C5204" t="s">
        <v>788</v>
      </c>
    </row>
    <row r="5205" spans="2:3" x14ac:dyDescent="0.35">
      <c r="B5205" t="s">
        <v>258</v>
      </c>
      <c r="C5205" t="s">
        <v>259</v>
      </c>
    </row>
    <row r="5206" spans="2:3" x14ac:dyDescent="0.35">
      <c r="B5206" t="s">
        <v>529</v>
      </c>
      <c r="C5206" t="s">
        <v>530</v>
      </c>
    </row>
    <row r="5207" spans="2:3" x14ac:dyDescent="0.35">
      <c r="B5207" t="s">
        <v>787</v>
      </c>
      <c r="C5207" t="s">
        <v>788</v>
      </c>
    </row>
    <row r="5208" spans="2:3" x14ac:dyDescent="0.35">
      <c r="B5208" t="s">
        <v>306</v>
      </c>
      <c r="C5208" t="s">
        <v>307</v>
      </c>
    </row>
    <row r="5209" spans="2:3" x14ac:dyDescent="0.35">
      <c r="B5209" t="s">
        <v>230</v>
      </c>
      <c r="C5209" t="s">
        <v>231</v>
      </c>
    </row>
    <row r="5210" spans="2:3" x14ac:dyDescent="0.35">
      <c r="B5210" t="s">
        <v>122</v>
      </c>
      <c r="C5210" t="s">
        <v>123</v>
      </c>
    </row>
    <row r="5211" spans="2:3" x14ac:dyDescent="0.35">
      <c r="B5211" t="s">
        <v>787</v>
      </c>
      <c r="C5211" t="s">
        <v>788</v>
      </c>
    </row>
    <row r="5212" spans="2:3" x14ac:dyDescent="0.35">
      <c r="B5212" t="s">
        <v>787</v>
      </c>
      <c r="C5212" t="s">
        <v>788</v>
      </c>
    </row>
    <row r="5213" spans="2:3" x14ac:dyDescent="0.35">
      <c r="B5213" t="s">
        <v>120</v>
      </c>
      <c r="C5213" t="s">
        <v>121</v>
      </c>
    </row>
    <row r="5214" spans="2:3" x14ac:dyDescent="0.35">
      <c r="B5214" t="s">
        <v>447</v>
      </c>
      <c r="C5214" t="s">
        <v>448</v>
      </c>
    </row>
    <row r="5215" spans="2:3" x14ac:dyDescent="0.35">
      <c r="B5215" t="s">
        <v>208</v>
      </c>
      <c r="C5215" t="s">
        <v>209</v>
      </c>
    </row>
    <row r="5216" spans="2:3" x14ac:dyDescent="0.35">
      <c r="B5216" t="s">
        <v>517</v>
      </c>
      <c r="C5216" t="s">
        <v>518</v>
      </c>
    </row>
    <row r="5217" spans="2:3" x14ac:dyDescent="0.35">
      <c r="B5217" t="s">
        <v>638</v>
      </c>
      <c r="C5217" t="s">
        <v>639</v>
      </c>
    </row>
    <row r="5218" spans="2:3" x14ac:dyDescent="0.35">
      <c r="B5218" t="s">
        <v>515</v>
      </c>
      <c r="C5218" t="s">
        <v>516</v>
      </c>
    </row>
    <row r="5219" spans="2:3" x14ac:dyDescent="0.35">
      <c r="B5219" t="s">
        <v>230</v>
      </c>
      <c r="C5219" t="s">
        <v>231</v>
      </c>
    </row>
    <row r="5220" spans="2:3" x14ac:dyDescent="0.35">
      <c r="B5220" t="s">
        <v>487</v>
      </c>
      <c r="C5220" t="s">
        <v>488</v>
      </c>
    </row>
    <row r="5221" spans="2:3" x14ac:dyDescent="0.35">
      <c r="B5221" t="s">
        <v>541</v>
      </c>
      <c r="C5221" t="s">
        <v>542</v>
      </c>
    </row>
    <row r="5222" spans="2:3" x14ac:dyDescent="0.35">
      <c r="B5222" t="s">
        <v>384</v>
      </c>
      <c r="C5222" t="s">
        <v>385</v>
      </c>
    </row>
    <row r="5223" spans="2:3" x14ac:dyDescent="0.35">
      <c r="B5223" t="s">
        <v>350</v>
      </c>
      <c r="C5223" t="s">
        <v>351</v>
      </c>
    </row>
    <row r="5224" spans="2:3" x14ac:dyDescent="0.35">
      <c r="B5224" t="s">
        <v>200</v>
      </c>
      <c r="C5224" t="s">
        <v>201</v>
      </c>
    </row>
    <row r="5225" spans="2:3" x14ac:dyDescent="0.35">
      <c r="B5225" t="s">
        <v>260</v>
      </c>
      <c r="C5225" t="s">
        <v>261</v>
      </c>
    </row>
    <row r="5226" spans="2:3" x14ac:dyDescent="0.35">
      <c r="B5226" t="s">
        <v>475</v>
      </c>
      <c r="C5226" t="s">
        <v>476</v>
      </c>
    </row>
    <row r="5227" spans="2:3" x14ac:dyDescent="0.35">
      <c r="B5227" t="s">
        <v>163</v>
      </c>
      <c r="C5227" t="s">
        <v>164</v>
      </c>
    </row>
    <row r="5228" spans="2:3" x14ac:dyDescent="0.35">
      <c r="B5228" t="s">
        <v>804</v>
      </c>
      <c r="C5228" t="s">
        <v>805</v>
      </c>
    </row>
    <row r="5229" spans="2:3" x14ac:dyDescent="0.35">
      <c r="B5229" t="s">
        <v>163</v>
      </c>
      <c r="C5229" t="s">
        <v>164</v>
      </c>
    </row>
    <row r="5230" spans="2:3" x14ac:dyDescent="0.35">
      <c r="B5230" t="s">
        <v>622</v>
      </c>
      <c r="C5230" t="s">
        <v>623</v>
      </c>
    </row>
    <row r="5231" spans="2:3" x14ac:dyDescent="0.35">
      <c r="B5231" t="s">
        <v>103</v>
      </c>
      <c r="C5231" t="s">
        <v>104</v>
      </c>
    </row>
    <row r="5232" spans="2:3" x14ac:dyDescent="0.35">
      <c r="B5232" t="s">
        <v>208</v>
      </c>
      <c r="C5232" t="s">
        <v>209</v>
      </c>
    </row>
    <row r="5233" spans="2:3" x14ac:dyDescent="0.35">
      <c r="B5233" t="s">
        <v>787</v>
      </c>
      <c r="C5233" t="s">
        <v>788</v>
      </c>
    </row>
    <row r="5234" spans="2:3" x14ac:dyDescent="0.35">
      <c r="B5234" t="s">
        <v>787</v>
      </c>
      <c r="C5234" t="s">
        <v>788</v>
      </c>
    </row>
    <row r="5235" spans="2:3" x14ac:dyDescent="0.35">
      <c r="B5235" t="s">
        <v>575</v>
      </c>
      <c r="C5235" t="s">
        <v>576</v>
      </c>
    </row>
    <row r="5236" spans="2:3" x14ac:dyDescent="0.35">
      <c r="B5236" t="s">
        <v>545</v>
      </c>
      <c r="C5236" t="s">
        <v>546</v>
      </c>
    </row>
    <row r="5237" spans="2:3" x14ac:dyDescent="0.35">
      <c r="B5237" t="s">
        <v>230</v>
      </c>
      <c r="C5237" t="s">
        <v>231</v>
      </c>
    </row>
    <row r="5238" spans="2:3" x14ac:dyDescent="0.35">
      <c r="B5238" t="s">
        <v>694</v>
      </c>
      <c r="C5238" t="s">
        <v>695</v>
      </c>
    </row>
    <row r="5239" spans="2:3" x14ac:dyDescent="0.35">
      <c r="B5239" t="s">
        <v>662</v>
      </c>
      <c r="C5239" t="s">
        <v>663</v>
      </c>
    </row>
    <row r="5240" spans="2:3" x14ac:dyDescent="0.35">
      <c r="B5240" t="s">
        <v>866</v>
      </c>
      <c r="C5240" t="s">
        <v>867</v>
      </c>
    </row>
    <row r="5241" spans="2:3" x14ac:dyDescent="0.35">
      <c r="B5241" t="s">
        <v>573</v>
      </c>
      <c r="C5241" t="s">
        <v>574</v>
      </c>
    </row>
    <row r="5242" spans="2:3" x14ac:dyDescent="0.35">
      <c r="B5242" t="s">
        <v>1172</v>
      </c>
      <c r="C5242" t="s">
        <v>1173</v>
      </c>
    </row>
    <row r="5243" spans="2:3" x14ac:dyDescent="0.35">
      <c r="B5243" t="s">
        <v>605</v>
      </c>
      <c r="C5243" t="s">
        <v>606</v>
      </c>
    </row>
    <row r="5244" spans="2:3" x14ac:dyDescent="0.35">
      <c r="B5244" t="s">
        <v>638</v>
      </c>
      <c r="C5244" t="s">
        <v>639</v>
      </c>
    </row>
    <row r="5245" spans="2:3" x14ac:dyDescent="0.35">
      <c r="B5245" t="s">
        <v>463</v>
      </c>
      <c r="C5245" t="s">
        <v>464</v>
      </c>
    </row>
    <row r="5246" spans="2:3" x14ac:dyDescent="0.35">
      <c r="B5246" t="s">
        <v>692</v>
      </c>
      <c r="C5246" t="s">
        <v>693</v>
      </c>
    </row>
    <row r="5247" spans="2:3" x14ac:dyDescent="0.35">
      <c r="B5247" t="s">
        <v>1195</v>
      </c>
      <c r="C5247" t="s">
        <v>1195</v>
      </c>
    </row>
    <row r="5248" spans="2:3" x14ac:dyDescent="0.35">
      <c r="B5248" t="s">
        <v>344</v>
      </c>
      <c r="C5248" t="s">
        <v>345</v>
      </c>
    </row>
    <row r="5249" spans="2:3" x14ac:dyDescent="0.35">
      <c r="B5249" t="s">
        <v>90</v>
      </c>
      <c r="C5249" t="s">
        <v>91</v>
      </c>
    </row>
    <row r="5250" spans="2:3" x14ac:dyDescent="0.35">
      <c r="B5250" t="s">
        <v>1195</v>
      </c>
      <c r="C5250" t="s">
        <v>1195</v>
      </c>
    </row>
    <row r="5251" spans="2:3" x14ac:dyDescent="0.35">
      <c r="B5251" t="s">
        <v>656</v>
      </c>
      <c r="C5251" t="s">
        <v>657</v>
      </c>
    </row>
    <row r="5252" spans="2:3" x14ac:dyDescent="0.35">
      <c r="B5252" t="s">
        <v>453</v>
      </c>
      <c r="C5252" t="s">
        <v>454</v>
      </c>
    </row>
    <row r="5253" spans="2:3" x14ac:dyDescent="0.35">
      <c r="B5253" t="s">
        <v>306</v>
      </c>
      <c r="C5253" t="s">
        <v>307</v>
      </c>
    </row>
    <row r="5254" spans="2:3" x14ac:dyDescent="0.35">
      <c r="B5254" t="s">
        <v>662</v>
      </c>
      <c r="C5254" t="s">
        <v>663</v>
      </c>
    </row>
    <row r="5255" spans="2:3" x14ac:dyDescent="0.35">
      <c r="B5255" t="s">
        <v>479</v>
      </c>
      <c r="C5255" t="s">
        <v>480</v>
      </c>
    </row>
    <row r="5256" spans="2:3" x14ac:dyDescent="0.35">
      <c r="B5256" t="s">
        <v>787</v>
      </c>
      <c r="C5256" t="s">
        <v>788</v>
      </c>
    </row>
    <row r="5257" spans="2:3" x14ac:dyDescent="0.35">
      <c r="B5257" t="s">
        <v>84</v>
      </c>
      <c r="C5257" t="s">
        <v>85</v>
      </c>
    </row>
    <row r="5258" spans="2:3" x14ac:dyDescent="0.35">
      <c r="B5258" t="s">
        <v>56</v>
      </c>
      <c r="C5258" t="s">
        <v>57</v>
      </c>
    </row>
    <row r="5259" spans="2:3" x14ac:dyDescent="0.35">
      <c r="B5259" t="s">
        <v>360</v>
      </c>
      <c r="C5259" t="s">
        <v>361</v>
      </c>
    </row>
    <row r="5260" spans="2:3" x14ac:dyDescent="0.35">
      <c r="B5260" t="s">
        <v>577</v>
      </c>
      <c r="C5260" t="s">
        <v>578</v>
      </c>
    </row>
    <row r="5261" spans="2:3" x14ac:dyDescent="0.35">
      <c r="B5261" t="s">
        <v>384</v>
      </c>
      <c r="C5261" t="s">
        <v>385</v>
      </c>
    </row>
    <row r="5262" spans="2:3" x14ac:dyDescent="0.35">
      <c r="B5262" t="s">
        <v>692</v>
      </c>
      <c r="C5262" t="s">
        <v>693</v>
      </c>
    </row>
    <row r="5263" spans="2:3" x14ac:dyDescent="0.35">
      <c r="B5263" t="s">
        <v>202</v>
      </c>
      <c r="C5263" t="s">
        <v>203</v>
      </c>
    </row>
    <row r="5264" spans="2:3" x14ac:dyDescent="0.35">
      <c r="B5264" t="s">
        <v>640</v>
      </c>
      <c r="C5264" t="s">
        <v>641</v>
      </c>
    </row>
    <row r="5265" spans="2:3" x14ac:dyDescent="0.35">
      <c r="B5265" t="s">
        <v>863</v>
      </c>
      <c r="C5265" t="s">
        <v>864</v>
      </c>
    </row>
    <row r="5266" spans="2:3" x14ac:dyDescent="0.35">
      <c r="B5266" t="s">
        <v>607</v>
      </c>
      <c r="C5266" t="s">
        <v>608</v>
      </c>
    </row>
    <row r="5267" spans="2:3" x14ac:dyDescent="0.35">
      <c r="B5267" t="s">
        <v>700</v>
      </c>
      <c r="C5267" t="s">
        <v>701</v>
      </c>
    </row>
    <row r="5268" spans="2:3" x14ac:dyDescent="0.35">
      <c r="B5268" t="s">
        <v>700</v>
      </c>
      <c r="C5268" t="s">
        <v>701</v>
      </c>
    </row>
    <row r="5269" spans="2:3" x14ac:dyDescent="0.35">
      <c r="B5269" t="s">
        <v>874</v>
      </c>
      <c r="C5269" t="s">
        <v>875</v>
      </c>
    </row>
    <row r="5270" spans="2:3" x14ac:dyDescent="0.35">
      <c r="B5270" t="s">
        <v>475</v>
      </c>
      <c r="C5270" t="s">
        <v>476</v>
      </c>
    </row>
    <row r="5271" spans="2:3" x14ac:dyDescent="0.35">
      <c r="B5271" t="s">
        <v>202</v>
      </c>
      <c r="C5271" t="s">
        <v>203</v>
      </c>
    </row>
    <row r="5272" spans="2:3" x14ac:dyDescent="0.35">
      <c r="B5272" t="s">
        <v>618</v>
      </c>
      <c r="C5272" t="s">
        <v>619</v>
      </c>
    </row>
    <row r="5273" spans="2:3" x14ac:dyDescent="0.35">
      <c r="B5273" t="s">
        <v>285</v>
      </c>
      <c r="C5273" t="s">
        <v>286</v>
      </c>
    </row>
    <row r="5274" spans="2:3" x14ac:dyDescent="0.35">
      <c r="B5274" t="s">
        <v>176</v>
      </c>
      <c r="C5274" t="s">
        <v>177</v>
      </c>
    </row>
    <row r="5275" spans="2:3" x14ac:dyDescent="0.35">
      <c r="B5275" t="s">
        <v>692</v>
      </c>
      <c r="C5275" t="s">
        <v>693</v>
      </c>
    </row>
    <row r="5276" spans="2:3" x14ac:dyDescent="0.35">
      <c r="B5276" t="s">
        <v>56</v>
      </c>
      <c r="C5276" t="s">
        <v>57</v>
      </c>
    </row>
    <row r="5277" spans="2:3" x14ac:dyDescent="0.35">
      <c r="B5277" t="s">
        <v>120</v>
      </c>
      <c r="C5277" t="s">
        <v>121</v>
      </c>
    </row>
    <row r="5278" spans="2:3" x14ac:dyDescent="0.35">
      <c r="B5278" t="s">
        <v>861</v>
      </c>
      <c r="C5278" t="s">
        <v>862</v>
      </c>
    </row>
    <row r="5279" spans="2:3" x14ac:dyDescent="0.35">
      <c r="B5279" t="s">
        <v>642</v>
      </c>
      <c r="C5279" t="s">
        <v>643</v>
      </c>
    </row>
    <row r="5280" spans="2:3" x14ac:dyDescent="0.35">
      <c r="B5280" t="s">
        <v>694</v>
      </c>
      <c r="C5280" t="s">
        <v>695</v>
      </c>
    </row>
    <row r="5281" spans="2:3" x14ac:dyDescent="0.35">
      <c r="B5281" t="s">
        <v>202</v>
      </c>
      <c r="C5281" t="s">
        <v>203</v>
      </c>
    </row>
    <row r="5282" spans="2:3" x14ac:dyDescent="0.35">
      <c r="B5282" t="s">
        <v>640</v>
      </c>
      <c r="C5282" t="s">
        <v>641</v>
      </c>
    </row>
    <row r="5283" spans="2:3" x14ac:dyDescent="0.35">
      <c r="B5283" t="s">
        <v>434</v>
      </c>
      <c r="C5283" t="s">
        <v>435</v>
      </c>
    </row>
    <row r="5284" spans="2:3" x14ac:dyDescent="0.35">
      <c r="B5284" t="s">
        <v>350</v>
      </c>
      <c r="C5284" t="s">
        <v>351</v>
      </c>
    </row>
    <row r="5285" spans="2:3" x14ac:dyDescent="0.35">
      <c r="B5285" t="s">
        <v>787</v>
      </c>
      <c r="C5285" t="s">
        <v>788</v>
      </c>
    </row>
    <row r="5286" spans="2:3" x14ac:dyDescent="0.35">
      <c r="B5286" t="s">
        <v>656</v>
      </c>
      <c r="C5286" t="s">
        <v>657</v>
      </c>
    </row>
    <row r="5287" spans="2:3" x14ac:dyDescent="0.35">
      <c r="B5287" t="s">
        <v>866</v>
      </c>
      <c r="C5287" t="s">
        <v>867</v>
      </c>
    </row>
    <row r="5288" spans="2:3" x14ac:dyDescent="0.35">
      <c r="B5288" t="s">
        <v>163</v>
      </c>
      <c r="C5288" t="s">
        <v>164</v>
      </c>
    </row>
    <row r="5289" spans="2:3" x14ac:dyDescent="0.35">
      <c r="B5289" t="s">
        <v>694</v>
      </c>
      <c r="C5289" t="s">
        <v>695</v>
      </c>
    </row>
    <row r="5290" spans="2:3" x14ac:dyDescent="0.35">
      <c r="B5290" t="s">
        <v>787</v>
      </c>
      <c r="C5290" t="s">
        <v>788</v>
      </c>
    </row>
    <row r="5291" spans="2:3" x14ac:dyDescent="0.35">
      <c r="B5291" t="s">
        <v>804</v>
      </c>
      <c r="C5291" t="s">
        <v>805</v>
      </c>
    </row>
    <row r="5292" spans="2:3" x14ac:dyDescent="0.35">
      <c r="B5292" t="s">
        <v>787</v>
      </c>
      <c r="C5292" t="s">
        <v>788</v>
      </c>
    </row>
    <row r="5293" spans="2:3" x14ac:dyDescent="0.35">
      <c r="B5293" t="s">
        <v>658</v>
      </c>
      <c r="C5293" t="s">
        <v>659</v>
      </c>
    </row>
    <row r="5294" spans="2:3" x14ac:dyDescent="0.35">
      <c r="B5294" t="s">
        <v>202</v>
      </c>
      <c r="C5294" t="s">
        <v>203</v>
      </c>
    </row>
    <row r="5295" spans="2:3" x14ac:dyDescent="0.35">
      <c r="B5295" t="s">
        <v>557</v>
      </c>
      <c r="C5295" t="s">
        <v>558</v>
      </c>
    </row>
    <row r="5296" spans="2:3" x14ac:dyDescent="0.35">
      <c r="B5296" t="s">
        <v>557</v>
      </c>
      <c r="C5296" t="s">
        <v>558</v>
      </c>
    </row>
    <row r="5297" spans="2:3" x14ac:dyDescent="0.35">
      <c r="B5297" t="s">
        <v>624</v>
      </c>
      <c r="C5297" t="s">
        <v>625</v>
      </c>
    </row>
    <row r="5298" spans="2:3" x14ac:dyDescent="0.35">
      <c r="B5298" t="s">
        <v>787</v>
      </c>
      <c r="C5298" t="s">
        <v>788</v>
      </c>
    </row>
    <row r="5299" spans="2:3" x14ac:dyDescent="0.35">
      <c r="B5299" t="s">
        <v>208</v>
      </c>
      <c r="C5299" t="s">
        <v>209</v>
      </c>
    </row>
    <row r="5300" spans="2:3" x14ac:dyDescent="0.35">
      <c r="B5300" t="s">
        <v>545</v>
      </c>
      <c r="C5300" t="s">
        <v>546</v>
      </c>
    </row>
    <row r="5301" spans="2:3" x14ac:dyDescent="0.35">
      <c r="B5301" t="s">
        <v>531</v>
      </c>
      <c r="C5301" t="s">
        <v>532</v>
      </c>
    </row>
    <row r="5302" spans="2:3" x14ac:dyDescent="0.35">
      <c r="B5302" t="s">
        <v>656</v>
      </c>
      <c r="C5302" t="s">
        <v>657</v>
      </c>
    </row>
    <row r="5303" spans="2:3" x14ac:dyDescent="0.35">
      <c r="B5303" t="s">
        <v>46</v>
      </c>
      <c r="C5303" t="s">
        <v>47</v>
      </c>
    </row>
    <row r="5304" spans="2:3" x14ac:dyDescent="0.35">
      <c r="B5304" t="s">
        <v>618</v>
      </c>
      <c r="C5304" t="s">
        <v>619</v>
      </c>
    </row>
    <row r="5305" spans="2:3" x14ac:dyDescent="0.35">
      <c r="B5305" t="s">
        <v>545</v>
      </c>
      <c r="C5305" t="s">
        <v>546</v>
      </c>
    </row>
    <row r="5306" spans="2:3" x14ac:dyDescent="0.35">
      <c r="B5306" t="s">
        <v>523</v>
      </c>
      <c r="C5306" t="s">
        <v>524</v>
      </c>
    </row>
    <row r="5307" spans="2:3" x14ac:dyDescent="0.35">
      <c r="B5307" t="s">
        <v>401</v>
      </c>
      <c r="C5307" t="s">
        <v>402</v>
      </c>
    </row>
    <row r="5308" spans="2:3" x14ac:dyDescent="0.35">
      <c r="B5308" t="s">
        <v>787</v>
      </c>
      <c r="C5308" t="s">
        <v>788</v>
      </c>
    </row>
    <row r="5309" spans="2:3" x14ac:dyDescent="0.35">
      <c r="B5309" t="s">
        <v>658</v>
      </c>
      <c r="C5309" t="s">
        <v>659</v>
      </c>
    </row>
    <row r="5310" spans="2:3" x14ac:dyDescent="0.35">
      <c r="B5310" t="s">
        <v>293</v>
      </c>
      <c r="C5310" t="s">
        <v>294</v>
      </c>
    </row>
    <row r="5311" spans="2:3" x14ac:dyDescent="0.35">
      <c r="B5311" t="s">
        <v>787</v>
      </c>
      <c r="C5311" t="s">
        <v>788</v>
      </c>
    </row>
    <row r="5312" spans="2:3" x14ac:dyDescent="0.35">
      <c r="B5312" t="s">
        <v>501</v>
      </c>
      <c r="C5312" t="s">
        <v>502</v>
      </c>
    </row>
    <row r="5313" spans="2:3" x14ac:dyDescent="0.35">
      <c r="B5313" t="s">
        <v>575</v>
      </c>
      <c r="C5313" t="s">
        <v>576</v>
      </c>
    </row>
    <row r="5314" spans="2:3" x14ac:dyDescent="0.35">
      <c r="B5314" t="s">
        <v>387</v>
      </c>
      <c r="C5314" t="s">
        <v>388</v>
      </c>
    </row>
    <row r="5315" spans="2:3" x14ac:dyDescent="0.35">
      <c r="B5315" t="s">
        <v>787</v>
      </c>
      <c r="C5315" t="s">
        <v>788</v>
      </c>
    </row>
    <row r="5316" spans="2:3" x14ac:dyDescent="0.35">
      <c r="B5316" t="s">
        <v>787</v>
      </c>
      <c r="C5316" t="s">
        <v>788</v>
      </c>
    </row>
    <row r="5317" spans="2:3" x14ac:dyDescent="0.35">
      <c r="B5317" t="s">
        <v>642</v>
      </c>
      <c r="C5317" t="s">
        <v>643</v>
      </c>
    </row>
    <row r="5318" spans="2:3" x14ac:dyDescent="0.35">
      <c r="B5318" t="s">
        <v>410</v>
      </c>
      <c r="C5318" t="s">
        <v>411</v>
      </c>
    </row>
    <row r="5319" spans="2:3" x14ac:dyDescent="0.35">
      <c r="B5319" t="s">
        <v>703</v>
      </c>
      <c r="C5319" t="s">
        <v>704</v>
      </c>
    </row>
    <row r="5320" spans="2:3" x14ac:dyDescent="0.35">
      <c r="B5320" t="s">
        <v>453</v>
      </c>
      <c r="C5320" t="s">
        <v>454</v>
      </c>
    </row>
    <row r="5321" spans="2:3" x14ac:dyDescent="0.35">
      <c r="B5321" t="s">
        <v>485</v>
      </c>
      <c r="C5321" t="s">
        <v>486</v>
      </c>
    </row>
    <row r="5322" spans="2:3" x14ac:dyDescent="0.35">
      <c r="B5322" t="s">
        <v>212</v>
      </c>
      <c r="C5322" t="s">
        <v>213</v>
      </c>
    </row>
    <row r="5323" spans="2:3" x14ac:dyDescent="0.35">
      <c r="B5323" t="s">
        <v>549</v>
      </c>
      <c r="C5323" t="s">
        <v>550</v>
      </c>
    </row>
    <row r="5324" spans="2:3" x14ac:dyDescent="0.35">
      <c r="B5324" t="s">
        <v>642</v>
      </c>
      <c r="C5324" t="s">
        <v>643</v>
      </c>
    </row>
    <row r="5325" spans="2:3" x14ac:dyDescent="0.35">
      <c r="B5325" t="s">
        <v>90</v>
      </c>
      <c r="C5325" t="s">
        <v>91</v>
      </c>
    </row>
    <row r="5326" spans="2:3" x14ac:dyDescent="0.35">
      <c r="B5326" t="s">
        <v>401</v>
      </c>
      <c r="C5326" t="s">
        <v>402</v>
      </c>
    </row>
    <row r="5327" spans="2:3" x14ac:dyDescent="0.35">
      <c r="B5327" t="s">
        <v>376</v>
      </c>
      <c r="C5327" t="s">
        <v>377</v>
      </c>
    </row>
    <row r="5328" spans="2:3" x14ac:dyDescent="0.35">
      <c r="B5328" t="s">
        <v>527</v>
      </c>
      <c r="C5328" t="s">
        <v>528</v>
      </c>
    </row>
    <row r="5329" spans="2:3" x14ac:dyDescent="0.35">
      <c r="B5329" t="s">
        <v>174</v>
      </c>
      <c r="C5329" t="s">
        <v>175</v>
      </c>
    </row>
    <row r="5330" spans="2:3" x14ac:dyDescent="0.35">
      <c r="B5330" t="s">
        <v>575</v>
      </c>
      <c r="C5330" t="s">
        <v>576</v>
      </c>
    </row>
    <row r="5331" spans="2:3" x14ac:dyDescent="0.35">
      <c r="B5331" t="s">
        <v>384</v>
      </c>
      <c r="C5331" t="s">
        <v>385</v>
      </c>
    </row>
    <row r="5332" spans="2:3" x14ac:dyDescent="0.35">
      <c r="B5332" t="s">
        <v>176</v>
      </c>
      <c r="C5332" t="s">
        <v>177</v>
      </c>
    </row>
    <row r="5333" spans="2:3" x14ac:dyDescent="0.35">
      <c r="B5333" t="s">
        <v>561</v>
      </c>
      <c r="C5333" t="s">
        <v>562</v>
      </c>
    </row>
    <row r="5334" spans="2:3" x14ac:dyDescent="0.35">
      <c r="B5334" t="s">
        <v>622</v>
      </c>
      <c r="C5334" t="s">
        <v>623</v>
      </c>
    </row>
    <row r="5335" spans="2:3" x14ac:dyDescent="0.35">
      <c r="B5335" t="s">
        <v>128</v>
      </c>
      <c r="C5335" t="s">
        <v>129</v>
      </c>
    </row>
    <row r="5336" spans="2:3" x14ac:dyDescent="0.35">
      <c r="B5336" t="s">
        <v>128</v>
      </c>
      <c r="C5336" t="s">
        <v>129</v>
      </c>
    </row>
    <row r="5337" spans="2:3" x14ac:dyDescent="0.35">
      <c r="B5337" t="s">
        <v>654</v>
      </c>
      <c r="C5337" t="s">
        <v>655</v>
      </c>
    </row>
    <row r="5338" spans="2:3" x14ac:dyDescent="0.35">
      <c r="B5338" t="s">
        <v>543</v>
      </c>
      <c r="C5338" t="s">
        <v>544</v>
      </c>
    </row>
    <row r="5339" spans="2:3" x14ac:dyDescent="0.35">
      <c r="B5339" t="s">
        <v>700</v>
      </c>
      <c r="C5339" t="s">
        <v>701</v>
      </c>
    </row>
    <row r="5340" spans="2:3" x14ac:dyDescent="0.35">
      <c r="B5340" t="s">
        <v>787</v>
      </c>
      <c r="C5340" t="s">
        <v>788</v>
      </c>
    </row>
    <row r="5341" spans="2:3" x14ac:dyDescent="0.35">
      <c r="B5341" t="s">
        <v>700</v>
      </c>
      <c r="C5341" t="s">
        <v>701</v>
      </c>
    </row>
    <row r="5342" spans="2:3" x14ac:dyDescent="0.35">
      <c r="B5342" t="s">
        <v>120</v>
      </c>
      <c r="C5342" t="s">
        <v>121</v>
      </c>
    </row>
    <row r="5343" spans="2:3" x14ac:dyDescent="0.35">
      <c r="B5343" t="s">
        <v>1195</v>
      </c>
      <c r="C5343" t="s">
        <v>1195</v>
      </c>
    </row>
    <row r="5344" spans="2:3" x14ac:dyDescent="0.35">
      <c r="B5344" t="s">
        <v>465</v>
      </c>
      <c r="C5344" t="s">
        <v>466</v>
      </c>
    </row>
    <row r="5345" spans="2:3" x14ac:dyDescent="0.35">
      <c r="B5345" t="s">
        <v>260</v>
      </c>
      <c r="C5345" t="s">
        <v>261</v>
      </c>
    </row>
    <row r="5346" spans="2:3" x14ac:dyDescent="0.35">
      <c r="B5346" t="s">
        <v>1195</v>
      </c>
      <c r="C5346" t="s">
        <v>1195</v>
      </c>
    </row>
    <row r="5347" spans="2:3" x14ac:dyDescent="0.35">
      <c r="B5347" t="s">
        <v>674</v>
      </c>
      <c r="C5347" t="s">
        <v>675</v>
      </c>
    </row>
    <row r="5348" spans="2:3" x14ac:dyDescent="0.35">
      <c r="B5348" t="s">
        <v>662</v>
      </c>
      <c r="C5348" t="s">
        <v>663</v>
      </c>
    </row>
    <row r="5349" spans="2:3" x14ac:dyDescent="0.35">
      <c r="B5349" t="s">
        <v>961</v>
      </c>
      <c r="C5349" t="s">
        <v>962</v>
      </c>
    </row>
    <row r="5350" spans="2:3" x14ac:dyDescent="0.35">
      <c r="B5350" t="s">
        <v>74</v>
      </c>
      <c r="C5350" t="s">
        <v>75</v>
      </c>
    </row>
    <row r="5351" spans="2:3" x14ac:dyDescent="0.35">
      <c r="B5351" t="s">
        <v>202</v>
      </c>
      <c r="C5351" t="s">
        <v>203</v>
      </c>
    </row>
    <row r="5352" spans="2:3" x14ac:dyDescent="0.35">
      <c r="B5352" t="s">
        <v>64</v>
      </c>
      <c r="C5352" t="s">
        <v>65</v>
      </c>
    </row>
    <row r="5353" spans="2:3" x14ac:dyDescent="0.35">
      <c r="B5353" t="s">
        <v>961</v>
      </c>
      <c r="C5353" t="s">
        <v>962</v>
      </c>
    </row>
    <row r="5354" spans="2:3" x14ac:dyDescent="0.35">
      <c r="B5354" t="s">
        <v>787</v>
      </c>
      <c r="C5354" t="s">
        <v>788</v>
      </c>
    </row>
    <row r="5355" spans="2:3" x14ac:dyDescent="0.35">
      <c r="B5355" t="s">
        <v>517</v>
      </c>
      <c r="C5355" t="s">
        <v>518</v>
      </c>
    </row>
    <row r="5356" spans="2:3" x14ac:dyDescent="0.35">
      <c r="B5356" t="s">
        <v>963</v>
      </c>
      <c r="C5356" t="s">
        <v>964</v>
      </c>
    </row>
    <row r="5357" spans="2:3" x14ac:dyDescent="0.35">
      <c r="B5357" t="s">
        <v>589</v>
      </c>
      <c r="C5357" t="s">
        <v>590</v>
      </c>
    </row>
    <row r="5358" spans="2:3" x14ac:dyDescent="0.35">
      <c r="B5358" t="s">
        <v>176</v>
      </c>
      <c r="C5358" t="s">
        <v>177</v>
      </c>
    </row>
    <row r="5359" spans="2:3" x14ac:dyDescent="0.35">
      <c r="B5359" t="s">
        <v>449</v>
      </c>
      <c r="C5359" t="s">
        <v>450</v>
      </c>
    </row>
    <row r="5360" spans="2:3" x14ac:dyDescent="0.35">
      <c r="B5360" t="s">
        <v>963</v>
      </c>
      <c r="C5360" t="s">
        <v>964</v>
      </c>
    </row>
    <row r="5361" spans="2:3" x14ac:dyDescent="0.35">
      <c r="B5361" t="s">
        <v>393</v>
      </c>
      <c r="C5361" t="s">
        <v>394</v>
      </c>
    </row>
    <row r="5362" spans="2:3" x14ac:dyDescent="0.35">
      <c r="B5362" t="s">
        <v>219</v>
      </c>
      <c r="C5362" t="s">
        <v>220</v>
      </c>
    </row>
    <row r="5363" spans="2:3" x14ac:dyDescent="0.35">
      <c r="B5363" t="s">
        <v>163</v>
      </c>
      <c r="C5363" t="s">
        <v>164</v>
      </c>
    </row>
    <row r="5364" spans="2:3" x14ac:dyDescent="0.35">
      <c r="B5364" t="s">
        <v>703</v>
      </c>
      <c r="C5364" t="s">
        <v>704</v>
      </c>
    </row>
    <row r="5365" spans="2:3" x14ac:dyDescent="0.35">
      <c r="B5365" t="s">
        <v>640</v>
      </c>
      <c r="C5365" t="s">
        <v>641</v>
      </c>
    </row>
    <row r="5366" spans="2:3" x14ac:dyDescent="0.35">
      <c r="B5366" t="s">
        <v>557</v>
      </c>
      <c r="C5366" t="s">
        <v>558</v>
      </c>
    </row>
    <row r="5367" spans="2:3" x14ac:dyDescent="0.35">
      <c r="B5367" t="s">
        <v>787</v>
      </c>
      <c r="C5367" t="s">
        <v>788</v>
      </c>
    </row>
    <row r="5368" spans="2:3" x14ac:dyDescent="0.35">
      <c r="B5368" t="s">
        <v>208</v>
      </c>
      <c r="C5368" t="s">
        <v>209</v>
      </c>
    </row>
    <row r="5369" spans="2:3" x14ac:dyDescent="0.35">
      <c r="B5369" t="s">
        <v>787</v>
      </c>
      <c r="C5369" t="s">
        <v>788</v>
      </c>
    </row>
    <row r="5370" spans="2:3" x14ac:dyDescent="0.35">
      <c r="B5370" t="s">
        <v>467</v>
      </c>
      <c r="C5370" t="s">
        <v>468</v>
      </c>
    </row>
    <row r="5371" spans="2:3" x14ac:dyDescent="0.35">
      <c r="B5371" t="s">
        <v>254</v>
      </c>
      <c r="C5371" t="s">
        <v>255</v>
      </c>
    </row>
    <row r="5372" spans="2:3" x14ac:dyDescent="0.35">
      <c r="B5372" t="s">
        <v>72</v>
      </c>
      <c r="C5372" t="s">
        <v>73</v>
      </c>
    </row>
    <row r="5373" spans="2:3" x14ac:dyDescent="0.35">
      <c r="B5373" t="s">
        <v>1061</v>
      </c>
      <c r="C5373" t="s">
        <v>1062</v>
      </c>
    </row>
    <row r="5374" spans="2:3" x14ac:dyDescent="0.35">
      <c r="B5374" t="s">
        <v>316</v>
      </c>
      <c r="C5374" t="s">
        <v>317</v>
      </c>
    </row>
    <row r="5375" spans="2:3" x14ac:dyDescent="0.35">
      <c r="B5375" t="s">
        <v>445</v>
      </c>
      <c r="C5375" t="s">
        <v>446</v>
      </c>
    </row>
    <row r="5376" spans="2:3" x14ac:dyDescent="0.35">
      <c r="B5376" t="s">
        <v>1195</v>
      </c>
      <c r="C5376" t="s">
        <v>1195</v>
      </c>
    </row>
    <row r="5377" spans="2:3" x14ac:dyDescent="0.35">
      <c r="B5377" t="s">
        <v>650</v>
      </c>
      <c r="C5377" t="s">
        <v>651</v>
      </c>
    </row>
    <row r="5378" spans="2:3" x14ac:dyDescent="0.35">
      <c r="B5378" t="s">
        <v>128</v>
      </c>
      <c r="C5378" t="s">
        <v>129</v>
      </c>
    </row>
    <row r="5379" spans="2:3" x14ac:dyDescent="0.35">
      <c r="B5379" t="s">
        <v>527</v>
      </c>
      <c r="C5379" t="s">
        <v>528</v>
      </c>
    </row>
    <row r="5380" spans="2:3" x14ac:dyDescent="0.35">
      <c r="B5380" t="s">
        <v>650</v>
      </c>
      <c r="C5380" t="s">
        <v>651</v>
      </c>
    </row>
    <row r="5381" spans="2:3" x14ac:dyDescent="0.35">
      <c r="B5381" t="s">
        <v>866</v>
      </c>
      <c r="C5381" t="s">
        <v>867</v>
      </c>
    </row>
    <row r="5382" spans="2:3" x14ac:dyDescent="0.35">
      <c r="B5382" t="s">
        <v>527</v>
      </c>
      <c r="C5382" t="s">
        <v>528</v>
      </c>
    </row>
    <row r="5383" spans="2:3" x14ac:dyDescent="0.35">
      <c r="B5383" t="s">
        <v>549</v>
      </c>
      <c r="C5383" t="s">
        <v>550</v>
      </c>
    </row>
    <row r="5384" spans="2:3" x14ac:dyDescent="0.35">
      <c r="B5384" t="s">
        <v>658</v>
      </c>
      <c r="C5384" t="s">
        <v>659</v>
      </c>
    </row>
    <row r="5385" spans="2:3" x14ac:dyDescent="0.35">
      <c r="B5385" t="s">
        <v>787</v>
      </c>
      <c r="C5385" t="s">
        <v>788</v>
      </c>
    </row>
    <row r="5386" spans="2:3" x14ac:dyDescent="0.35">
      <c r="B5386" t="s">
        <v>787</v>
      </c>
      <c r="C5386" t="s">
        <v>788</v>
      </c>
    </row>
    <row r="5387" spans="2:3" x14ac:dyDescent="0.35">
      <c r="B5387" t="s">
        <v>700</v>
      </c>
      <c r="C5387" t="s">
        <v>701</v>
      </c>
    </row>
    <row r="5388" spans="2:3" x14ac:dyDescent="0.35">
      <c r="B5388" t="s">
        <v>537</v>
      </c>
      <c r="C5388" t="s">
        <v>538</v>
      </c>
    </row>
    <row r="5389" spans="2:3" x14ac:dyDescent="0.35">
      <c r="B5389" t="s">
        <v>571</v>
      </c>
      <c r="C5389" t="s">
        <v>572</v>
      </c>
    </row>
    <row r="5390" spans="2:3" x14ac:dyDescent="0.35">
      <c r="B5390" t="s">
        <v>212</v>
      </c>
      <c r="C5390" t="s">
        <v>213</v>
      </c>
    </row>
    <row r="5391" spans="2:3" x14ac:dyDescent="0.35">
      <c r="B5391" t="s">
        <v>861</v>
      </c>
      <c r="C5391" t="s">
        <v>862</v>
      </c>
    </row>
    <row r="5392" spans="2:3" x14ac:dyDescent="0.35">
      <c r="B5392" t="s">
        <v>465</v>
      </c>
      <c r="C5392" t="s">
        <v>466</v>
      </c>
    </row>
    <row r="5393" spans="2:3" x14ac:dyDescent="0.35">
      <c r="B5393" t="s">
        <v>703</v>
      </c>
      <c r="C5393" t="s">
        <v>704</v>
      </c>
    </row>
    <row r="5394" spans="2:3" x14ac:dyDescent="0.35">
      <c r="B5394" t="s">
        <v>105</v>
      </c>
      <c r="C5394" t="s">
        <v>106</v>
      </c>
    </row>
    <row r="5395" spans="2:3" x14ac:dyDescent="0.35">
      <c r="B5395" t="s">
        <v>387</v>
      </c>
      <c r="C5395" t="s">
        <v>388</v>
      </c>
    </row>
    <row r="5396" spans="2:3" x14ac:dyDescent="0.35">
      <c r="B5396" t="s">
        <v>252</v>
      </c>
      <c r="C5396" t="s">
        <v>253</v>
      </c>
    </row>
    <row r="5397" spans="2:3" x14ac:dyDescent="0.35">
      <c r="B5397" t="s">
        <v>219</v>
      </c>
      <c r="C5397" t="s">
        <v>220</v>
      </c>
    </row>
    <row r="5398" spans="2:3" x14ac:dyDescent="0.35">
      <c r="B5398" t="s">
        <v>618</v>
      </c>
      <c r="C5398" t="s">
        <v>619</v>
      </c>
    </row>
    <row r="5399" spans="2:3" x14ac:dyDescent="0.35">
      <c r="B5399" t="s">
        <v>787</v>
      </c>
      <c r="C5399" t="s">
        <v>788</v>
      </c>
    </row>
    <row r="5400" spans="2:3" x14ac:dyDescent="0.35">
      <c r="B5400" t="s">
        <v>283</v>
      </c>
      <c r="C5400" t="s">
        <v>284</v>
      </c>
    </row>
    <row r="5401" spans="2:3" x14ac:dyDescent="0.35">
      <c r="B5401" t="s">
        <v>318</v>
      </c>
      <c r="C5401" t="s">
        <v>319</v>
      </c>
    </row>
    <row r="5402" spans="2:3" x14ac:dyDescent="0.35">
      <c r="B5402" t="s">
        <v>787</v>
      </c>
      <c r="C5402" t="s">
        <v>788</v>
      </c>
    </row>
    <row r="5403" spans="2:3" x14ac:dyDescent="0.35">
      <c r="B5403" t="s">
        <v>437</v>
      </c>
      <c r="C5403" t="s">
        <v>438</v>
      </c>
    </row>
    <row r="5404" spans="2:3" x14ac:dyDescent="0.35">
      <c r="B5404" t="s">
        <v>103</v>
      </c>
      <c r="C5404" t="s">
        <v>104</v>
      </c>
    </row>
    <row r="5405" spans="2:3" x14ac:dyDescent="0.35">
      <c r="B5405" t="s">
        <v>545</v>
      </c>
      <c r="C5405" t="s">
        <v>546</v>
      </c>
    </row>
    <row r="5406" spans="2:3" x14ac:dyDescent="0.35">
      <c r="B5406" t="s">
        <v>787</v>
      </c>
      <c r="C5406" t="s">
        <v>788</v>
      </c>
    </row>
    <row r="5407" spans="2:3" x14ac:dyDescent="0.35">
      <c r="B5407" t="s">
        <v>64</v>
      </c>
      <c r="C5407" t="s">
        <v>65</v>
      </c>
    </row>
    <row r="5408" spans="2:3" x14ac:dyDescent="0.35">
      <c r="B5408" t="s">
        <v>202</v>
      </c>
      <c r="C5408" t="s">
        <v>203</v>
      </c>
    </row>
    <row r="5409" spans="2:3" x14ac:dyDescent="0.35">
      <c r="B5409" t="s">
        <v>632</v>
      </c>
      <c r="C5409" t="s">
        <v>633</v>
      </c>
    </row>
    <row r="5410" spans="2:3" x14ac:dyDescent="0.35">
      <c r="B5410" t="s">
        <v>561</v>
      </c>
      <c r="C5410" t="s">
        <v>562</v>
      </c>
    </row>
    <row r="5411" spans="2:3" x14ac:dyDescent="0.35">
      <c r="B5411" t="s">
        <v>656</v>
      </c>
      <c r="C5411" t="s">
        <v>657</v>
      </c>
    </row>
    <row r="5412" spans="2:3" x14ac:dyDescent="0.35">
      <c r="B5412" t="s">
        <v>575</v>
      </c>
      <c r="C5412" t="s">
        <v>576</v>
      </c>
    </row>
    <row r="5413" spans="2:3" x14ac:dyDescent="0.35">
      <c r="B5413" t="s">
        <v>202</v>
      </c>
      <c r="C5413" t="s">
        <v>203</v>
      </c>
    </row>
    <row r="5414" spans="2:3" x14ac:dyDescent="0.35">
      <c r="B5414" t="s">
        <v>295</v>
      </c>
      <c r="C5414" t="s">
        <v>296</v>
      </c>
    </row>
    <row r="5415" spans="2:3" x14ac:dyDescent="0.35">
      <c r="B5415" t="s">
        <v>787</v>
      </c>
      <c r="C5415" t="s">
        <v>788</v>
      </c>
    </row>
    <row r="5416" spans="2:3" x14ac:dyDescent="0.35">
      <c r="B5416" t="s">
        <v>787</v>
      </c>
      <c r="C5416" t="s">
        <v>788</v>
      </c>
    </row>
    <row r="5417" spans="2:3" x14ac:dyDescent="0.35">
      <c r="B5417" t="s">
        <v>640</v>
      </c>
      <c r="C5417" t="s">
        <v>641</v>
      </c>
    </row>
    <row r="5418" spans="2:3" x14ac:dyDescent="0.35">
      <c r="B5418" t="s">
        <v>260</v>
      </c>
      <c r="C5418" t="s">
        <v>261</v>
      </c>
    </row>
    <row r="5419" spans="2:3" x14ac:dyDescent="0.35">
      <c r="B5419" t="s">
        <v>537</v>
      </c>
      <c r="C5419" t="s">
        <v>538</v>
      </c>
    </row>
    <row r="5420" spans="2:3" x14ac:dyDescent="0.35">
      <c r="B5420" t="s">
        <v>297</v>
      </c>
      <c r="C5420" t="s">
        <v>298</v>
      </c>
    </row>
    <row r="5421" spans="2:3" x14ac:dyDescent="0.35">
      <c r="B5421" t="s">
        <v>787</v>
      </c>
      <c r="C5421" t="s">
        <v>788</v>
      </c>
    </row>
    <row r="5422" spans="2:3" x14ac:dyDescent="0.35">
      <c r="B5422" t="s">
        <v>200</v>
      </c>
      <c r="C5422" t="s">
        <v>201</v>
      </c>
    </row>
    <row r="5423" spans="2:3" x14ac:dyDescent="0.35">
      <c r="B5423" t="s">
        <v>128</v>
      </c>
      <c r="C5423" t="s">
        <v>129</v>
      </c>
    </row>
    <row r="5424" spans="2:3" x14ac:dyDescent="0.35">
      <c r="B5424" t="s">
        <v>178</v>
      </c>
      <c r="C5424" t="s">
        <v>179</v>
      </c>
    </row>
    <row r="5425" spans="2:3" x14ac:dyDescent="0.35">
      <c r="B5425" t="s">
        <v>393</v>
      </c>
      <c r="C5425" t="s">
        <v>394</v>
      </c>
    </row>
    <row r="5426" spans="2:3" x14ac:dyDescent="0.35">
      <c r="B5426" t="s">
        <v>664</v>
      </c>
      <c r="C5426" t="s">
        <v>665</v>
      </c>
    </row>
    <row r="5427" spans="2:3" x14ac:dyDescent="0.35">
      <c r="B5427" t="s">
        <v>662</v>
      </c>
      <c r="C5427" t="s">
        <v>663</v>
      </c>
    </row>
    <row r="5428" spans="2:3" x14ac:dyDescent="0.35">
      <c r="B5428" t="s">
        <v>638</v>
      </c>
      <c r="C5428" t="s">
        <v>639</v>
      </c>
    </row>
    <row r="5429" spans="2:3" x14ac:dyDescent="0.35">
      <c r="B5429" t="s">
        <v>64</v>
      </c>
      <c r="C5429" t="s">
        <v>65</v>
      </c>
    </row>
    <row r="5430" spans="2:3" x14ac:dyDescent="0.35">
      <c r="B5430" t="s">
        <v>457</v>
      </c>
      <c r="C5430" t="s">
        <v>458</v>
      </c>
    </row>
    <row r="5431" spans="2:3" x14ac:dyDescent="0.35">
      <c r="B5431" t="s">
        <v>537</v>
      </c>
      <c r="C5431" t="s">
        <v>538</v>
      </c>
    </row>
    <row r="5432" spans="2:3" x14ac:dyDescent="0.35">
      <c r="B5432" t="s">
        <v>543</v>
      </c>
      <c r="C5432" t="s">
        <v>544</v>
      </c>
    </row>
    <row r="5433" spans="2:3" x14ac:dyDescent="0.35">
      <c r="B5433" t="s">
        <v>322</v>
      </c>
      <c r="C5433" t="s">
        <v>323</v>
      </c>
    </row>
    <row r="5434" spans="2:3" x14ac:dyDescent="0.35">
      <c r="B5434" t="s">
        <v>232</v>
      </c>
      <c r="C5434" t="s">
        <v>233</v>
      </c>
    </row>
    <row r="5435" spans="2:3" x14ac:dyDescent="0.35">
      <c r="B5435" t="s">
        <v>787</v>
      </c>
      <c r="C5435" t="s">
        <v>788</v>
      </c>
    </row>
    <row r="5436" spans="2:3" x14ac:dyDescent="0.35">
      <c r="B5436" t="s">
        <v>198</v>
      </c>
      <c r="C5436" t="s">
        <v>199</v>
      </c>
    </row>
    <row r="5437" spans="2:3" x14ac:dyDescent="0.35">
      <c r="B5437" t="s">
        <v>1079</v>
      </c>
      <c r="C5437" t="s">
        <v>1080</v>
      </c>
    </row>
    <row r="5438" spans="2:3" x14ac:dyDescent="0.35">
      <c r="B5438" t="s">
        <v>350</v>
      </c>
      <c r="C5438" t="s">
        <v>351</v>
      </c>
    </row>
    <row r="5439" spans="2:3" x14ac:dyDescent="0.35">
      <c r="B5439" t="s">
        <v>219</v>
      </c>
      <c r="C5439" t="s">
        <v>220</v>
      </c>
    </row>
    <row r="5440" spans="2:3" x14ac:dyDescent="0.35">
      <c r="B5440" t="s">
        <v>674</v>
      </c>
      <c r="C5440" t="s">
        <v>675</v>
      </c>
    </row>
    <row r="5441" spans="2:3" x14ac:dyDescent="0.35">
      <c r="B5441" t="s">
        <v>624</v>
      </c>
      <c r="C5441" t="s">
        <v>625</v>
      </c>
    </row>
    <row r="5442" spans="2:3" x14ac:dyDescent="0.35">
      <c r="B5442" t="s">
        <v>517</v>
      </c>
      <c r="C5442" t="s">
        <v>518</v>
      </c>
    </row>
    <row r="5443" spans="2:3" x14ac:dyDescent="0.35">
      <c r="B5443" t="s">
        <v>787</v>
      </c>
      <c r="C5443" t="s">
        <v>788</v>
      </c>
    </row>
    <row r="5444" spans="2:3" x14ac:dyDescent="0.35">
      <c r="B5444" t="s">
        <v>787</v>
      </c>
      <c r="C5444" t="s">
        <v>788</v>
      </c>
    </row>
    <row r="5445" spans="2:3" x14ac:dyDescent="0.35">
      <c r="B5445" t="s">
        <v>531</v>
      </c>
      <c r="C5445" t="s">
        <v>532</v>
      </c>
    </row>
    <row r="5446" spans="2:3" x14ac:dyDescent="0.35">
      <c r="B5446" t="s">
        <v>163</v>
      </c>
      <c r="C5446" t="s">
        <v>164</v>
      </c>
    </row>
    <row r="5447" spans="2:3" x14ac:dyDescent="0.35">
      <c r="B5447" t="s">
        <v>874</v>
      </c>
      <c r="C5447" t="s">
        <v>875</v>
      </c>
    </row>
    <row r="5448" spans="2:3" x14ac:dyDescent="0.35">
      <c r="B5448" t="s">
        <v>1061</v>
      </c>
      <c r="C5448" t="s">
        <v>1062</v>
      </c>
    </row>
    <row r="5449" spans="2:3" x14ac:dyDescent="0.35">
      <c r="B5449" t="s">
        <v>90</v>
      </c>
      <c r="C5449" t="s">
        <v>91</v>
      </c>
    </row>
    <row r="5450" spans="2:3" x14ac:dyDescent="0.35">
      <c r="B5450" t="s">
        <v>787</v>
      </c>
      <c r="C5450" t="s">
        <v>788</v>
      </c>
    </row>
    <row r="5451" spans="2:3" x14ac:dyDescent="0.35">
      <c r="B5451" t="s">
        <v>453</v>
      </c>
      <c r="C5451" t="s">
        <v>454</v>
      </c>
    </row>
    <row r="5452" spans="2:3" x14ac:dyDescent="0.35">
      <c r="B5452" t="s">
        <v>110</v>
      </c>
      <c r="C5452" t="s">
        <v>111</v>
      </c>
    </row>
    <row r="5453" spans="2:3" x14ac:dyDescent="0.35">
      <c r="B5453" t="s">
        <v>90</v>
      </c>
      <c r="C5453" t="s">
        <v>91</v>
      </c>
    </row>
    <row r="5454" spans="2:3" x14ac:dyDescent="0.35">
      <c r="B5454" t="s">
        <v>787</v>
      </c>
      <c r="C5454" t="s">
        <v>788</v>
      </c>
    </row>
    <row r="5455" spans="2:3" x14ac:dyDescent="0.35">
      <c r="B5455" t="s">
        <v>787</v>
      </c>
      <c r="C5455" t="s">
        <v>788</v>
      </c>
    </row>
    <row r="5456" spans="2:3" x14ac:dyDescent="0.35">
      <c r="B5456" t="s">
        <v>612</v>
      </c>
      <c r="C5456" t="s">
        <v>613</v>
      </c>
    </row>
    <row r="5457" spans="2:3" x14ac:dyDescent="0.35">
      <c r="B5457" t="s">
        <v>202</v>
      </c>
      <c r="C5457" t="s">
        <v>203</v>
      </c>
    </row>
    <row r="5458" spans="2:3" x14ac:dyDescent="0.35">
      <c r="B5458" t="s">
        <v>202</v>
      </c>
      <c r="C5458" t="s">
        <v>203</v>
      </c>
    </row>
    <row r="5459" spans="2:3" x14ac:dyDescent="0.35">
      <c r="B5459" t="s">
        <v>105</v>
      </c>
      <c r="C5459" t="s">
        <v>106</v>
      </c>
    </row>
    <row r="5460" spans="2:3" x14ac:dyDescent="0.35">
      <c r="B5460" t="s">
        <v>559</v>
      </c>
      <c r="C5460" t="s">
        <v>560</v>
      </c>
    </row>
    <row r="5461" spans="2:3" x14ac:dyDescent="0.35">
      <c r="B5461" t="s">
        <v>447</v>
      </c>
      <c r="C5461" t="s">
        <v>448</v>
      </c>
    </row>
    <row r="5462" spans="2:3" x14ac:dyDescent="0.35">
      <c r="B5462" t="s">
        <v>870</v>
      </c>
      <c r="C5462" t="s">
        <v>871</v>
      </c>
    </row>
    <row r="5463" spans="2:3" x14ac:dyDescent="0.35">
      <c r="B5463" t="s">
        <v>787</v>
      </c>
      <c r="C5463" t="s">
        <v>788</v>
      </c>
    </row>
    <row r="5464" spans="2:3" x14ac:dyDescent="0.35">
      <c r="B5464" t="s">
        <v>543</v>
      </c>
      <c r="C5464" t="s">
        <v>544</v>
      </c>
    </row>
    <row r="5465" spans="2:3" x14ac:dyDescent="0.35">
      <c r="B5465" t="s">
        <v>499</v>
      </c>
      <c r="C5465" t="s">
        <v>500</v>
      </c>
    </row>
    <row r="5466" spans="2:3" x14ac:dyDescent="0.35">
      <c r="B5466" t="s">
        <v>163</v>
      </c>
      <c r="C5466" t="s">
        <v>164</v>
      </c>
    </row>
    <row r="5467" spans="2:3" x14ac:dyDescent="0.35">
      <c r="B5467" t="s">
        <v>176</v>
      </c>
      <c r="C5467" t="s">
        <v>177</v>
      </c>
    </row>
    <row r="5468" spans="2:3" x14ac:dyDescent="0.35">
      <c r="B5468" t="s">
        <v>700</v>
      </c>
      <c r="C5468" t="s">
        <v>701</v>
      </c>
    </row>
    <row r="5469" spans="2:3" x14ac:dyDescent="0.35">
      <c r="B5469" t="s">
        <v>662</v>
      </c>
      <c r="C5469" t="s">
        <v>663</v>
      </c>
    </row>
    <row r="5470" spans="2:3" x14ac:dyDescent="0.35">
      <c r="B5470" t="s">
        <v>350</v>
      </c>
      <c r="C5470" t="s">
        <v>351</v>
      </c>
    </row>
    <row r="5471" spans="2:3" x14ac:dyDescent="0.35">
      <c r="B5471" t="s">
        <v>874</v>
      </c>
      <c r="C5471" t="s">
        <v>875</v>
      </c>
    </row>
    <row r="5472" spans="2:3" x14ac:dyDescent="0.35">
      <c r="B5472" t="s">
        <v>306</v>
      </c>
      <c r="C5472" t="s">
        <v>307</v>
      </c>
    </row>
    <row r="5473" spans="2:3" x14ac:dyDescent="0.35">
      <c r="B5473" t="s">
        <v>163</v>
      </c>
      <c r="C5473" t="s">
        <v>164</v>
      </c>
    </row>
    <row r="5474" spans="2:3" x14ac:dyDescent="0.35">
      <c r="B5474" t="s">
        <v>1195</v>
      </c>
      <c r="C5474" t="s">
        <v>1195</v>
      </c>
    </row>
    <row r="5475" spans="2:3" x14ac:dyDescent="0.35">
      <c r="B5475" t="s">
        <v>640</v>
      </c>
      <c r="C5475" t="s">
        <v>641</v>
      </c>
    </row>
    <row r="5476" spans="2:3" x14ac:dyDescent="0.35">
      <c r="B5476" t="s">
        <v>163</v>
      </c>
      <c r="C5476" t="s">
        <v>164</v>
      </c>
    </row>
    <row r="5477" spans="2:3" x14ac:dyDescent="0.35">
      <c r="B5477" t="s">
        <v>868</v>
      </c>
      <c r="C5477" t="s">
        <v>869</v>
      </c>
    </row>
    <row r="5478" spans="2:3" x14ac:dyDescent="0.35">
      <c r="B5478" t="s">
        <v>1195</v>
      </c>
      <c r="C5478" t="s">
        <v>1195</v>
      </c>
    </row>
    <row r="5479" spans="2:3" x14ac:dyDescent="0.35">
      <c r="B5479" t="s">
        <v>260</v>
      </c>
      <c r="C5479" t="s">
        <v>261</v>
      </c>
    </row>
    <row r="5480" spans="2:3" x14ac:dyDescent="0.35">
      <c r="B5480" t="s">
        <v>545</v>
      </c>
      <c r="C5480" t="s">
        <v>546</v>
      </c>
    </row>
    <row r="5481" spans="2:3" x14ac:dyDescent="0.35">
      <c r="B5481" t="s">
        <v>787</v>
      </c>
      <c r="C5481" t="s">
        <v>788</v>
      </c>
    </row>
    <row r="5482" spans="2:3" x14ac:dyDescent="0.35">
      <c r="B5482" t="s">
        <v>694</v>
      </c>
      <c r="C5482" t="s">
        <v>695</v>
      </c>
    </row>
    <row r="5483" spans="2:3" x14ac:dyDescent="0.35">
      <c r="B5483" t="s">
        <v>703</v>
      </c>
      <c r="C5483" t="s">
        <v>704</v>
      </c>
    </row>
    <row r="5484" spans="2:3" x14ac:dyDescent="0.35">
      <c r="B5484" t="s">
        <v>573</v>
      </c>
      <c r="C5484" t="s">
        <v>574</v>
      </c>
    </row>
    <row r="5485" spans="2:3" x14ac:dyDescent="0.35">
      <c r="B5485" t="s">
        <v>254</v>
      </c>
      <c r="C5485" t="s">
        <v>255</v>
      </c>
    </row>
    <row r="5486" spans="2:3" x14ac:dyDescent="0.35">
      <c r="B5486" t="s">
        <v>656</v>
      </c>
      <c r="C5486" t="s">
        <v>657</v>
      </c>
    </row>
    <row r="5487" spans="2:3" x14ac:dyDescent="0.35">
      <c r="B5487" t="s">
        <v>950</v>
      </c>
      <c r="C5487" t="s">
        <v>951</v>
      </c>
    </row>
    <row r="5488" spans="2:3" x14ac:dyDescent="0.35">
      <c r="B5488" t="s">
        <v>64</v>
      </c>
      <c r="C5488" t="s">
        <v>65</v>
      </c>
    </row>
    <row r="5489" spans="2:3" x14ac:dyDescent="0.35">
      <c r="B5489" t="s">
        <v>479</v>
      </c>
      <c r="C5489" t="s">
        <v>480</v>
      </c>
    </row>
    <row r="5490" spans="2:3" x14ac:dyDescent="0.35">
      <c r="B5490" t="s">
        <v>859</v>
      </c>
      <c r="C5490" t="s">
        <v>860</v>
      </c>
    </row>
    <row r="5491" spans="2:3" x14ac:dyDescent="0.35">
      <c r="B5491" t="s">
        <v>1195</v>
      </c>
      <c r="C5491" t="s">
        <v>1195</v>
      </c>
    </row>
    <row r="5492" spans="2:3" x14ac:dyDescent="0.35">
      <c r="B5492" t="s">
        <v>642</v>
      </c>
      <c r="C5492" t="s">
        <v>643</v>
      </c>
    </row>
    <row r="5493" spans="2:3" x14ac:dyDescent="0.35">
      <c r="B5493" t="s">
        <v>787</v>
      </c>
      <c r="C5493" t="s">
        <v>788</v>
      </c>
    </row>
    <row r="5494" spans="2:3" x14ac:dyDescent="0.35">
      <c r="B5494" t="s">
        <v>963</v>
      </c>
      <c r="C5494" t="s">
        <v>964</v>
      </c>
    </row>
    <row r="5495" spans="2:3" x14ac:dyDescent="0.35">
      <c r="B5495" t="s">
        <v>963</v>
      </c>
      <c r="C5495" t="s">
        <v>964</v>
      </c>
    </row>
    <row r="5496" spans="2:3" x14ac:dyDescent="0.35">
      <c r="B5496" t="s">
        <v>537</v>
      </c>
      <c r="C5496" t="s">
        <v>538</v>
      </c>
    </row>
    <row r="5497" spans="2:3" x14ac:dyDescent="0.35">
      <c r="B5497" t="s">
        <v>543</v>
      </c>
      <c r="C5497" t="s">
        <v>544</v>
      </c>
    </row>
    <row r="5498" spans="2:3" x14ac:dyDescent="0.35">
      <c r="B5498" t="s">
        <v>529</v>
      </c>
      <c r="C5498" t="s">
        <v>530</v>
      </c>
    </row>
    <row r="5499" spans="2:3" x14ac:dyDescent="0.35">
      <c r="B5499" t="s">
        <v>537</v>
      </c>
      <c r="C5499" t="s">
        <v>538</v>
      </c>
    </row>
    <row r="5500" spans="2:3" x14ac:dyDescent="0.35">
      <c r="B5500" t="s">
        <v>447</v>
      </c>
      <c r="C5500" t="s">
        <v>448</v>
      </c>
    </row>
    <row r="5501" spans="2:3" x14ac:dyDescent="0.35">
      <c r="B5501" t="s">
        <v>487</v>
      </c>
      <c r="C5501" t="s">
        <v>488</v>
      </c>
    </row>
    <row r="5502" spans="2:3" x14ac:dyDescent="0.35">
      <c r="B5502" t="s">
        <v>252</v>
      </c>
      <c r="C5502" t="s">
        <v>253</v>
      </c>
    </row>
    <row r="5503" spans="2:3" x14ac:dyDescent="0.35">
      <c r="B5503" t="s">
        <v>202</v>
      </c>
      <c r="C5503" t="s">
        <v>203</v>
      </c>
    </row>
    <row r="5504" spans="2:3" x14ac:dyDescent="0.35">
      <c r="B5504" t="s">
        <v>254</v>
      </c>
      <c r="C5504" t="s">
        <v>255</v>
      </c>
    </row>
    <row r="5505" spans="2:3" x14ac:dyDescent="0.35">
      <c r="B5505" t="s">
        <v>692</v>
      </c>
      <c r="C5505" t="s">
        <v>693</v>
      </c>
    </row>
    <row r="5506" spans="2:3" x14ac:dyDescent="0.35">
      <c r="B5506" t="s">
        <v>393</v>
      </c>
      <c r="C5506" t="s">
        <v>394</v>
      </c>
    </row>
    <row r="5507" spans="2:3" x14ac:dyDescent="0.35">
      <c r="B5507" t="s">
        <v>287</v>
      </c>
      <c r="C5507" t="s">
        <v>288</v>
      </c>
    </row>
    <row r="5508" spans="2:3" x14ac:dyDescent="0.35">
      <c r="B5508" t="s">
        <v>295</v>
      </c>
      <c r="C5508" t="s">
        <v>296</v>
      </c>
    </row>
    <row r="5509" spans="2:3" x14ac:dyDescent="0.35">
      <c r="B5509" t="s">
        <v>503</v>
      </c>
      <c r="C5509" t="s">
        <v>504</v>
      </c>
    </row>
    <row r="5510" spans="2:3" x14ac:dyDescent="0.35">
      <c r="B5510" t="s">
        <v>1195</v>
      </c>
      <c r="C5510" t="s">
        <v>1195</v>
      </c>
    </row>
    <row r="5511" spans="2:3" x14ac:dyDescent="0.35">
      <c r="B5511" t="s">
        <v>1195</v>
      </c>
      <c r="C5511" t="s">
        <v>1195</v>
      </c>
    </row>
    <row r="5512" spans="2:3" x14ac:dyDescent="0.35">
      <c r="B5512" t="s">
        <v>874</v>
      </c>
      <c r="C5512" t="s">
        <v>875</v>
      </c>
    </row>
    <row r="5513" spans="2:3" x14ac:dyDescent="0.35">
      <c r="B5513" t="s">
        <v>122</v>
      </c>
      <c r="C5513" t="s">
        <v>123</v>
      </c>
    </row>
    <row r="5514" spans="2:3" x14ac:dyDescent="0.35">
      <c r="B5514" t="s">
        <v>344</v>
      </c>
      <c r="C5514" t="s">
        <v>345</v>
      </c>
    </row>
    <row r="5515" spans="2:3" x14ac:dyDescent="0.35">
      <c r="B5515" t="s">
        <v>1195</v>
      </c>
      <c r="C5515" t="s">
        <v>1195</v>
      </c>
    </row>
    <row r="5516" spans="2:3" x14ac:dyDescent="0.35">
      <c r="B5516" t="s">
        <v>577</v>
      </c>
      <c r="C5516" t="s">
        <v>578</v>
      </c>
    </row>
    <row r="5517" spans="2:3" x14ac:dyDescent="0.35">
      <c r="B5517" t="s">
        <v>485</v>
      </c>
      <c r="C5517" t="s">
        <v>486</v>
      </c>
    </row>
    <row r="5518" spans="2:3" x14ac:dyDescent="0.35">
      <c r="B5518" t="s">
        <v>416</v>
      </c>
      <c r="C5518" t="s">
        <v>417</v>
      </c>
    </row>
    <row r="5519" spans="2:3" x14ac:dyDescent="0.35">
      <c r="B5519" t="s">
        <v>178</v>
      </c>
      <c r="C5519" t="s">
        <v>179</v>
      </c>
    </row>
    <row r="5520" spans="2:3" x14ac:dyDescent="0.35">
      <c r="B5520" t="s">
        <v>230</v>
      </c>
      <c r="C5520" t="s">
        <v>231</v>
      </c>
    </row>
    <row r="5521" spans="2:3" x14ac:dyDescent="0.35">
      <c r="B5521" t="s">
        <v>658</v>
      </c>
      <c r="C5521" t="s">
        <v>659</v>
      </c>
    </row>
    <row r="5522" spans="2:3" x14ac:dyDescent="0.35">
      <c r="B5522" t="s">
        <v>1061</v>
      </c>
      <c r="C5522" t="s">
        <v>1062</v>
      </c>
    </row>
    <row r="5523" spans="2:3" x14ac:dyDescent="0.35">
      <c r="B5523" t="s">
        <v>553</v>
      </c>
      <c r="C5523" t="s">
        <v>554</v>
      </c>
    </row>
    <row r="5524" spans="2:3" x14ac:dyDescent="0.35">
      <c r="B5524" t="s">
        <v>545</v>
      </c>
      <c r="C5524" t="s">
        <v>546</v>
      </c>
    </row>
    <row r="5525" spans="2:3" x14ac:dyDescent="0.35">
      <c r="B5525" t="s">
        <v>642</v>
      </c>
      <c r="C5525" t="s">
        <v>643</v>
      </c>
    </row>
    <row r="5526" spans="2:3" x14ac:dyDescent="0.35">
      <c r="B5526" t="s">
        <v>523</v>
      </c>
      <c r="C5526" t="s">
        <v>524</v>
      </c>
    </row>
    <row r="5527" spans="2:3" x14ac:dyDescent="0.35">
      <c r="B5527" t="s">
        <v>868</v>
      </c>
      <c r="C5527" t="s">
        <v>869</v>
      </c>
    </row>
    <row r="5528" spans="2:3" x14ac:dyDescent="0.35">
      <c r="B5528" t="s">
        <v>787</v>
      </c>
      <c r="C5528" t="s">
        <v>788</v>
      </c>
    </row>
    <row r="5529" spans="2:3" x14ac:dyDescent="0.35">
      <c r="B5529" t="s">
        <v>1195</v>
      </c>
      <c r="C5529" t="s">
        <v>1195</v>
      </c>
    </row>
    <row r="5530" spans="2:3" x14ac:dyDescent="0.35">
      <c r="B5530" t="s">
        <v>350</v>
      </c>
      <c r="C5530" t="s">
        <v>351</v>
      </c>
    </row>
    <row r="5531" spans="2:3" x14ac:dyDescent="0.35">
      <c r="B5531" t="s">
        <v>58</v>
      </c>
      <c r="C5531" t="s">
        <v>59</v>
      </c>
    </row>
    <row r="5532" spans="2:3" x14ac:dyDescent="0.35">
      <c r="B5532" t="s">
        <v>787</v>
      </c>
      <c r="C5532" t="s">
        <v>788</v>
      </c>
    </row>
    <row r="5533" spans="2:3" x14ac:dyDescent="0.35">
      <c r="B5533" t="s">
        <v>1195</v>
      </c>
      <c r="C5533" t="s">
        <v>1195</v>
      </c>
    </row>
    <row r="5534" spans="2:3" x14ac:dyDescent="0.35">
      <c r="B5534" t="s">
        <v>593</v>
      </c>
      <c r="C5534" t="s">
        <v>594</v>
      </c>
    </row>
    <row r="5535" spans="2:3" x14ac:dyDescent="0.35">
      <c r="B5535" t="s">
        <v>208</v>
      </c>
      <c r="C5535" t="s">
        <v>209</v>
      </c>
    </row>
    <row r="5536" spans="2:3" x14ac:dyDescent="0.35">
      <c r="B5536" t="s">
        <v>384</v>
      </c>
      <c r="C5536" t="s">
        <v>385</v>
      </c>
    </row>
    <row r="5537" spans="2:3" x14ac:dyDescent="0.35">
      <c r="B5537" t="s">
        <v>662</v>
      </c>
      <c r="C5537" t="s">
        <v>663</v>
      </c>
    </row>
    <row r="5538" spans="2:3" x14ac:dyDescent="0.35">
      <c r="B5538" t="s">
        <v>577</v>
      </c>
      <c r="C5538" t="s">
        <v>578</v>
      </c>
    </row>
    <row r="5539" spans="2:3" x14ac:dyDescent="0.35">
      <c r="B5539" t="s">
        <v>559</v>
      </c>
      <c r="C5539" t="s">
        <v>560</v>
      </c>
    </row>
    <row r="5540" spans="2:3" x14ac:dyDescent="0.35">
      <c r="B5540" t="s">
        <v>787</v>
      </c>
      <c r="C5540" t="s">
        <v>788</v>
      </c>
    </row>
    <row r="5541" spans="2:3" x14ac:dyDescent="0.35">
      <c r="B5541" t="s">
        <v>662</v>
      </c>
      <c r="C5541" t="s">
        <v>663</v>
      </c>
    </row>
    <row r="5542" spans="2:3" x14ac:dyDescent="0.35">
      <c r="B5542" t="s">
        <v>254</v>
      </c>
      <c r="C5542" t="s">
        <v>255</v>
      </c>
    </row>
    <row r="5543" spans="2:3" x14ac:dyDescent="0.35">
      <c r="B5543" t="s">
        <v>72</v>
      </c>
      <c r="C5543" t="s">
        <v>73</v>
      </c>
    </row>
    <row r="5544" spans="2:3" x14ac:dyDescent="0.35">
      <c r="B5544" t="s">
        <v>662</v>
      </c>
      <c r="C5544" t="s">
        <v>663</v>
      </c>
    </row>
    <row r="5545" spans="2:3" x14ac:dyDescent="0.35">
      <c r="B5545" t="s">
        <v>557</v>
      </c>
      <c r="C5545" t="s">
        <v>558</v>
      </c>
    </row>
    <row r="5546" spans="2:3" x14ac:dyDescent="0.35">
      <c r="B5546" t="s">
        <v>787</v>
      </c>
      <c r="C5546" t="s">
        <v>788</v>
      </c>
    </row>
    <row r="5547" spans="2:3" x14ac:dyDescent="0.35">
      <c r="B5547" t="s">
        <v>58</v>
      </c>
      <c r="C5547" t="s">
        <v>59</v>
      </c>
    </row>
    <row r="5548" spans="2:3" x14ac:dyDescent="0.35">
      <c r="B5548" t="s">
        <v>545</v>
      </c>
      <c r="C5548" t="s">
        <v>546</v>
      </c>
    </row>
    <row r="5549" spans="2:3" x14ac:dyDescent="0.35">
      <c r="B5549" t="s">
        <v>1195</v>
      </c>
      <c r="C5549" t="s">
        <v>1195</v>
      </c>
    </row>
    <row r="5550" spans="2:3" x14ac:dyDescent="0.35">
      <c r="B5550" t="s">
        <v>545</v>
      </c>
      <c r="C5550" t="s">
        <v>546</v>
      </c>
    </row>
    <row r="5551" spans="2:3" x14ac:dyDescent="0.35">
      <c r="B5551" t="s">
        <v>640</v>
      </c>
      <c r="C5551" t="s">
        <v>641</v>
      </c>
    </row>
    <row r="5552" spans="2:3" x14ac:dyDescent="0.35">
      <c r="B5552" t="s">
        <v>561</v>
      </c>
      <c r="C5552" t="s">
        <v>562</v>
      </c>
    </row>
    <row r="5553" spans="2:3" x14ac:dyDescent="0.35">
      <c r="B5553" t="s">
        <v>537</v>
      </c>
      <c r="C5553" t="s">
        <v>538</v>
      </c>
    </row>
    <row r="5554" spans="2:3" x14ac:dyDescent="0.35">
      <c r="B5554" t="s">
        <v>384</v>
      </c>
      <c r="C5554" t="s">
        <v>385</v>
      </c>
    </row>
    <row r="5555" spans="2:3" x14ac:dyDescent="0.35">
      <c r="B5555" t="s">
        <v>122</v>
      </c>
      <c r="C5555" t="s">
        <v>123</v>
      </c>
    </row>
    <row r="5556" spans="2:3" x14ac:dyDescent="0.35">
      <c r="B5556" t="s">
        <v>202</v>
      </c>
      <c r="C5556" t="s">
        <v>203</v>
      </c>
    </row>
    <row r="5557" spans="2:3" x14ac:dyDescent="0.35">
      <c r="B5557" t="s">
        <v>517</v>
      </c>
      <c r="C5557" t="s">
        <v>518</v>
      </c>
    </row>
    <row r="5558" spans="2:3" x14ac:dyDescent="0.35">
      <c r="B5558" t="s">
        <v>674</v>
      </c>
      <c r="C5558" t="s">
        <v>675</v>
      </c>
    </row>
    <row r="5559" spans="2:3" x14ac:dyDescent="0.35">
      <c r="B5559" t="s">
        <v>404</v>
      </c>
      <c r="C5559" t="s">
        <v>405</v>
      </c>
    </row>
    <row r="5560" spans="2:3" x14ac:dyDescent="0.35">
      <c r="B5560" t="s">
        <v>571</v>
      </c>
      <c r="C5560" t="s">
        <v>572</v>
      </c>
    </row>
    <row r="5561" spans="2:3" x14ac:dyDescent="0.35">
      <c r="B5561" t="s">
        <v>467</v>
      </c>
      <c r="C5561" t="s">
        <v>468</v>
      </c>
    </row>
    <row r="5562" spans="2:3" x14ac:dyDescent="0.35">
      <c r="B5562" t="s">
        <v>1061</v>
      </c>
      <c r="C5562" t="s">
        <v>1062</v>
      </c>
    </row>
    <row r="5563" spans="2:3" x14ac:dyDescent="0.35">
      <c r="B5563" t="s">
        <v>393</v>
      </c>
      <c r="C5563" t="s">
        <v>394</v>
      </c>
    </row>
    <row r="5564" spans="2:3" x14ac:dyDescent="0.35">
      <c r="B5564" t="s">
        <v>872</v>
      </c>
      <c r="C5564" t="s">
        <v>873</v>
      </c>
    </row>
    <row r="5565" spans="2:3" x14ac:dyDescent="0.35">
      <c r="B5565" t="s">
        <v>648</v>
      </c>
      <c r="C5565" t="s">
        <v>649</v>
      </c>
    </row>
    <row r="5566" spans="2:3" x14ac:dyDescent="0.35">
      <c r="B5566" t="s">
        <v>1195</v>
      </c>
      <c r="C5566" t="s">
        <v>1195</v>
      </c>
    </row>
    <row r="5567" spans="2:3" x14ac:dyDescent="0.35">
      <c r="B5567" t="s">
        <v>618</v>
      </c>
      <c r="C5567" t="s">
        <v>619</v>
      </c>
    </row>
    <row r="5568" spans="2:3" x14ac:dyDescent="0.35">
      <c r="B5568" t="s">
        <v>523</v>
      </c>
      <c r="C5568" t="s">
        <v>524</v>
      </c>
    </row>
    <row r="5569" spans="2:3" x14ac:dyDescent="0.35">
      <c r="B5569" t="s">
        <v>543</v>
      </c>
      <c r="C5569" t="s">
        <v>544</v>
      </c>
    </row>
    <row r="5570" spans="2:3" x14ac:dyDescent="0.35">
      <c r="B5570" t="s">
        <v>640</v>
      </c>
      <c r="C5570" t="s">
        <v>641</v>
      </c>
    </row>
    <row r="5571" spans="2:3" x14ac:dyDescent="0.35">
      <c r="B5571" t="s">
        <v>648</v>
      </c>
      <c r="C5571" t="s">
        <v>649</v>
      </c>
    </row>
    <row r="5572" spans="2:3" x14ac:dyDescent="0.35">
      <c r="B5572" t="s">
        <v>322</v>
      </c>
      <c r="C5572" t="s">
        <v>323</v>
      </c>
    </row>
    <row r="5573" spans="2:3" x14ac:dyDescent="0.35">
      <c r="B5573" t="s">
        <v>804</v>
      </c>
      <c r="C5573" t="s">
        <v>805</v>
      </c>
    </row>
    <row r="5574" spans="2:3" x14ac:dyDescent="0.35">
      <c r="B5574" t="s">
        <v>804</v>
      </c>
      <c r="C5574" t="s">
        <v>805</v>
      </c>
    </row>
    <row r="5575" spans="2:3" x14ac:dyDescent="0.35">
      <c r="B5575" t="s">
        <v>638</v>
      </c>
      <c r="C5575" t="s">
        <v>639</v>
      </c>
    </row>
    <row r="5576" spans="2:3" x14ac:dyDescent="0.35">
      <c r="B5576" t="s">
        <v>434</v>
      </c>
      <c r="C5576" t="s">
        <v>435</v>
      </c>
    </row>
    <row r="5577" spans="2:3" x14ac:dyDescent="0.35">
      <c r="B5577" t="s">
        <v>656</v>
      </c>
      <c r="C5577" t="s">
        <v>657</v>
      </c>
    </row>
    <row r="5578" spans="2:3" x14ac:dyDescent="0.35">
      <c r="B5578" t="s">
        <v>128</v>
      </c>
      <c r="C5578" t="s">
        <v>129</v>
      </c>
    </row>
    <row r="5579" spans="2:3" x14ac:dyDescent="0.35">
      <c r="B5579" t="s">
        <v>787</v>
      </c>
      <c r="C5579" t="s">
        <v>788</v>
      </c>
    </row>
    <row r="5580" spans="2:3" x14ac:dyDescent="0.35">
      <c r="B5580" t="s">
        <v>1195</v>
      </c>
      <c r="C5580" t="s">
        <v>1195</v>
      </c>
    </row>
    <row r="5581" spans="2:3" x14ac:dyDescent="0.35">
      <c r="B5581" t="s">
        <v>230</v>
      </c>
      <c r="C5581" t="s">
        <v>231</v>
      </c>
    </row>
    <row r="5582" spans="2:3" x14ac:dyDescent="0.35">
      <c r="B5582" t="s">
        <v>656</v>
      </c>
      <c r="C5582" t="s">
        <v>657</v>
      </c>
    </row>
    <row r="5583" spans="2:3" x14ac:dyDescent="0.35">
      <c r="B5583" t="s">
        <v>700</v>
      </c>
      <c r="C5583" t="s">
        <v>701</v>
      </c>
    </row>
    <row r="5584" spans="2:3" x14ac:dyDescent="0.35">
      <c r="B5584" t="s">
        <v>650</v>
      </c>
      <c r="C5584" t="s">
        <v>651</v>
      </c>
    </row>
    <row r="5585" spans="2:3" x14ac:dyDescent="0.35">
      <c r="B5585" t="s">
        <v>1195</v>
      </c>
      <c r="C5585" t="s">
        <v>1195</v>
      </c>
    </row>
    <row r="5586" spans="2:3" x14ac:dyDescent="0.35">
      <c r="B5586" t="s">
        <v>378</v>
      </c>
      <c r="C5586" t="s">
        <v>379</v>
      </c>
    </row>
    <row r="5587" spans="2:3" x14ac:dyDescent="0.35">
      <c r="B5587" t="s">
        <v>545</v>
      </c>
      <c r="C5587" t="s">
        <v>546</v>
      </c>
    </row>
    <row r="5588" spans="2:3" x14ac:dyDescent="0.35">
      <c r="B5588" t="s">
        <v>260</v>
      </c>
      <c r="C5588" t="s">
        <v>261</v>
      </c>
    </row>
    <row r="5589" spans="2:3" x14ac:dyDescent="0.35">
      <c r="B5589" t="s">
        <v>577</v>
      </c>
      <c r="C5589" t="s">
        <v>578</v>
      </c>
    </row>
    <row r="5590" spans="2:3" x14ac:dyDescent="0.35">
      <c r="B5590" t="s">
        <v>200</v>
      </c>
      <c r="C5590" t="s">
        <v>201</v>
      </c>
    </row>
    <row r="5591" spans="2:3" x14ac:dyDescent="0.35">
      <c r="B5591" t="s">
        <v>658</v>
      </c>
      <c r="C5591" t="s">
        <v>659</v>
      </c>
    </row>
    <row r="5592" spans="2:3" x14ac:dyDescent="0.35">
      <c r="B5592" t="s">
        <v>401</v>
      </c>
      <c r="C5592" t="s">
        <v>402</v>
      </c>
    </row>
    <row r="5593" spans="2:3" x14ac:dyDescent="0.35">
      <c r="B5593" t="s">
        <v>346</v>
      </c>
      <c r="C5593" t="s">
        <v>347</v>
      </c>
    </row>
    <row r="5594" spans="2:3" x14ac:dyDescent="0.35">
      <c r="B5594" t="s">
        <v>658</v>
      </c>
      <c r="C5594" t="s">
        <v>659</v>
      </c>
    </row>
    <row r="5595" spans="2:3" x14ac:dyDescent="0.35">
      <c r="B5595" t="s">
        <v>571</v>
      </c>
      <c r="C5595" t="s">
        <v>572</v>
      </c>
    </row>
    <row r="5596" spans="2:3" x14ac:dyDescent="0.35">
      <c r="B5596" t="s">
        <v>787</v>
      </c>
      <c r="C5596" t="s">
        <v>788</v>
      </c>
    </row>
    <row r="5597" spans="2:3" x14ac:dyDescent="0.35">
      <c r="B5597" t="s">
        <v>84</v>
      </c>
      <c r="C5597" t="s">
        <v>85</v>
      </c>
    </row>
    <row r="5598" spans="2:3" x14ac:dyDescent="0.35">
      <c r="B5598" t="s">
        <v>230</v>
      </c>
      <c r="C5598" t="s">
        <v>231</v>
      </c>
    </row>
    <row r="5599" spans="2:3" x14ac:dyDescent="0.35">
      <c r="B5599" t="s">
        <v>208</v>
      </c>
      <c r="C5599" t="s">
        <v>209</v>
      </c>
    </row>
    <row r="5600" spans="2:3" x14ac:dyDescent="0.35">
      <c r="B5600" t="s">
        <v>384</v>
      </c>
      <c r="C5600" t="s">
        <v>385</v>
      </c>
    </row>
    <row r="5601" spans="2:3" x14ac:dyDescent="0.35">
      <c r="B5601" t="s">
        <v>434</v>
      </c>
      <c r="C5601" t="s">
        <v>435</v>
      </c>
    </row>
    <row r="5602" spans="2:3" x14ac:dyDescent="0.35">
      <c r="B5602" t="s">
        <v>787</v>
      </c>
      <c r="C5602" t="s">
        <v>788</v>
      </c>
    </row>
    <row r="5603" spans="2:3" x14ac:dyDescent="0.35">
      <c r="B5603" t="s">
        <v>787</v>
      </c>
      <c r="C5603" t="s">
        <v>788</v>
      </c>
    </row>
    <row r="5604" spans="2:3" x14ac:dyDescent="0.35">
      <c r="B5604" t="s">
        <v>700</v>
      </c>
      <c r="C5604" t="s">
        <v>701</v>
      </c>
    </row>
    <row r="5605" spans="2:3" x14ac:dyDescent="0.35">
      <c r="B5605" t="s">
        <v>866</v>
      </c>
      <c r="C5605" t="s">
        <v>867</v>
      </c>
    </row>
    <row r="5606" spans="2:3" x14ac:dyDescent="0.35">
      <c r="B5606" t="s">
        <v>541</v>
      </c>
      <c r="C5606" t="s">
        <v>542</v>
      </c>
    </row>
    <row r="5607" spans="2:3" x14ac:dyDescent="0.35">
      <c r="B5607" t="s">
        <v>541</v>
      </c>
      <c r="C5607" t="s">
        <v>542</v>
      </c>
    </row>
    <row r="5608" spans="2:3" x14ac:dyDescent="0.35">
      <c r="B5608" t="s">
        <v>208</v>
      </c>
      <c r="C5608" t="s">
        <v>209</v>
      </c>
    </row>
    <row r="5609" spans="2:3" x14ac:dyDescent="0.35">
      <c r="B5609" t="s">
        <v>254</v>
      </c>
      <c r="C5609" t="s">
        <v>255</v>
      </c>
    </row>
    <row r="5610" spans="2:3" x14ac:dyDescent="0.35">
      <c r="B5610" t="s">
        <v>281</v>
      </c>
      <c r="C5610" t="s">
        <v>282</v>
      </c>
    </row>
    <row r="5611" spans="2:3" x14ac:dyDescent="0.35">
      <c r="B5611" t="s">
        <v>703</v>
      </c>
      <c r="C5611" t="s">
        <v>704</v>
      </c>
    </row>
    <row r="5612" spans="2:3" x14ac:dyDescent="0.35">
      <c r="B5612" t="s">
        <v>874</v>
      </c>
      <c r="C5612" t="s">
        <v>875</v>
      </c>
    </row>
    <row r="5613" spans="2:3" x14ac:dyDescent="0.35">
      <c r="B5613" t="s">
        <v>527</v>
      </c>
      <c r="C5613" t="s">
        <v>528</v>
      </c>
    </row>
    <row r="5614" spans="2:3" x14ac:dyDescent="0.35">
      <c r="B5614" t="s">
        <v>64</v>
      </c>
      <c r="C5614" t="s">
        <v>65</v>
      </c>
    </row>
    <row r="5615" spans="2:3" x14ac:dyDescent="0.35">
      <c r="B5615" t="s">
        <v>1195</v>
      </c>
      <c r="C5615" t="s">
        <v>1195</v>
      </c>
    </row>
    <row r="5616" spans="2:3" x14ac:dyDescent="0.35">
      <c r="B5616" t="s">
        <v>1195</v>
      </c>
      <c r="C5616" t="s">
        <v>1195</v>
      </c>
    </row>
    <row r="5617" spans="2:3" x14ac:dyDescent="0.35">
      <c r="B5617" t="s">
        <v>198</v>
      </c>
      <c r="C5617" t="s">
        <v>199</v>
      </c>
    </row>
    <row r="5618" spans="2:3" x14ac:dyDescent="0.35">
      <c r="B5618" t="s">
        <v>638</v>
      </c>
      <c r="C5618" t="s">
        <v>639</v>
      </c>
    </row>
    <row r="5619" spans="2:3" x14ac:dyDescent="0.35">
      <c r="B5619" t="s">
        <v>543</v>
      </c>
      <c r="C5619" t="s">
        <v>544</v>
      </c>
    </row>
    <row r="5620" spans="2:3" x14ac:dyDescent="0.35">
      <c r="B5620" t="s">
        <v>465</v>
      </c>
      <c r="C5620" t="s">
        <v>466</v>
      </c>
    </row>
    <row r="5621" spans="2:3" x14ac:dyDescent="0.35">
      <c r="B5621" t="s">
        <v>527</v>
      </c>
      <c r="C5621" t="s">
        <v>528</v>
      </c>
    </row>
    <row r="5622" spans="2:3" x14ac:dyDescent="0.35">
      <c r="B5622" t="s">
        <v>443</v>
      </c>
      <c r="C5622" t="s">
        <v>444</v>
      </c>
    </row>
    <row r="5623" spans="2:3" x14ac:dyDescent="0.35">
      <c r="B5623" t="s">
        <v>787</v>
      </c>
      <c r="C5623" t="s">
        <v>788</v>
      </c>
    </row>
    <row r="5624" spans="2:3" x14ac:dyDescent="0.35">
      <c r="B5624" t="s">
        <v>82</v>
      </c>
      <c r="C5624" t="s">
        <v>83</v>
      </c>
    </row>
    <row r="5625" spans="2:3" x14ac:dyDescent="0.35">
      <c r="B5625" t="s">
        <v>557</v>
      </c>
      <c r="C5625" t="s">
        <v>558</v>
      </c>
    </row>
    <row r="5626" spans="2:3" x14ac:dyDescent="0.35">
      <c r="B5626" t="s">
        <v>487</v>
      </c>
      <c r="C5626" t="s">
        <v>488</v>
      </c>
    </row>
    <row r="5627" spans="2:3" x14ac:dyDescent="0.35">
      <c r="B5627" t="s">
        <v>648</v>
      </c>
      <c r="C5627" t="s">
        <v>649</v>
      </c>
    </row>
    <row r="5628" spans="2:3" x14ac:dyDescent="0.35">
      <c r="B5628" t="s">
        <v>46</v>
      </c>
      <c r="C5628" t="s">
        <v>47</v>
      </c>
    </row>
    <row r="5629" spans="2:3" x14ac:dyDescent="0.35">
      <c r="B5629" t="s">
        <v>527</v>
      </c>
      <c r="C5629" t="s">
        <v>528</v>
      </c>
    </row>
    <row r="5630" spans="2:3" x14ac:dyDescent="0.35">
      <c r="B5630" t="s">
        <v>787</v>
      </c>
      <c r="C5630" t="s">
        <v>788</v>
      </c>
    </row>
    <row r="5631" spans="2:3" x14ac:dyDescent="0.35">
      <c r="B5631" t="s">
        <v>547</v>
      </c>
      <c r="C5631" t="s">
        <v>548</v>
      </c>
    </row>
    <row r="5632" spans="2:3" x14ac:dyDescent="0.35">
      <c r="B5632" t="s">
        <v>866</v>
      </c>
      <c r="C5632" t="s">
        <v>867</v>
      </c>
    </row>
    <row r="5633" spans="2:3" x14ac:dyDescent="0.35">
      <c r="B5633" t="s">
        <v>1195</v>
      </c>
      <c r="C5633" t="s">
        <v>1195</v>
      </c>
    </row>
    <row r="5634" spans="2:3" x14ac:dyDescent="0.35">
      <c r="B5634" t="s">
        <v>640</v>
      </c>
      <c r="C5634" t="s">
        <v>641</v>
      </c>
    </row>
    <row r="5635" spans="2:3" x14ac:dyDescent="0.35">
      <c r="B5635" t="s">
        <v>543</v>
      </c>
      <c r="C5635" t="s">
        <v>544</v>
      </c>
    </row>
    <row r="5636" spans="2:3" x14ac:dyDescent="0.35">
      <c r="B5636" t="s">
        <v>501</v>
      </c>
      <c r="C5636" t="s">
        <v>502</v>
      </c>
    </row>
    <row r="5637" spans="2:3" x14ac:dyDescent="0.35">
      <c r="B5637" t="s">
        <v>857</v>
      </c>
      <c r="C5637" t="s">
        <v>858</v>
      </c>
    </row>
    <row r="5638" spans="2:3" x14ac:dyDescent="0.35">
      <c r="B5638" t="s">
        <v>445</v>
      </c>
      <c r="C5638" t="s">
        <v>446</v>
      </c>
    </row>
    <row r="5639" spans="2:3" x14ac:dyDescent="0.35">
      <c r="B5639" t="s">
        <v>547</v>
      </c>
      <c r="C5639" t="s">
        <v>548</v>
      </c>
    </row>
    <row r="5640" spans="2:3" x14ac:dyDescent="0.35">
      <c r="B5640" t="s">
        <v>174</v>
      </c>
      <c r="C5640" t="s">
        <v>175</v>
      </c>
    </row>
    <row r="5641" spans="2:3" x14ac:dyDescent="0.35">
      <c r="B5641" t="s">
        <v>787</v>
      </c>
      <c r="C5641" t="s">
        <v>788</v>
      </c>
    </row>
    <row r="5642" spans="2:3" x14ac:dyDescent="0.35">
      <c r="B5642" t="s">
        <v>1195</v>
      </c>
      <c r="C5642" t="s">
        <v>1195</v>
      </c>
    </row>
    <row r="5643" spans="2:3" x14ac:dyDescent="0.35">
      <c r="B5643" t="s">
        <v>208</v>
      </c>
      <c r="C5643" t="s">
        <v>209</v>
      </c>
    </row>
    <row r="5644" spans="2:3" x14ac:dyDescent="0.35">
      <c r="B5644" t="s">
        <v>787</v>
      </c>
      <c r="C5644" t="s">
        <v>788</v>
      </c>
    </row>
    <row r="5645" spans="2:3" x14ac:dyDescent="0.35">
      <c r="B5645" t="s">
        <v>787</v>
      </c>
      <c r="C5645" t="s">
        <v>788</v>
      </c>
    </row>
    <row r="5646" spans="2:3" x14ac:dyDescent="0.35">
      <c r="B5646" t="s">
        <v>110</v>
      </c>
      <c r="C5646" t="s">
        <v>111</v>
      </c>
    </row>
    <row r="5647" spans="2:3" x14ac:dyDescent="0.35">
      <c r="B5647" t="s">
        <v>489</v>
      </c>
      <c r="C5647" t="s">
        <v>490</v>
      </c>
    </row>
    <row r="5648" spans="2:3" x14ac:dyDescent="0.35">
      <c r="B5648" t="s">
        <v>212</v>
      </c>
      <c r="C5648" t="s">
        <v>213</v>
      </c>
    </row>
    <row r="5649" spans="2:3" x14ac:dyDescent="0.35">
      <c r="B5649" t="s">
        <v>1061</v>
      </c>
      <c r="C5649" t="s">
        <v>1062</v>
      </c>
    </row>
    <row r="5650" spans="2:3" x14ac:dyDescent="0.35">
      <c r="B5650" t="s">
        <v>258</v>
      </c>
      <c r="C5650" t="s">
        <v>259</v>
      </c>
    </row>
    <row r="5651" spans="2:3" x14ac:dyDescent="0.35">
      <c r="B5651" t="s">
        <v>531</v>
      </c>
      <c r="C5651" t="s">
        <v>532</v>
      </c>
    </row>
    <row r="5652" spans="2:3" x14ac:dyDescent="0.35">
      <c r="B5652" t="s">
        <v>412</v>
      </c>
      <c r="C5652" t="s">
        <v>413</v>
      </c>
    </row>
    <row r="5653" spans="2:3" x14ac:dyDescent="0.35">
      <c r="B5653" t="s">
        <v>601</v>
      </c>
      <c r="C5653" t="s">
        <v>602</v>
      </c>
    </row>
    <row r="5654" spans="2:3" x14ac:dyDescent="0.35">
      <c r="B5654" t="s">
        <v>963</v>
      </c>
      <c r="C5654" t="s">
        <v>964</v>
      </c>
    </row>
    <row r="5655" spans="2:3" x14ac:dyDescent="0.35">
      <c r="B5655" t="s">
        <v>531</v>
      </c>
      <c r="C5655" t="s">
        <v>532</v>
      </c>
    </row>
    <row r="5656" spans="2:3" x14ac:dyDescent="0.35">
      <c r="B5656" t="s">
        <v>700</v>
      </c>
      <c r="C5656" t="s">
        <v>701</v>
      </c>
    </row>
    <row r="5657" spans="2:3" x14ac:dyDescent="0.35">
      <c r="B5657" t="s">
        <v>874</v>
      </c>
      <c r="C5657" t="s">
        <v>875</v>
      </c>
    </row>
    <row r="5658" spans="2:3" x14ac:dyDescent="0.35">
      <c r="B5658" t="s">
        <v>1195</v>
      </c>
      <c r="C5658" t="s">
        <v>1195</v>
      </c>
    </row>
    <row r="5659" spans="2:3" x14ac:dyDescent="0.35">
      <c r="B5659" t="s">
        <v>260</v>
      </c>
      <c r="C5659" t="s">
        <v>261</v>
      </c>
    </row>
    <row r="5660" spans="2:3" x14ac:dyDescent="0.35">
      <c r="B5660" t="s">
        <v>90</v>
      </c>
      <c r="C5660" t="s">
        <v>91</v>
      </c>
    </row>
    <row r="5661" spans="2:3" x14ac:dyDescent="0.35">
      <c r="B5661" t="s">
        <v>543</v>
      </c>
      <c r="C5661" t="s">
        <v>544</v>
      </c>
    </row>
    <row r="5662" spans="2:3" x14ac:dyDescent="0.35">
      <c r="B5662" t="s">
        <v>1195</v>
      </c>
      <c r="C5662" t="s">
        <v>1195</v>
      </c>
    </row>
    <row r="5663" spans="2:3" x14ac:dyDescent="0.35">
      <c r="B5663" t="s">
        <v>787</v>
      </c>
      <c r="C5663" t="s">
        <v>788</v>
      </c>
    </row>
    <row r="5664" spans="2:3" x14ac:dyDescent="0.35">
      <c r="B5664" t="s">
        <v>787</v>
      </c>
      <c r="C5664" t="s">
        <v>788</v>
      </c>
    </row>
    <row r="5665" spans="2:3" x14ac:dyDescent="0.35">
      <c r="B5665" t="s">
        <v>90</v>
      </c>
      <c r="C5665" t="s">
        <v>91</v>
      </c>
    </row>
    <row r="5666" spans="2:3" x14ac:dyDescent="0.35">
      <c r="B5666" t="s">
        <v>260</v>
      </c>
      <c r="C5666" t="s">
        <v>261</v>
      </c>
    </row>
    <row r="5667" spans="2:3" x14ac:dyDescent="0.35">
      <c r="B5667" t="s">
        <v>787</v>
      </c>
      <c r="C5667" t="s">
        <v>788</v>
      </c>
    </row>
    <row r="5668" spans="2:3" x14ac:dyDescent="0.35">
      <c r="B5668" t="s">
        <v>202</v>
      </c>
      <c r="C5668" t="s">
        <v>203</v>
      </c>
    </row>
    <row r="5669" spans="2:3" x14ac:dyDescent="0.35">
      <c r="B5669" t="s">
        <v>260</v>
      </c>
      <c r="C5669" t="s">
        <v>261</v>
      </c>
    </row>
    <row r="5670" spans="2:3" x14ac:dyDescent="0.35">
      <c r="B5670" t="s">
        <v>208</v>
      </c>
      <c r="C5670" t="s">
        <v>209</v>
      </c>
    </row>
    <row r="5671" spans="2:3" x14ac:dyDescent="0.35">
      <c r="B5671" t="s">
        <v>260</v>
      </c>
      <c r="C5671" t="s">
        <v>261</v>
      </c>
    </row>
    <row r="5672" spans="2:3" x14ac:dyDescent="0.35">
      <c r="B5672" t="s">
        <v>545</v>
      </c>
      <c r="C5672" t="s">
        <v>546</v>
      </c>
    </row>
    <row r="5673" spans="2:3" x14ac:dyDescent="0.35">
      <c r="B5673" t="s">
        <v>260</v>
      </c>
      <c r="C5673" t="s">
        <v>261</v>
      </c>
    </row>
    <row r="5674" spans="2:3" x14ac:dyDescent="0.35">
      <c r="B5674" t="s">
        <v>437</v>
      </c>
      <c r="C5674" t="s">
        <v>438</v>
      </c>
    </row>
    <row r="5675" spans="2:3" x14ac:dyDescent="0.35">
      <c r="B5675" t="s">
        <v>445</v>
      </c>
      <c r="C5675" t="s">
        <v>446</v>
      </c>
    </row>
    <row r="5676" spans="2:3" x14ac:dyDescent="0.35">
      <c r="B5676" t="s">
        <v>219</v>
      </c>
      <c r="C5676" t="s">
        <v>220</v>
      </c>
    </row>
    <row r="5677" spans="2:3" x14ac:dyDescent="0.35">
      <c r="B5677" t="s">
        <v>624</v>
      </c>
      <c r="C5677" t="s">
        <v>625</v>
      </c>
    </row>
    <row r="5678" spans="2:3" x14ac:dyDescent="0.35">
      <c r="B5678" t="s">
        <v>537</v>
      </c>
      <c r="C5678" t="s">
        <v>538</v>
      </c>
    </row>
    <row r="5679" spans="2:3" x14ac:dyDescent="0.35">
      <c r="B5679" t="s">
        <v>529</v>
      </c>
      <c r="C5679" t="s">
        <v>530</v>
      </c>
    </row>
    <row r="5680" spans="2:3" x14ac:dyDescent="0.35">
      <c r="B5680" t="s">
        <v>208</v>
      </c>
      <c r="C5680" t="s">
        <v>209</v>
      </c>
    </row>
    <row r="5681" spans="2:3" x14ac:dyDescent="0.35">
      <c r="B5681" t="s">
        <v>434</v>
      </c>
      <c r="C5681" t="s">
        <v>435</v>
      </c>
    </row>
    <row r="5682" spans="2:3" x14ac:dyDescent="0.35">
      <c r="B5682" t="s">
        <v>208</v>
      </c>
      <c r="C5682" t="s">
        <v>209</v>
      </c>
    </row>
    <row r="5683" spans="2:3" x14ac:dyDescent="0.35">
      <c r="B5683" t="s">
        <v>401</v>
      </c>
      <c r="C5683" t="s">
        <v>402</v>
      </c>
    </row>
    <row r="5684" spans="2:3" x14ac:dyDescent="0.35">
      <c r="B5684" t="s">
        <v>90</v>
      </c>
      <c r="C5684" t="s">
        <v>91</v>
      </c>
    </row>
    <row r="5685" spans="2:3" x14ac:dyDescent="0.35">
      <c r="B5685" t="s">
        <v>658</v>
      </c>
      <c r="C5685" t="s">
        <v>659</v>
      </c>
    </row>
    <row r="5686" spans="2:3" x14ac:dyDescent="0.35">
      <c r="B5686" t="s">
        <v>202</v>
      </c>
      <c r="C5686" t="s">
        <v>203</v>
      </c>
    </row>
    <row r="5687" spans="2:3" x14ac:dyDescent="0.35">
      <c r="B5687" t="s">
        <v>120</v>
      </c>
      <c r="C5687" t="s">
        <v>121</v>
      </c>
    </row>
    <row r="5688" spans="2:3" x14ac:dyDescent="0.35">
      <c r="B5688" t="s">
        <v>105</v>
      </c>
      <c r="C5688" t="s">
        <v>106</v>
      </c>
    </row>
    <row r="5689" spans="2:3" x14ac:dyDescent="0.35">
      <c r="B5689" t="s">
        <v>258</v>
      </c>
      <c r="C5689" t="s">
        <v>259</v>
      </c>
    </row>
    <row r="5690" spans="2:3" x14ac:dyDescent="0.35">
      <c r="B5690" t="s">
        <v>571</v>
      </c>
      <c r="C5690" t="s">
        <v>572</v>
      </c>
    </row>
    <row r="5691" spans="2:3" x14ac:dyDescent="0.35">
      <c r="B5691" t="s">
        <v>475</v>
      </c>
      <c r="C5691" t="s">
        <v>476</v>
      </c>
    </row>
    <row r="5692" spans="2:3" x14ac:dyDescent="0.35">
      <c r="B5692" t="s">
        <v>543</v>
      </c>
      <c r="C5692" t="s">
        <v>544</v>
      </c>
    </row>
    <row r="5693" spans="2:3" x14ac:dyDescent="0.35">
      <c r="B5693" t="s">
        <v>258</v>
      </c>
      <c r="C5693" t="s">
        <v>259</v>
      </c>
    </row>
    <row r="5694" spans="2:3" x14ac:dyDescent="0.35">
      <c r="B5694" t="s">
        <v>787</v>
      </c>
      <c r="C5694" t="s">
        <v>788</v>
      </c>
    </row>
    <row r="5695" spans="2:3" x14ac:dyDescent="0.35">
      <c r="B5695" t="s">
        <v>700</v>
      </c>
      <c r="C5695" t="s">
        <v>701</v>
      </c>
    </row>
    <row r="5696" spans="2:3" x14ac:dyDescent="0.35">
      <c r="B5696" t="s">
        <v>664</v>
      </c>
      <c r="C5696" t="s">
        <v>665</v>
      </c>
    </row>
    <row r="5697" spans="2:3" x14ac:dyDescent="0.35">
      <c r="B5697" t="s">
        <v>616</v>
      </c>
      <c r="C5697" t="s">
        <v>617</v>
      </c>
    </row>
    <row r="5698" spans="2:3" x14ac:dyDescent="0.35">
      <c r="B5698" t="s">
        <v>648</v>
      </c>
      <c r="C5698" t="s">
        <v>649</v>
      </c>
    </row>
    <row r="5699" spans="2:3" x14ac:dyDescent="0.35">
      <c r="B5699" t="s">
        <v>541</v>
      </c>
      <c r="C5699" t="s">
        <v>542</v>
      </c>
    </row>
    <row r="5700" spans="2:3" x14ac:dyDescent="0.35">
      <c r="B5700" t="s">
        <v>322</v>
      </c>
      <c r="C5700" t="s">
        <v>323</v>
      </c>
    </row>
    <row r="5701" spans="2:3" x14ac:dyDescent="0.35">
      <c r="B5701" t="s">
        <v>874</v>
      </c>
      <c r="C5701" t="s">
        <v>875</v>
      </c>
    </row>
    <row r="5702" spans="2:3" x14ac:dyDescent="0.35">
      <c r="B5702" t="s">
        <v>384</v>
      </c>
      <c r="C5702" t="s">
        <v>385</v>
      </c>
    </row>
    <row r="5703" spans="2:3" x14ac:dyDescent="0.35">
      <c r="B5703" t="s">
        <v>395</v>
      </c>
      <c r="C5703" t="s">
        <v>396</v>
      </c>
    </row>
    <row r="5704" spans="2:3" x14ac:dyDescent="0.35">
      <c r="B5704" t="s">
        <v>219</v>
      </c>
      <c r="C5704" t="s">
        <v>220</v>
      </c>
    </row>
    <row r="5705" spans="2:3" x14ac:dyDescent="0.35">
      <c r="B5705" t="s">
        <v>306</v>
      </c>
      <c r="C5705" t="s">
        <v>307</v>
      </c>
    </row>
    <row r="5706" spans="2:3" x14ac:dyDescent="0.35">
      <c r="B5706" t="s">
        <v>559</v>
      </c>
      <c r="C5706" t="s">
        <v>560</v>
      </c>
    </row>
    <row r="5707" spans="2:3" x14ac:dyDescent="0.35">
      <c r="B5707" t="s">
        <v>543</v>
      </c>
      <c r="C5707" t="s">
        <v>544</v>
      </c>
    </row>
    <row r="5708" spans="2:3" x14ac:dyDescent="0.35">
      <c r="B5708" t="s">
        <v>120</v>
      </c>
      <c r="C5708" t="s">
        <v>121</v>
      </c>
    </row>
    <row r="5709" spans="2:3" x14ac:dyDescent="0.35">
      <c r="B5709" t="s">
        <v>577</v>
      </c>
      <c r="C5709" t="s">
        <v>578</v>
      </c>
    </row>
    <row r="5710" spans="2:3" x14ac:dyDescent="0.35">
      <c r="B5710" t="s">
        <v>202</v>
      </c>
      <c r="C5710" t="s">
        <v>203</v>
      </c>
    </row>
    <row r="5711" spans="2:3" x14ac:dyDescent="0.35">
      <c r="B5711" t="s">
        <v>963</v>
      </c>
      <c r="C5711" t="s">
        <v>964</v>
      </c>
    </row>
    <row r="5712" spans="2:3" x14ac:dyDescent="0.35">
      <c r="B5712" t="s">
        <v>573</v>
      </c>
      <c r="C5712" t="s">
        <v>574</v>
      </c>
    </row>
    <row r="5713" spans="2:3" x14ac:dyDescent="0.35">
      <c r="B5713" t="s">
        <v>58</v>
      </c>
      <c r="C5713" t="s">
        <v>59</v>
      </c>
    </row>
    <row r="5714" spans="2:3" x14ac:dyDescent="0.35">
      <c r="B5714" t="s">
        <v>404</v>
      </c>
      <c r="C5714" t="s">
        <v>405</v>
      </c>
    </row>
    <row r="5715" spans="2:3" x14ac:dyDescent="0.35">
      <c r="B5715" t="s">
        <v>252</v>
      </c>
      <c r="C5715" t="s">
        <v>253</v>
      </c>
    </row>
    <row r="5716" spans="2:3" x14ac:dyDescent="0.35">
      <c r="B5716" t="s">
        <v>700</v>
      </c>
      <c r="C5716" t="s">
        <v>701</v>
      </c>
    </row>
    <row r="5717" spans="2:3" x14ac:dyDescent="0.35">
      <c r="B5717" t="s">
        <v>507</v>
      </c>
      <c r="C5717" t="s">
        <v>508</v>
      </c>
    </row>
    <row r="5718" spans="2:3" x14ac:dyDescent="0.35">
      <c r="B5718" t="s">
        <v>529</v>
      </c>
      <c r="C5718" t="s">
        <v>530</v>
      </c>
    </row>
    <row r="5719" spans="2:3" x14ac:dyDescent="0.35">
      <c r="B5719" t="s">
        <v>872</v>
      </c>
      <c r="C5719" t="s">
        <v>873</v>
      </c>
    </row>
    <row r="5720" spans="2:3" x14ac:dyDescent="0.35">
      <c r="B5720" t="s">
        <v>384</v>
      </c>
      <c r="C5720" t="s">
        <v>385</v>
      </c>
    </row>
    <row r="5721" spans="2:3" x14ac:dyDescent="0.35">
      <c r="B5721" t="s">
        <v>346</v>
      </c>
      <c r="C5721" t="s">
        <v>347</v>
      </c>
    </row>
    <row r="5722" spans="2:3" x14ac:dyDescent="0.35">
      <c r="B5722" t="s">
        <v>787</v>
      </c>
      <c r="C5722" t="s">
        <v>788</v>
      </c>
    </row>
    <row r="5723" spans="2:3" x14ac:dyDescent="0.35">
      <c r="B5723" t="s">
        <v>624</v>
      </c>
      <c r="C5723" t="s">
        <v>625</v>
      </c>
    </row>
    <row r="5724" spans="2:3" x14ac:dyDescent="0.35">
      <c r="B5724" t="s">
        <v>855</v>
      </c>
      <c r="C5724" t="s">
        <v>856</v>
      </c>
    </row>
    <row r="5725" spans="2:3" x14ac:dyDescent="0.35">
      <c r="B5725" t="s">
        <v>640</v>
      </c>
      <c r="C5725" t="s">
        <v>641</v>
      </c>
    </row>
    <row r="5726" spans="2:3" x14ac:dyDescent="0.35">
      <c r="B5726" t="s">
        <v>350</v>
      </c>
      <c r="C5726" t="s">
        <v>351</v>
      </c>
    </row>
    <row r="5727" spans="2:3" x14ac:dyDescent="0.35">
      <c r="B5727" t="s">
        <v>703</v>
      </c>
      <c r="C5727" t="s">
        <v>704</v>
      </c>
    </row>
    <row r="5728" spans="2:3" x14ac:dyDescent="0.35">
      <c r="B5728" t="s">
        <v>507</v>
      </c>
      <c r="C5728" t="s">
        <v>508</v>
      </c>
    </row>
    <row r="5729" spans="2:3" x14ac:dyDescent="0.35">
      <c r="B5729" t="s">
        <v>1079</v>
      </c>
      <c r="C5729" t="s">
        <v>1080</v>
      </c>
    </row>
    <row r="5730" spans="2:3" x14ac:dyDescent="0.35">
      <c r="B5730" t="s">
        <v>457</v>
      </c>
      <c r="C5730" t="s">
        <v>458</v>
      </c>
    </row>
    <row r="5731" spans="2:3" x14ac:dyDescent="0.35">
      <c r="B5731" t="s">
        <v>559</v>
      </c>
      <c r="C5731" t="s">
        <v>560</v>
      </c>
    </row>
    <row r="5732" spans="2:3" x14ac:dyDescent="0.35">
      <c r="B5732" t="s">
        <v>428</v>
      </c>
      <c r="C5732" t="s">
        <v>429</v>
      </c>
    </row>
    <row r="5733" spans="2:3" x14ac:dyDescent="0.35">
      <c r="B5733" t="s">
        <v>1195</v>
      </c>
      <c r="C5733" t="s">
        <v>1195</v>
      </c>
    </row>
    <row r="5734" spans="2:3" x14ac:dyDescent="0.35">
      <c r="B5734" t="s">
        <v>571</v>
      </c>
      <c r="C5734" t="s">
        <v>572</v>
      </c>
    </row>
    <row r="5735" spans="2:3" x14ac:dyDescent="0.35">
      <c r="B5735" t="s">
        <v>58</v>
      </c>
      <c r="C5735" t="s">
        <v>59</v>
      </c>
    </row>
    <row r="5736" spans="2:3" x14ac:dyDescent="0.35">
      <c r="B5736" t="s">
        <v>208</v>
      </c>
      <c r="C5736" t="s">
        <v>209</v>
      </c>
    </row>
    <row r="5737" spans="2:3" x14ac:dyDescent="0.35">
      <c r="B5737" t="s">
        <v>260</v>
      </c>
      <c r="C5737" t="s">
        <v>261</v>
      </c>
    </row>
    <row r="5738" spans="2:3" x14ac:dyDescent="0.35">
      <c r="B5738" t="s">
        <v>703</v>
      </c>
      <c r="C5738" t="s">
        <v>704</v>
      </c>
    </row>
    <row r="5739" spans="2:3" x14ac:dyDescent="0.35">
      <c r="B5739" t="s">
        <v>573</v>
      </c>
      <c r="C5739" t="s">
        <v>574</v>
      </c>
    </row>
    <row r="5740" spans="2:3" x14ac:dyDescent="0.35">
      <c r="B5740" t="s">
        <v>703</v>
      </c>
      <c r="C5740" t="s">
        <v>704</v>
      </c>
    </row>
    <row r="5741" spans="2:3" x14ac:dyDescent="0.35">
      <c r="B5741" t="s">
        <v>178</v>
      </c>
      <c r="C5741" t="s">
        <v>179</v>
      </c>
    </row>
    <row r="5742" spans="2:3" x14ac:dyDescent="0.35">
      <c r="B5742" t="s">
        <v>692</v>
      </c>
      <c r="C5742" t="s">
        <v>693</v>
      </c>
    </row>
    <row r="5743" spans="2:3" x14ac:dyDescent="0.35">
      <c r="B5743" t="s">
        <v>208</v>
      </c>
      <c r="C5743" t="s">
        <v>209</v>
      </c>
    </row>
    <row r="5744" spans="2:3" x14ac:dyDescent="0.35">
      <c r="B5744" t="s">
        <v>614</v>
      </c>
      <c r="C5744" t="s">
        <v>615</v>
      </c>
    </row>
    <row r="5745" spans="2:3" x14ac:dyDescent="0.35">
      <c r="B5745" t="s">
        <v>624</v>
      </c>
      <c r="C5745" t="s">
        <v>625</v>
      </c>
    </row>
    <row r="5746" spans="2:3" x14ac:dyDescent="0.35">
      <c r="B5746" t="s">
        <v>105</v>
      </c>
      <c r="C5746" t="s">
        <v>106</v>
      </c>
    </row>
    <row r="5747" spans="2:3" x14ac:dyDescent="0.35">
      <c r="B5747" t="s">
        <v>547</v>
      </c>
      <c r="C5747" t="s">
        <v>548</v>
      </c>
    </row>
    <row r="5748" spans="2:3" x14ac:dyDescent="0.35">
      <c r="B5748" t="s">
        <v>174</v>
      </c>
      <c r="C5748" t="s">
        <v>175</v>
      </c>
    </row>
    <row r="5749" spans="2:3" x14ac:dyDescent="0.35">
      <c r="B5749" t="s">
        <v>1195</v>
      </c>
      <c r="C5749" t="s">
        <v>1195</v>
      </c>
    </row>
    <row r="5750" spans="2:3" x14ac:dyDescent="0.35">
      <c r="B5750" t="s">
        <v>703</v>
      </c>
      <c r="C5750" t="s">
        <v>704</v>
      </c>
    </row>
    <row r="5751" spans="2:3" x14ac:dyDescent="0.35">
      <c r="B5751" t="s">
        <v>90</v>
      </c>
      <c r="C5751" t="s">
        <v>91</v>
      </c>
    </row>
    <row r="5752" spans="2:3" x14ac:dyDescent="0.35">
      <c r="B5752" t="s">
        <v>961</v>
      </c>
      <c r="C5752" t="s">
        <v>962</v>
      </c>
    </row>
    <row r="5753" spans="2:3" x14ac:dyDescent="0.35">
      <c r="B5753" t="s">
        <v>252</v>
      </c>
      <c r="C5753" t="s">
        <v>253</v>
      </c>
    </row>
    <row r="5754" spans="2:3" x14ac:dyDescent="0.35">
      <c r="B5754" t="s">
        <v>457</v>
      </c>
      <c r="C5754" t="s">
        <v>458</v>
      </c>
    </row>
    <row r="5755" spans="2:3" x14ac:dyDescent="0.35">
      <c r="B5755" t="s">
        <v>658</v>
      </c>
      <c r="C5755" t="s">
        <v>659</v>
      </c>
    </row>
    <row r="5756" spans="2:3" x14ac:dyDescent="0.35">
      <c r="B5756" t="s">
        <v>961</v>
      </c>
      <c r="C5756" t="s">
        <v>962</v>
      </c>
    </row>
    <row r="5757" spans="2:3" x14ac:dyDescent="0.35">
      <c r="B5757" t="s">
        <v>465</v>
      </c>
      <c r="C5757" t="s">
        <v>466</v>
      </c>
    </row>
    <row r="5758" spans="2:3" x14ac:dyDescent="0.35">
      <c r="B5758" t="s">
        <v>457</v>
      </c>
      <c r="C5758" t="s">
        <v>458</v>
      </c>
    </row>
    <row r="5759" spans="2:3" x14ac:dyDescent="0.35">
      <c r="B5759" t="s">
        <v>174</v>
      </c>
      <c r="C5759" t="s">
        <v>175</v>
      </c>
    </row>
    <row r="5760" spans="2:3" x14ac:dyDescent="0.35">
      <c r="B5760" t="s">
        <v>479</v>
      </c>
      <c r="C5760" t="s">
        <v>480</v>
      </c>
    </row>
    <row r="5761" spans="2:3" x14ac:dyDescent="0.35">
      <c r="B5761" t="s">
        <v>467</v>
      </c>
      <c r="C5761" t="s">
        <v>468</v>
      </c>
    </row>
    <row r="5762" spans="2:3" x14ac:dyDescent="0.35">
      <c r="B5762" t="s">
        <v>666</v>
      </c>
      <c r="C5762" t="s">
        <v>667</v>
      </c>
    </row>
    <row r="5763" spans="2:3" x14ac:dyDescent="0.35">
      <c r="B5763" t="s">
        <v>958</v>
      </c>
      <c r="C5763" t="s">
        <v>959</v>
      </c>
    </row>
    <row r="5764" spans="2:3" x14ac:dyDescent="0.35">
      <c r="B5764" t="s">
        <v>163</v>
      </c>
      <c r="C5764" t="s">
        <v>164</v>
      </c>
    </row>
    <row r="5765" spans="2:3" x14ac:dyDescent="0.35">
      <c r="B5765" t="s">
        <v>210</v>
      </c>
      <c r="C5765" t="s">
        <v>211</v>
      </c>
    </row>
    <row r="5766" spans="2:3" x14ac:dyDescent="0.35">
      <c r="B5766" t="s">
        <v>787</v>
      </c>
      <c r="C5766" t="s">
        <v>788</v>
      </c>
    </row>
    <row r="5767" spans="2:3" x14ac:dyDescent="0.35">
      <c r="B5767" t="s">
        <v>787</v>
      </c>
      <c r="C5767" t="s">
        <v>788</v>
      </c>
    </row>
    <row r="5768" spans="2:3" x14ac:dyDescent="0.35">
      <c r="B5768" t="s">
        <v>457</v>
      </c>
      <c r="C5768" t="s">
        <v>458</v>
      </c>
    </row>
    <row r="5769" spans="2:3" x14ac:dyDescent="0.35">
      <c r="B5769" t="s">
        <v>537</v>
      </c>
      <c r="C5769" t="s">
        <v>538</v>
      </c>
    </row>
    <row r="5770" spans="2:3" x14ac:dyDescent="0.35">
      <c r="B5770" t="s">
        <v>787</v>
      </c>
      <c r="C5770" t="s">
        <v>788</v>
      </c>
    </row>
    <row r="5771" spans="2:3" x14ac:dyDescent="0.35">
      <c r="B5771" t="s">
        <v>84</v>
      </c>
      <c r="C5771" t="s">
        <v>85</v>
      </c>
    </row>
    <row r="5772" spans="2:3" x14ac:dyDescent="0.35">
      <c r="B5772" t="s">
        <v>694</v>
      </c>
      <c r="C5772" t="s">
        <v>695</v>
      </c>
    </row>
    <row r="5773" spans="2:3" x14ac:dyDescent="0.35">
      <c r="B5773" t="s">
        <v>527</v>
      </c>
      <c r="C5773" t="s">
        <v>528</v>
      </c>
    </row>
    <row r="5774" spans="2:3" x14ac:dyDescent="0.35">
      <c r="B5774" t="s">
        <v>787</v>
      </c>
      <c r="C5774" t="s">
        <v>788</v>
      </c>
    </row>
    <row r="5775" spans="2:3" x14ac:dyDescent="0.35">
      <c r="B5775" t="s">
        <v>787</v>
      </c>
      <c r="C5775" t="s">
        <v>788</v>
      </c>
    </row>
    <row r="5776" spans="2:3" x14ac:dyDescent="0.35">
      <c r="B5776" t="s">
        <v>200</v>
      </c>
      <c r="C5776" t="s">
        <v>201</v>
      </c>
    </row>
    <row r="5777" spans="2:3" x14ac:dyDescent="0.35">
      <c r="B5777" t="s">
        <v>656</v>
      </c>
      <c r="C5777" t="s">
        <v>657</v>
      </c>
    </row>
    <row r="5778" spans="2:3" x14ac:dyDescent="0.35">
      <c r="B5778" t="s">
        <v>384</v>
      </c>
      <c r="C5778" t="s">
        <v>385</v>
      </c>
    </row>
    <row r="5779" spans="2:3" x14ac:dyDescent="0.35">
      <c r="B5779" t="s">
        <v>694</v>
      </c>
      <c r="C5779" t="s">
        <v>695</v>
      </c>
    </row>
    <row r="5780" spans="2:3" x14ac:dyDescent="0.35">
      <c r="B5780" t="s">
        <v>575</v>
      </c>
      <c r="C5780" t="s">
        <v>576</v>
      </c>
    </row>
    <row r="5781" spans="2:3" x14ac:dyDescent="0.35">
      <c r="B5781" t="s">
        <v>874</v>
      </c>
      <c r="C5781" t="s">
        <v>875</v>
      </c>
    </row>
    <row r="5782" spans="2:3" x14ac:dyDescent="0.35">
      <c r="B5782" t="s">
        <v>202</v>
      </c>
      <c r="C5782" t="s">
        <v>203</v>
      </c>
    </row>
    <row r="5783" spans="2:3" x14ac:dyDescent="0.35">
      <c r="B5783" t="s">
        <v>557</v>
      </c>
      <c r="C5783" t="s">
        <v>558</v>
      </c>
    </row>
    <row r="5784" spans="2:3" x14ac:dyDescent="0.35">
      <c r="B5784" t="s">
        <v>198</v>
      </c>
      <c r="C5784" t="s">
        <v>199</v>
      </c>
    </row>
    <row r="5785" spans="2:3" x14ac:dyDescent="0.35">
      <c r="B5785" t="s">
        <v>787</v>
      </c>
      <c r="C5785" t="s">
        <v>788</v>
      </c>
    </row>
    <row r="5786" spans="2:3" x14ac:dyDescent="0.35">
      <c r="B5786" t="s">
        <v>787</v>
      </c>
      <c r="C5786" t="s">
        <v>788</v>
      </c>
    </row>
    <row r="5787" spans="2:3" x14ac:dyDescent="0.35">
      <c r="B5787" t="s">
        <v>453</v>
      </c>
      <c r="C5787" t="s">
        <v>454</v>
      </c>
    </row>
    <row r="5788" spans="2:3" x14ac:dyDescent="0.35">
      <c r="B5788" t="s">
        <v>694</v>
      </c>
      <c r="C5788" t="s">
        <v>695</v>
      </c>
    </row>
    <row r="5789" spans="2:3" x14ac:dyDescent="0.35">
      <c r="B5789" t="s">
        <v>511</v>
      </c>
      <c r="C5789" t="s">
        <v>512</v>
      </c>
    </row>
    <row r="5790" spans="2:3" x14ac:dyDescent="0.35">
      <c r="B5790" t="s">
        <v>638</v>
      </c>
      <c r="C5790" t="s">
        <v>639</v>
      </c>
    </row>
    <row r="5791" spans="2:3" x14ac:dyDescent="0.35">
      <c r="B5791" t="s">
        <v>573</v>
      </c>
      <c r="C5791" t="s">
        <v>574</v>
      </c>
    </row>
    <row r="5792" spans="2:3" x14ac:dyDescent="0.35">
      <c r="B5792" t="s">
        <v>174</v>
      </c>
      <c r="C5792" t="s">
        <v>175</v>
      </c>
    </row>
    <row r="5793" spans="2:3" x14ac:dyDescent="0.35">
      <c r="B5793" t="s">
        <v>863</v>
      </c>
      <c r="C5793" t="s">
        <v>864</v>
      </c>
    </row>
    <row r="5794" spans="2:3" x14ac:dyDescent="0.35">
      <c r="B5794" t="s">
        <v>273</v>
      </c>
      <c r="C5794" t="s">
        <v>274</v>
      </c>
    </row>
    <row r="5795" spans="2:3" x14ac:dyDescent="0.35">
      <c r="B5795" t="s">
        <v>279</v>
      </c>
      <c r="C5795" t="s">
        <v>280</v>
      </c>
    </row>
    <row r="5796" spans="2:3" x14ac:dyDescent="0.35">
      <c r="B5796" t="s">
        <v>465</v>
      </c>
      <c r="C5796" t="s">
        <v>466</v>
      </c>
    </row>
    <row r="5797" spans="2:3" x14ac:dyDescent="0.35">
      <c r="B5797" t="s">
        <v>529</v>
      </c>
      <c r="C5797" t="s">
        <v>530</v>
      </c>
    </row>
    <row r="5798" spans="2:3" x14ac:dyDescent="0.35">
      <c r="B5798" t="s">
        <v>622</v>
      </c>
      <c r="C5798" t="s">
        <v>623</v>
      </c>
    </row>
    <row r="5799" spans="2:3" x14ac:dyDescent="0.35">
      <c r="B5799" t="s">
        <v>622</v>
      </c>
      <c r="C5799" t="s">
        <v>623</v>
      </c>
    </row>
    <row r="5800" spans="2:3" x14ac:dyDescent="0.35">
      <c r="B5800" t="s">
        <v>700</v>
      </c>
      <c r="C5800" t="s">
        <v>701</v>
      </c>
    </row>
    <row r="5801" spans="2:3" x14ac:dyDescent="0.35">
      <c r="B5801" t="s">
        <v>122</v>
      </c>
      <c r="C5801" t="s">
        <v>123</v>
      </c>
    </row>
    <row r="5802" spans="2:3" x14ac:dyDescent="0.35">
      <c r="B5802" t="s">
        <v>963</v>
      </c>
      <c r="C5802" t="s">
        <v>964</v>
      </c>
    </row>
    <row r="5803" spans="2:3" x14ac:dyDescent="0.35">
      <c r="B5803" t="s">
        <v>557</v>
      </c>
      <c r="C5803" t="s">
        <v>558</v>
      </c>
    </row>
    <row r="5804" spans="2:3" x14ac:dyDescent="0.35">
      <c r="B5804" t="s">
        <v>622</v>
      </c>
      <c r="C5804" t="s">
        <v>623</v>
      </c>
    </row>
    <row r="5805" spans="2:3" x14ac:dyDescent="0.35">
      <c r="B5805" t="s">
        <v>163</v>
      </c>
      <c r="C5805" t="s">
        <v>164</v>
      </c>
    </row>
    <row r="5806" spans="2:3" x14ac:dyDescent="0.35">
      <c r="B5806" t="s">
        <v>322</v>
      </c>
      <c r="C5806" t="s">
        <v>323</v>
      </c>
    </row>
    <row r="5807" spans="2:3" x14ac:dyDescent="0.35">
      <c r="B5807" t="s">
        <v>105</v>
      </c>
      <c r="C5807" t="s">
        <v>106</v>
      </c>
    </row>
    <row r="5808" spans="2:3" x14ac:dyDescent="0.35">
      <c r="B5808" t="s">
        <v>703</v>
      </c>
      <c r="C5808" t="s">
        <v>704</v>
      </c>
    </row>
    <row r="5809" spans="2:3" x14ac:dyDescent="0.35">
      <c r="B5809" t="s">
        <v>787</v>
      </c>
      <c r="C5809" t="s">
        <v>788</v>
      </c>
    </row>
    <row r="5810" spans="2:3" x14ac:dyDescent="0.35">
      <c r="B5810" t="s">
        <v>200</v>
      </c>
      <c r="C5810" t="s">
        <v>201</v>
      </c>
    </row>
    <row r="5811" spans="2:3" x14ac:dyDescent="0.35">
      <c r="B5811" t="s">
        <v>787</v>
      </c>
      <c r="C5811" t="s">
        <v>788</v>
      </c>
    </row>
    <row r="5812" spans="2:3" x14ac:dyDescent="0.35">
      <c r="B5812" t="s">
        <v>523</v>
      </c>
      <c r="C5812" t="s">
        <v>524</v>
      </c>
    </row>
    <row r="5813" spans="2:3" x14ac:dyDescent="0.35">
      <c r="B5813" t="s">
        <v>511</v>
      </c>
      <c r="C5813" t="s">
        <v>512</v>
      </c>
    </row>
    <row r="5814" spans="2:3" x14ac:dyDescent="0.35">
      <c r="B5814" t="s">
        <v>487</v>
      </c>
      <c r="C5814" t="s">
        <v>488</v>
      </c>
    </row>
    <row r="5815" spans="2:3" x14ac:dyDescent="0.35">
      <c r="B5815" t="s">
        <v>866</v>
      </c>
      <c r="C5815" t="s">
        <v>867</v>
      </c>
    </row>
    <row r="5816" spans="2:3" x14ac:dyDescent="0.35">
      <c r="B5816" t="s">
        <v>1195</v>
      </c>
      <c r="C5816" t="s">
        <v>1195</v>
      </c>
    </row>
    <row r="5817" spans="2:3" x14ac:dyDescent="0.35">
      <c r="B5817" t="s">
        <v>210</v>
      </c>
      <c r="C5817" t="s">
        <v>211</v>
      </c>
    </row>
    <row r="5818" spans="2:3" x14ac:dyDescent="0.35">
      <c r="B5818" t="s">
        <v>463</v>
      </c>
      <c r="C5818" t="s">
        <v>464</v>
      </c>
    </row>
    <row r="5819" spans="2:3" x14ac:dyDescent="0.35">
      <c r="B5819" t="s">
        <v>787</v>
      </c>
      <c r="C5819" t="s">
        <v>788</v>
      </c>
    </row>
    <row r="5820" spans="2:3" x14ac:dyDescent="0.35">
      <c r="B5820" t="s">
        <v>350</v>
      </c>
      <c r="C5820" t="s">
        <v>351</v>
      </c>
    </row>
    <row r="5821" spans="2:3" x14ac:dyDescent="0.35">
      <c r="B5821" t="s">
        <v>90</v>
      </c>
      <c r="C5821" t="s">
        <v>91</v>
      </c>
    </row>
    <row r="5822" spans="2:3" x14ac:dyDescent="0.35">
      <c r="B5822" t="s">
        <v>616</v>
      </c>
      <c r="C5822" t="s">
        <v>617</v>
      </c>
    </row>
    <row r="5823" spans="2:3" x14ac:dyDescent="0.35">
      <c r="B5823" t="s">
        <v>281</v>
      </c>
      <c r="C5823" t="s">
        <v>282</v>
      </c>
    </row>
    <row r="5824" spans="2:3" x14ac:dyDescent="0.35">
      <c r="B5824" t="s">
        <v>787</v>
      </c>
      <c r="C5824" t="s">
        <v>788</v>
      </c>
    </row>
    <row r="5825" spans="2:3" x14ac:dyDescent="0.35">
      <c r="B5825" t="s">
        <v>622</v>
      </c>
      <c r="C5825" t="s">
        <v>623</v>
      </c>
    </row>
    <row r="5826" spans="2:3" x14ac:dyDescent="0.35">
      <c r="B5826" t="s">
        <v>577</v>
      </c>
      <c r="C5826" t="s">
        <v>578</v>
      </c>
    </row>
    <row r="5827" spans="2:3" x14ac:dyDescent="0.35">
      <c r="B5827" t="s">
        <v>378</v>
      </c>
      <c r="C5827" t="s">
        <v>379</v>
      </c>
    </row>
    <row r="5828" spans="2:3" x14ac:dyDescent="0.35">
      <c r="B5828" t="s">
        <v>523</v>
      </c>
      <c r="C5828" t="s">
        <v>524</v>
      </c>
    </row>
    <row r="5829" spans="2:3" x14ac:dyDescent="0.35">
      <c r="B5829" t="s">
        <v>787</v>
      </c>
      <c r="C5829" t="s">
        <v>788</v>
      </c>
    </row>
    <row r="5830" spans="2:3" x14ac:dyDescent="0.35">
      <c r="B5830" t="s">
        <v>787</v>
      </c>
      <c r="C5830" t="s">
        <v>788</v>
      </c>
    </row>
    <row r="5831" spans="2:3" x14ac:dyDescent="0.35">
      <c r="B5831" t="s">
        <v>658</v>
      </c>
      <c r="C5831" t="s">
        <v>659</v>
      </c>
    </row>
    <row r="5832" spans="2:3" x14ac:dyDescent="0.35">
      <c r="B5832" t="s">
        <v>254</v>
      </c>
      <c r="C5832" t="s">
        <v>255</v>
      </c>
    </row>
    <row r="5833" spans="2:3" x14ac:dyDescent="0.35">
      <c r="B5833" t="s">
        <v>559</v>
      </c>
      <c r="C5833" t="s">
        <v>560</v>
      </c>
    </row>
    <row r="5834" spans="2:3" x14ac:dyDescent="0.35">
      <c r="B5834" t="s">
        <v>128</v>
      </c>
      <c r="C5834" t="s">
        <v>129</v>
      </c>
    </row>
    <row r="5835" spans="2:3" x14ac:dyDescent="0.35">
      <c r="B5835" t="s">
        <v>208</v>
      </c>
      <c r="C5835" t="s">
        <v>209</v>
      </c>
    </row>
    <row r="5836" spans="2:3" x14ac:dyDescent="0.35">
      <c r="B5836" t="s">
        <v>230</v>
      </c>
      <c r="C5836" t="s">
        <v>231</v>
      </c>
    </row>
    <row r="5837" spans="2:3" x14ac:dyDescent="0.35">
      <c r="B5837" t="s">
        <v>297</v>
      </c>
      <c r="C5837" t="s">
        <v>298</v>
      </c>
    </row>
    <row r="5838" spans="2:3" x14ac:dyDescent="0.35">
      <c r="B5838" t="s">
        <v>485</v>
      </c>
      <c r="C5838" t="s">
        <v>486</v>
      </c>
    </row>
    <row r="5839" spans="2:3" x14ac:dyDescent="0.35">
      <c r="B5839" t="s">
        <v>1195</v>
      </c>
      <c r="C5839" t="s">
        <v>1195</v>
      </c>
    </row>
    <row r="5840" spans="2:3" x14ac:dyDescent="0.35">
      <c r="B5840" t="s">
        <v>963</v>
      </c>
      <c r="C5840" t="s">
        <v>964</v>
      </c>
    </row>
    <row r="5841" spans="2:3" x14ac:dyDescent="0.35">
      <c r="B5841" t="s">
        <v>105</v>
      </c>
      <c r="C5841" t="s">
        <v>106</v>
      </c>
    </row>
    <row r="5842" spans="2:3" x14ac:dyDescent="0.35">
      <c r="B5842" t="s">
        <v>283</v>
      </c>
      <c r="C5842" t="s">
        <v>284</v>
      </c>
    </row>
    <row r="5843" spans="2:3" x14ac:dyDescent="0.35">
      <c r="B5843" t="s">
        <v>656</v>
      </c>
      <c r="C5843" t="s">
        <v>657</v>
      </c>
    </row>
    <row r="5844" spans="2:3" x14ac:dyDescent="0.35">
      <c r="B5844" t="s">
        <v>658</v>
      </c>
      <c r="C5844" t="s">
        <v>659</v>
      </c>
    </row>
    <row r="5845" spans="2:3" x14ac:dyDescent="0.35">
      <c r="B5845" t="s">
        <v>1195</v>
      </c>
      <c r="C5845" t="s">
        <v>1195</v>
      </c>
    </row>
    <row r="5846" spans="2:3" x14ac:dyDescent="0.35">
      <c r="B5846" t="s">
        <v>557</v>
      </c>
      <c r="C5846" t="s">
        <v>558</v>
      </c>
    </row>
    <row r="5847" spans="2:3" x14ac:dyDescent="0.35">
      <c r="B5847" t="s">
        <v>703</v>
      </c>
      <c r="C5847" t="s">
        <v>704</v>
      </c>
    </row>
    <row r="5848" spans="2:3" x14ac:dyDescent="0.35">
      <c r="B5848" t="s">
        <v>344</v>
      </c>
      <c r="C5848" t="s">
        <v>345</v>
      </c>
    </row>
    <row r="5849" spans="2:3" x14ac:dyDescent="0.35">
      <c r="B5849" t="s">
        <v>561</v>
      </c>
      <c r="C5849" t="s">
        <v>562</v>
      </c>
    </row>
    <row r="5850" spans="2:3" x14ac:dyDescent="0.35">
      <c r="B5850" t="s">
        <v>804</v>
      </c>
      <c r="C5850" t="s">
        <v>805</v>
      </c>
    </row>
    <row r="5851" spans="2:3" x14ac:dyDescent="0.35">
      <c r="B5851" t="s">
        <v>219</v>
      </c>
      <c r="C5851" t="s">
        <v>220</v>
      </c>
    </row>
    <row r="5852" spans="2:3" x14ac:dyDescent="0.35">
      <c r="B5852" t="s">
        <v>658</v>
      </c>
      <c r="C5852" t="s">
        <v>659</v>
      </c>
    </row>
    <row r="5853" spans="2:3" x14ac:dyDescent="0.35">
      <c r="B5853" t="s">
        <v>537</v>
      </c>
      <c r="C5853" t="s">
        <v>538</v>
      </c>
    </row>
    <row r="5854" spans="2:3" x14ac:dyDescent="0.35">
      <c r="B5854" t="s">
        <v>465</v>
      </c>
      <c r="C5854" t="s">
        <v>466</v>
      </c>
    </row>
    <row r="5855" spans="2:3" x14ac:dyDescent="0.35">
      <c r="B5855" t="s">
        <v>453</v>
      </c>
      <c r="C5855" t="s">
        <v>454</v>
      </c>
    </row>
    <row r="5856" spans="2:3" x14ac:dyDescent="0.35">
      <c r="B5856" t="s">
        <v>787</v>
      </c>
      <c r="C5856" t="s">
        <v>788</v>
      </c>
    </row>
    <row r="5857" spans="2:3" x14ac:dyDescent="0.35">
      <c r="B5857" t="s">
        <v>577</v>
      </c>
      <c r="C5857" t="s">
        <v>578</v>
      </c>
    </row>
    <row r="5858" spans="2:3" x14ac:dyDescent="0.35">
      <c r="B5858" t="s">
        <v>571</v>
      </c>
      <c r="C5858" t="s">
        <v>572</v>
      </c>
    </row>
    <row r="5859" spans="2:3" x14ac:dyDescent="0.35">
      <c r="B5859" t="s">
        <v>64</v>
      </c>
      <c r="C5859" t="s">
        <v>65</v>
      </c>
    </row>
    <row r="5860" spans="2:3" x14ac:dyDescent="0.35">
      <c r="B5860" t="s">
        <v>503</v>
      </c>
      <c r="C5860" t="s">
        <v>504</v>
      </c>
    </row>
    <row r="5861" spans="2:3" x14ac:dyDescent="0.35">
      <c r="B5861" t="s">
        <v>1195</v>
      </c>
      <c r="C5861" t="s">
        <v>1195</v>
      </c>
    </row>
    <row r="5862" spans="2:3" x14ac:dyDescent="0.35">
      <c r="B5862" t="s">
        <v>90</v>
      </c>
      <c r="C5862" t="s">
        <v>91</v>
      </c>
    </row>
    <row r="5863" spans="2:3" x14ac:dyDescent="0.35">
      <c r="B5863" t="s">
        <v>103</v>
      </c>
      <c r="C5863" t="s">
        <v>104</v>
      </c>
    </row>
    <row r="5864" spans="2:3" x14ac:dyDescent="0.35">
      <c r="B5864" t="s">
        <v>511</v>
      </c>
      <c r="C5864" t="s">
        <v>512</v>
      </c>
    </row>
    <row r="5865" spans="2:3" x14ac:dyDescent="0.35">
      <c r="B5865" t="s">
        <v>559</v>
      </c>
      <c r="C5865" t="s">
        <v>560</v>
      </c>
    </row>
    <row r="5866" spans="2:3" x14ac:dyDescent="0.35">
      <c r="B5866" t="s">
        <v>589</v>
      </c>
      <c r="C5866" t="s">
        <v>590</v>
      </c>
    </row>
    <row r="5867" spans="2:3" x14ac:dyDescent="0.35">
      <c r="B5867" t="s">
        <v>260</v>
      </c>
      <c r="C5867" t="s">
        <v>261</v>
      </c>
    </row>
    <row r="5868" spans="2:3" x14ac:dyDescent="0.35">
      <c r="B5868" t="s">
        <v>56</v>
      </c>
      <c r="C5868" t="s">
        <v>57</v>
      </c>
    </row>
    <row r="5869" spans="2:3" x14ac:dyDescent="0.35">
      <c r="B5869" t="s">
        <v>1195</v>
      </c>
      <c r="C5869" t="s">
        <v>1195</v>
      </c>
    </row>
    <row r="5870" spans="2:3" x14ac:dyDescent="0.35">
      <c r="B5870" t="s">
        <v>210</v>
      </c>
      <c r="C5870" t="s">
        <v>211</v>
      </c>
    </row>
    <row r="5871" spans="2:3" x14ac:dyDescent="0.35">
      <c r="B5871" t="s">
        <v>176</v>
      </c>
      <c r="C5871" t="s">
        <v>177</v>
      </c>
    </row>
    <row r="5872" spans="2:3" x14ac:dyDescent="0.35">
      <c r="B5872" t="s">
        <v>700</v>
      </c>
      <c r="C5872" t="s">
        <v>701</v>
      </c>
    </row>
    <row r="5873" spans="2:3" x14ac:dyDescent="0.35">
      <c r="B5873" t="s">
        <v>557</v>
      </c>
      <c r="C5873" t="s">
        <v>558</v>
      </c>
    </row>
    <row r="5874" spans="2:3" x14ac:dyDescent="0.35">
      <c r="B5874" t="s">
        <v>479</v>
      </c>
      <c r="C5874" t="s">
        <v>480</v>
      </c>
    </row>
    <row r="5875" spans="2:3" x14ac:dyDescent="0.35">
      <c r="B5875" t="s">
        <v>787</v>
      </c>
      <c r="C5875" t="s">
        <v>788</v>
      </c>
    </row>
    <row r="5876" spans="2:3" x14ac:dyDescent="0.35">
      <c r="B5876" t="s">
        <v>1195</v>
      </c>
      <c r="C5876" t="s">
        <v>1195</v>
      </c>
    </row>
    <row r="5877" spans="2:3" x14ac:dyDescent="0.35">
      <c r="B5877" t="s">
        <v>1195</v>
      </c>
      <c r="C5877" t="s">
        <v>1195</v>
      </c>
    </row>
    <row r="5878" spans="2:3" x14ac:dyDescent="0.35">
      <c r="B5878" t="s">
        <v>638</v>
      </c>
      <c r="C5878" t="s">
        <v>639</v>
      </c>
    </row>
    <row r="5879" spans="2:3" x14ac:dyDescent="0.35">
      <c r="B5879" t="s">
        <v>638</v>
      </c>
      <c r="C5879" t="s">
        <v>639</v>
      </c>
    </row>
    <row r="5880" spans="2:3" x14ac:dyDescent="0.35">
      <c r="B5880" t="s">
        <v>543</v>
      </c>
      <c r="C5880" t="s">
        <v>544</v>
      </c>
    </row>
    <row r="5881" spans="2:3" x14ac:dyDescent="0.35">
      <c r="B5881" t="s">
        <v>254</v>
      </c>
      <c r="C5881" t="s">
        <v>255</v>
      </c>
    </row>
    <row r="5882" spans="2:3" x14ac:dyDescent="0.35">
      <c r="B5882" t="s">
        <v>573</v>
      </c>
      <c r="C5882" t="s">
        <v>574</v>
      </c>
    </row>
    <row r="5883" spans="2:3" x14ac:dyDescent="0.35">
      <c r="B5883" t="s">
        <v>1061</v>
      </c>
      <c r="C5883" t="s">
        <v>1062</v>
      </c>
    </row>
    <row r="5884" spans="2:3" x14ac:dyDescent="0.35">
      <c r="B5884" t="s">
        <v>293</v>
      </c>
      <c r="C5884" t="s">
        <v>294</v>
      </c>
    </row>
    <row r="5885" spans="2:3" x14ac:dyDescent="0.35">
      <c r="B5885" t="s">
        <v>787</v>
      </c>
      <c r="C5885" t="s">
        <v>788</v>
      </c>
    </row>
    <row r="5886" spans="2:3" x14ac:dyDescent="0.35">
      <c r="B5886" t="s">
        <v>384</v>
      </c>
      <c r="C5886" t="s">
        <v>385</v>
      </c>
    </row>
    <row r="5887" spans="2:3" x14ac:dyDescent="0.35">
      <c r="B5887" t="s">
        <v>694</v>
      </c>
      <c r="C5887" t="s">
        <v>695</v>
      </c>
    </row>
    <row r="5888" spans="2:3" x14ac:dyDescent="0.35">
      <c r="B5888" t="s">
        <v>1195</v>
      </c>
      <c r="C5888" t="s">
        <v>1195</v>
      </c>
    </row>
    <row r="5889" spans="2:3" x14ac:dyDescent="0.35">
      <c r="B5889" t="s">
        <v>232</v>
      </c>
      <c r="C5889" t="s">
        <v>233</v>
      </c>
    </row>
    <row r="5890" spans="2:3" x14ac:dyDescent="0.35">
      <c r="B5890" t="s">
        <v>638</v>
      </c>
      <c r="C5890" t="s">
        <v>639</v>
      </c>
    </row>
    <row r="5891" spans="2:3" x14ac:dyDescent="0.35">
      <c r="B5891" t="s">
        <v>561</v>
      </c>
      <c r="C5891" t="s">
        <v>562</v>
      </c>
    </row>
    <row r="5892" spans="2:3" x14ac:dyDescent="0.35">
      <c r="B5892" t="s">
        <v>378</v>
      </c>
      <c r="C5892" t="s">
        <v>379</v>
      </c>
    </row>
    <row r="5893" spans="2:3" x14ac:dyDescent="0.35">
      <c r="B5893" t="s">
        <v>559</v>
      </c>
      <c r="C5893" t="s">
        <v>560</v>
      </c>
    </row>
    <row r="5894" spans="2:3" x14ac:dyDescent="0.35">
      <c r="B5894" t="s">
        <v>178</v>
      </c>
      <c r="C5894" t="s">
        <v>179</v>
      </c>
    </row>
    <row r="5895" spans="2:3" x14ac:dyDescent="0.35">
      <c r="B5895" t="s">
        <v>787</v>
      </c>
      <c r="C5895" t="s">
        <v>788</v>
      </c>
    </row>
    <row r="5896" spans="2:3" x14ac:dyDescent="0.35">
      <c r="B5896" t="s">
        <v>202</v>
      </c>
      <c r="C5896" t="s">
        <v>203</v>
      </c>
    </row>
    <row r="5897" spans="2:3" x14ac:dyDescent="0.35">
      <c r="B5897" t="s">
        <v>787</v>
      </c>
      <c r="C5897" t="s">
        <v>788</v>
      </c>
    </row>
    <row r="5898" spans="2:3" x14ac:dyDescent="0.35">
      <c r="B5898" t="s">
        <v>208</v>
      </c>
      <c r="C5898" t="s">
        <v>209</v>
      </c>
    </row>
    <row r="5899" spans="2:3" x14ac:dyDescent="0.35">
      <c r="B5899" t="s">
        <v>202</v>
      </c>
      <c r="C5899" t="s">
        <v>203</v>
      </c>
    </row>
    <row r="5900" spans="2:3" x14ac:dyDescent="0.35">
      <c r="B5900" t="s">
        <v>260</v>
      </c>
      <c r="C5900" t="s">
        <v>261</v>
      </c>
    </row>
    <row r="5901" spans="2:3" x14ac:dyDescent="0.35">
      <c r="B5901" t="s">
        <v>511</v>
      </c>
      <c r="C5901" t="s">
        <v>512</v>
      </c>
    </row>
    <row r="5902" spans="2:3" x14ac:dyDescent="0.35">
      <c r="B5902" t="s">
        <v>384</v>
      </c>
      <c r="C5902" t="s">
        <v>385</v>
      </c>
    </row>
    <row r="5903" spans="2:3" x14ac:dyDescent="0.35">
      <c r="B5903" t="s">
        <v>870</v>
      </c>
      <c r="C5903" t="s">
        <v>871</v>
      </c>
    </row>
    <row r="5904" spans="2:3" x14ac:dyDescent="0.35">
      <c r="B5904" t="s">
        <v>178</v>
      </c>
      <c r="C5904" t="s">
        <v>179</v>
      </c>
    </row>
    <row r="5905" spans="2:3" x14ac:dyDescent="0.35">
      <c r="B5905" t="s">
        <v>465</v>
      </c>
      <c r="C5905" t="s">
        <v>466</v>
      </c>
    </row>
    <row r="5906" spans="2:3" x14ac:dyDescent="0.35">
      <c r="B5906" t="s">
        <v>618</v>
      </c>
      <c r="C5906" t="s">
        <v>619</v>
      </c>
    </row>
    <row r="5907" spans="2:3" x14ac:dyDescent="0.35">
      <c r="B5907" t="s">
        <v>350</v>
      </c>
      <c r="C5907" t="s">
        <v>351</v>
      </c>
    </row>
    <row r="5908" spans="2:3" x14ac:dyDescent="0.35">
      <c r="B5908" t="s">
        <v>202</v>
      </c>
      <c r="C5908" t="s">
        <v>203</v>
      </c>
    </row>
    <row r="5909" spans="2:3" x14ac:dyDescent="0.35">
      <c r="B5909" t="s">
        <v>703</v>
      </c>
      <c r="C5909" t="s">
        <v>704</v>
      </c>
    </row>
    <row r="5910" spans="2:3" x14ac:dyDescent="0.35">
      <c r="B5910" t="s">
        <v>662</v>
      </c>
      <c r="C5910" t="s">
        <v>663</v>
      </c>
    </row>
    <row r="5911" spans="2:3" x14ac:dyDescent="0.35">
      <c r="B5911" t="s">
        <v>105</v>
      </c>
      <c r="C5911" t="s">
        <v>106</v>
      </c>
    </row>
    <row r="5912" spans="2:3" x14ac:dyDescent="0.35">
      <c r="B5912" t="s">
        <v>787</v>
      </c>
      <c r="C5912" t="s">
        <v>788</v>
      </c>
    </row>
    <row r="5913" spans="2:3" x14ac:dyDescent="0.35">
      <c r="B5913" t="s">
        <v>587</v>
      </c>
      <c r="C5913" t="s">
        <v>588</v>
      </c>
    </row>
    <row r="5914" spans="2:3" x14ac:dyDescent="0.35">
      <c r="B5914" t="s">
        <v>573</v>
      </c>
      <c r="C5914" t="s">
        <v>574</v>
      </c>
    </row>
    <row r="5915" spans="2:3" x14ac:dyDescent="0.35">
      <c r="B5915" t="s">
        <v>1195</v>
      </c>
      <c r="C5915" t="s">
        <v>1195</v>
      </c>
    </row>
    <row r="5916" spans="2:3" x14ac:dyDescent="0.35">
      <c r="B5916" t="s">
        <v>445</v>
      </c>
      <c r="C5916" t="s">
        <v>446</v>
      </c>
    </row>
    <row r="5917" spans="2:3" x14ac:dyDescent="0.35">
      <c r="B5917" t="s">
        <v>252</v>
      </c>
      <c r="C5917" t="s">
        <v>253</v>
      </c>
    </row>
    <row r="5918" spans="2:3" x14ac:dyDescent="0.35">
      <c r="B5918" t="s">
        <v>577</v>
      </c>
      <c r="C5918" t="s">
        <v>578</v>
      </c>
    </row>
    <row r="5919" spans="2:3" x14ac:dyDescent="0.35">
      <c r="B5919" t="s">
        <v>202</v>
      </c>
      <c r="C5919" t="s">
        <v>203</v>
      </c>
    </row>
    <row r="5920" spans="2:3" x14ac:dyDescent="0.35">
      <c r="B5920" t="s">
        <v>219</v>
      </c>
      <c r="C5920" t="s">
        <v>220</v>
      </c>
    </row>
    <row r="5921" spans="2:3" x14ac:dyDescent="0.35">
      <c r="B5921" t="s">
        <v>573</v>
      </c>
      <c r="C5921" t="s">
        <v>574</v>
      </c>
    </row>
    <row r="5922" spans="2:3" x14ac:dyDescent="0.35">
      <c r="B5922" t="s">
        <v>575</v>
      </c>
      <c r="C5922" t="s">
        <v>576</v>
      </c>
    </row>
    <row r="5923" spans="2:3" x14ac:dyDescent="0.35">
      <c r="B5923" t="s">
        <v>787</v>
      </c>
      <c r="C5923" t="s">
        <v>788</v>
      </c>
    </row>
    <row r="5924" spans="2:3" x14ac:dyDescent="0.35">
      <c r="B5924" t="s">
        <v>252</v>
      </c>
      <c r="C5924" t="s">
        <v>253</v>
      </c>
    </row>
    <row r="5925" spans="2:3" x14ac:dyDescent="0.35">
      <c r="B5925" t="s">
        <v>787</v>
      </c>
      <c r="C5925" t="s">
        <v>788</v>
      </c>
    </row>
    <row r="5926" spans="2:3" x14ac:dyDescent="0.35">
      <c r="B5926" t="s">
        <v>616</v>
      </c>
      <c r="C5926" t="s">
        <v>617</v>
      </c>
    </row>
    <row r="5927" spans="2:3" x14ac:dyDescent="0.35">
      <c r="B5927" t="s">
        <v>632</v>
      </c>
      <c r="C5927" t="s">
        <v>633</v>
      </c>
    </row>
    <row r="5928" spans="2:3" x14ac:dyDescent="0.35">
      <c r="B5928" t="s">
        <v>531</v>
      </c>
      <c r="C5928" t="s">
        <v>532</v>
      </c>
    </row>
    <row r="5929" spans="2:3" x14ac:dyDescent="0.35">
      <c r="B5929" t="s">
        <v>131</v>
      </c>
      <c r="C5929" t="s">
        <v>132</v>
      </c>
    </row>
    <row r="5930" spans="2:3" x14ac:dyDescent="0.35">
      <c r="B5930" t="s">
        <v>694</v>
      </c>
      <c r="C5930" t="s">
        <v>695</v>
      </c>
    </row>
    <row r="5931" spans="2:3" x14ac:dyDescent="0.35">
      <c r="B5931" t="s">
        <v>577</v>
      </c>
      <c r="C5931" t="s">
        <v>578</v>
      </c>
    </row>
    <row r="5932" spans="2:3" x14ac:dyDescent="0.35">
      <c r="B5932" t="s">
        <v>787</v>
      </c>
      <c r="C5932" t="s">
        <v>788</v>
      </c>
    </row>
    <row r="5933" spans="2:3" x14ac:dyDescent="0.35">
      <c r="B5933" t="s">
        <v>642</v>
      </c>
      <c r="C5933" t="s">
        <v>643</v>
      </c>
    </row>
    <row r="5934" spans="2:3" x14ac:dyDescent="0.35">
      <c r="B5934" t="s">
        <v>384</v>
      </c>
      <c r="C5934" t="s">
        <v>385</v>
      </c>
    </row>
    <row r="5935" spans="2:3" x14ac:dyDescent="0.35">
      <c r="B5935" t="s">
        <v>260</v>
      </c>
      <c r="C5935" t="s">
        <v>261</v>
      </c>
    </row>
    <row r="5936" spans="2:3" x14ac:dyDescent="0.35">
      <c r="B5936" t="s">
        <v>174</v>
      </c>
      <c r="C5936" t="s">
        <v>175</v>
      </c>
    </row>
    <row r="5937" spans="2:3" x14ac:dyDescent="0.35">
      <c r="B5937" t="s">
        <v>457</v>
      </c>
      <c r="C5937" t="s">
        <v>458</v>
      </c>
    </row>
    <row r="5938" spans="2:3" x14ac:dyDescent="0.35">
      <c r="B5938" t="s">
        <v>543</v>
      </c>
      <c r="C5938" t="s">
        <v>544</v>
      </c>
    </row>
    <row r="5939" spans="2:3" x14ac:dyDescent="0.35">
      <c r="B5939" t="s">
        <v>545</v>
      </c>
      <c r="C5939" t="s">
        <v>546</v>
      </c>
    </row>
    <row r="5940" spans="2:3" x14ac:dyDescent="0.35">
      <c r="B5940" t="s">
        <v>787</v>
      </c>
      <c r="C5940" t="s">
        <v>788</v>
      </c>
    </row>
    <row r="5941" spans="2:3" x14ac:dyDescent="0.35">
      <c r="B5941" t="s">
        <v>437</v>
      </c>
      <c r="C5941" t="s">
        <v>438</v>
      </c>
    </row>
    <row r="5942" spans="2:3" x14ac:dyDescent="0.35">
      <c r="B5942" t="s">
        <v>84</v>
      </c>
      <c r="C5942" t="s">
        <v>85</v>
      </c>
    </row>
    <row r="5943" spans="2:3" x14ac:dyDescent="0.35">
      <c r="B5943" t="s">
        <v>543</v>
      </c>
      <c r="C5943" t="s">
        <v>544</v>
      </c>
    </row>
    <row r="5944" spans="2:3" x14ac:dyDescent="0.35">
      <c r="B5944" t="s">
        <v>178</v>
      </c>
      <c r="C5944" t="s">
        <v>179</v>
      </c>
    </row>
    <row r="5945" spans="2:3" x14ac:dyDescent="0.35">
      <c r="B5945" t="s">
        <v>662</v>
      </c>
      <c r="C5945" t="s">
        <v>663</v>
      </c>
    </row>
    <row r="5946" spans="2:3" x14ac:dyDescent="0.35">
      <c r="B5946" t="s">
        <v>200</v>
      </c>
      <c r="C5946" t="s">
        <v>201</v>
      </c>
    </row>
    <row r="5947" spans="2:3" x14ac:dyDescent="0.35">
      <c r="B5947" t="s">
        <v>449</v>
      </c>
      <c r="C5947" t="s">
        <v>450</v>
      </c>
    </row>
    <row r="5948" spans="2:3" x14ac:dyDescent="0.35">
      <c r="B5948" t="s">
        <v>527</v>
      </c>
      <c r="C5948" t="s">
        <v>528</v>
      </c>
    </row>
    <row r="5949" spans="2:3" x14ac:dyDescent="0.35">
      <c r="B5949" t="s">
        <v>283</v>
      </c>
      <c r="C5949" t="s">
        <v>284</v>
      </c>
    </row>
    <row r="5950" spans="2:3" x14ac:dyDescent="0.35">
      <c r="B5950" t="s">
        <v>299</v>
      </c>
      <c r="C5950" t="s">
        <v>300</v>
      </c>
    </row>
    <row r="5951" spans="2:3" x14ac:dyDescent="0.35">
      <c r="B5951" t="s">
        <v>378</v>
      </c>
      <c r="C5951" t="s">
        <v>379</v>
      </c>
    </row>
    <row r="5952" spans="2:3" x14ac:dyDescent="0.35">
      <c r="B5952" t="s">
        <v>642</v>
      </c>
      <c r="C5952" t="s">
        <v>643</v>
      </c>
    </row>
    <row r="5953" spans="2:3" x14ac:dyDescent="0.35">
      <c r="B5953" t="s">
        <v>577</v>
      </c>
      <c r="C5953" t="s">
        <v>578</v>
      </c>
    </row>
    <row r="5954" spans="2:3" x14ac:dyDescent="0.35">
      <c r="B5954" t="s">
        <v>787</v>
      </c>
      <c r="C5954" t="s">
        <v>788</v>
      </c>
    </row>
    <row r="5955" spans="2:3" x14ac:dyDescent="0.35">
      <c r="B5955" t="s">
        <v>254</v>
      </c>
      <c r="C5955" t="s">
        <v>255</v>
      </c>
    </row>
    <row r="5956" spans="2:3" x14ac:dyDescent="0.35">
      <c r="B5956" t="s">
        <v>787</v>
      </c>
      <c r="C5956" t="s">
        <v>788</v>
      </c>
    </row>
    <row r="5957" spans="2:3" x14ac:dyDescent="0.35">
      <c r="B5957" t="s">
        <v>384</v>
      </c>
      <c r="C5957" t="s">
        <v>385</v>
      </c>
    </row>
    <row r="5958" spans="2:3" x14ac:dyDescent="0.35">
      <c r="B5958" t="s">
        <v>700</v>
      </c>
      <c r="C5958" t="s">
        <v>701</v>
      </c>
    </row>
    <row r="5959" spans="2:3" x14ac:dyDescent="0.35">
      <c r="B5959" t="s">
        <v>271</v>
      </c>
      <c r="C5959" t="s">
        <v>272</v>
      </c>
    </row>
    <row r="5960" spans="2:3" x14ac:dyDescent="0.35">
      <c r="B5960" t="s">
        <v>511</v>
      </c>
      <c r="C5960" t="s">
        <v>512</v>
      </c>
    </row>
    <row r="5961" spans="2:3" x14ac:dyDescent="0.35">
      <c r="B5961" t="s">
        <v>545</v>
      </c>
      <c r="C5961" t="s">
        <v>546</v>
      </c>
    </row>
    <row r="5962" spans="2:3" x14ac:dyDescent="0.35">
      <c r="B5962" t="s">
        <v>787</v>
      </c>
      <c r="C5962" t="s">
        <v>788</v>
      </c>
    </row>
    <row r="5963" spans="2:3" x14ac:dyDescent="0.35">
      <c r="B5963" t="s">
        <v>961</v>
      </c>
      <c r="C5963" t="s">
        <v>962</v>
      </c>
    </row>
    <row r="5964" spans="2:3" x14ac:dyDescent="0.35">
      <c r="B5964" t="s">
        <v>200</v>
      </c>
      <c r="C5964" t="s">
        <v>201</v>
      </c>
    </row>
    <row r="5965" spans="2:3" x14ac:dyDescent="0.35">
      <c r="B5965" t="s">
        <v>252</v>
      </c>
      <c r="C5965" t="s">
        <v>253</v>
      </c>
    </row>
    <row r="5966" spans="2:3" x14ac:dyDescent="0.35">
      <c r="B5966" t="s">
        <v>401</v>
      </c>
      <c r="C5966" t="s">
        <v>402</v>
      </c>
    </row>
    <row r="5967" spans="2:3" x14ac:dyDescent="0.35">
      <c r="B5967" t="s">
        <v>559</v>
      </c>
      <c r="C5967" t="s">
        <v>560</v>
      </c>
    </row>
    <row r="5968" spans="2:3" x14ac:dyDescent="0.35">
      <c r="B5968" t="s">
        <v>128</v>
      </c>
      <c r="C5968" t="s">
        <v>129</v>
      </c>
    </row>
    <row r="5969" spans="2:3" x14ac:dyDescent="0.35">
      <c r="B5969" t="s">
        <v>787</v>
      </c>
      <c r="C5969" t="s">
        <v>788</v>
      </c>
    </row>
    <row r="5970" spans="2:3" x14ac:dyDescent="0.35">
      <c r="B5970" t="s">
        <v>543</v>
      </c>
      <c r="C5970" t="s">
        <v>544</v>
      </c>
    </row>
    <row r="5971" spans="2:3" x14ac:dyDescent="0.35">
      <c r="B5971" t="s">
        <v>507</v>
      </c>
      <c r="C5971" t="s">
        <v>508</v>
      </c>
    </row>
    <row r="5972" spans="2:3" x14ac:dyDescent="0.35">
      <c r="B5972" t="s">
        <v>1195</v>
      </c>
      <c r="C5972" t="s">
        <v>1195</v>
      </c>
    </row>
    <row r="5973" spans="2:3" x14ac:dyDescent="0.35">
      <c r="B5973" t="s">
        <v>291</v>
      </c>
      <c r="C5973" t="s">
        <v>292</v>
      </c>
    </row>
    <row r="5974" spans="2:3" x14ac:dyDescent="0.35">
      <c r="B5974" t="s">
        <v>787</v>
      </c>
      <c r="C5974" t="s">
        <v>788</v>
      </c>
    </row>
    <row r="5975" spans="2:3" x14ac:dyDescent="0.35">
      <c r="B5975" t="s">
        <v>128</v>
      </c>
      <c r="C5975" t="s">
        <v>129</v>
      </c>
    </row>
    <row r="5976" spans="2:3" x14ac:dyDescent="0.35">
      <c r="B5976" t="s">
        <v>447</v>
      </c>
      <c r="C5976" t="s">
        <v>448</v>
      </c>
    </row>
    <row r="5977" spans="2:3" x14ac:dyDescent="0.35">
      <c r="B5977" t="s">
        <v>1195</v>
      </c>
      <c r="C5977" t="s">
        <v>1195</v>
      </c>
    </row>
    <row r="5978" spans="2:3" x14ac:dyDescent="0.35">
      <c r="B5978" t="s">
        <v>163</v>
      </c>
      <c r="C5978" t="s">
        <v>164</v>
      </c>
    </row>
    <row r="5979" spans="2:3" x14ac:dyDescent="0.35">
      <c r="B5979" t="s">
        <v>557</v>
      </c>
      <c r="C5979" t="s">
        <v>558</v>
      </c>
    </row>
    <row r="5980" spans="2:3" x14ac:dyDescent="0.35">
      <c r="B5980" t="s">
        <v>963</v>
      </c>
      <c r="C5980" t="s">
        <v>964</v>
      </c>
    </row>
    <row r="5981" spans="2:3" x14ac:dyDescent="0.35">
      <c r="B5981" t="s">
        <v>610</v>
      </c>
      <c r="C5981" t="s">
        <v>611</v>
      </c>
    </row>
    <row r="5982" spans="2:3" x14ac:dyDescent="0.35">
      <c r="B5982" t="s">
        <v>467</v>
      </c>
      <c r="C5982" t="s">
        <v>468</v>
      </c>
    </row>
    <row r="5983" spans="2:3" x14ac:dyDescent="0.35">
      <c r="B5983" t="s">
        <v>395</v>
      </c>
      <c r="C5983" t="s">
        <v>396</v>
      </c>
    </row>
    <row r="5984" spans="2:3" x14ac:dyDescent="0.35">
      <c r="B5984" t="s">
        <v>787</v>
      </c>
      <c r="C5984" t="s">
        <v>788</v>
      </c>
    </row>
    <row r="5985" spans="2:3" x14ac:dyDescent="0.35">
      <c r="B5985" t="s">
        <v>618</v>
      </c>
      <c r="C5985" t="s">
        <v>619</v>
      </c>
    </row>
    <row r="5986" spans="2:3" x14ac:dyDescent="0.35">
      <c r="B5986" t="s">
        <v>648</v>
      </c>
      <c r="C5986" t="s">
        <v>649</v>
      </c>
    </row>
    <row r="5987" spans="2:3" x14ac:dyDescent="0.35">
      <c r="B5987" t="s">
        <v>1195</v>
      </c>
      <c r="C5987" t="s">
        <v>1195</v>
      </c>
    </row>
    <row r="5988" spans="2:3" x14ac:dyDescent="0.35">
      <c r="B5988" t="s">
        <v>601</v>
      </c>
      <c r="C5988" t="s">
        <v>602</v>
      </c>
    </row>
    <row r="5989" spans="2:3" x14ac:dyDescent="0.35">
      <c r="B5989" t="s">
        <v>692</v>
      </c>
      <c r="C5989" t="s">
        <v>693</v>
      </c>
    </row>
    <row r="5990" spans="2:3" x14ac:dyDescent="0.35">
      <c r="B5990" t="s">
        <v>1195</v>
      </c>
      <c r="C5990" t="s">
        <v>1195</v>
      </c>
    </row>
    <row r="5991" spans="2:3" x14ac:dyDescent="0.35">
      <c r="B5991" t="s">
        <v>787</v>
      </c>
      <c r="C5991" t="s">
        <v>788</v>
      </c>
    </row>
    <row r="5992" spans="2:3" x14ac:dyDescent="0.35">
      <c r="B5992" t="s">
        <v>787</v>
      </c>
      <c r="C5992" t="s">
        <v>788</v>
      </c>
    </row>
    <row r="5993" spans="2:3" x14ac:dyDescent="0.35">
      <c r="B5993" t="s">
        <v>360</v>
      </c>
      <c r="C5993" t="s">
        <v>361</v>
      </c>
    </row>
    <row r="5994" spans="2:3" x14ac:dyDescent="0.35">
      <c r="B5994" t="s">
        <v>254</v>
      </c>
      <c r="C5994" t="s">
        <v>255</v>
      </c>
    </row>
    <row r="5995" spans="2:3" x14ac:dyDescent="0.35">
      <c r="B5995" t="s">
        <v>1195</v>
      </c>
      <c r="C5995" t="s">
        <v>1195</v>
      </c>
    </row>
    <row r="5996" spans="2:3" x14ac:dyDescent="0.35">
      <c r="B5996" t="s">
        <v>495</v>
      </c>
      <c r="C5996" t="s">
        <v>496</v>
      </c>
    </row>
    <row r="5997" spans="2:3" x14ac:dyDescent="0.35">
      <c r="B5997" t="s">
        <v>787</v>
      </c>
      <c r="C5997" t="s">
        <v>788</v>
      </c>
    </row>
    <row r="5998" spans="2:3" x14ac:dyDescent="0.35">
      <c r="B5998" t="s">
        <v>178</v>
      </c>
      <c r="C5998" t="s">
        <v>179</v>
      </c>
    </row>
    <row r="5999" spans="2:3" x14ac:dyDescent="0.35">
      <c r="B5999" t="s">
        <v>1195</v>
      </c>
      <c r="C5999" t="s">
        <v>1195</v>
      </c>
    </row>
    <row r="6000" spans="2:3" x14ac:dyDescent="0.35">
      <c r="B6000" t="s">
        <v>200</v>
      </c>
      <c r="C6000" t="s">
        <v>201</v>
      </c>
    </row>
    <row r="6001" spans="2:3" x14ac:dyDescent="0.35">
      <c r="B6001" t="s">
        <v>174</v>
      </c>
      <c r="C6001" t="s">
        <v>175</v>
      </c>
    </row>
    <row r="6002" spans="2:3" x14ac:dyDescent="0.35">
      <c r="B6002" t="s">
        <v>537</v>
      </c>
      <c r="C6002" t="s">
        <v>538</v>
      </c>
    </row>
    <row r="6003" spans="2:3" x14ac:dyDescent="0.35">
      <c r="B6003" t="s">
        <v>607</v>
      </c>
      <c r="C6003" t="s">
        <v>608</v>
      </c>
    </row>
    <row r="6004" spans="2:3" x14ac:dyDescent="0.35">
      <c r="B6004" t="s">
        <v>465</v>
      </c>
      <c r="C6004" t="s">
        <v>466</v>
      </c>
    </row>
    <row r="6005" spans="2:3" x14ac:dyDescent="0.35">
      <c r="B6005" t="s">
        <v>537</v>
      </c>
      <c r="C6005" t="s">
        <v>538</v>
      </c>
    </row>
    <row r="6006" spans="2:3" x14ac:dyDescent="0.35">
      <c r="B6006" t="s">
        <v>787</v>
      </c>
      <c r="C6006" t="s">
        <v>788</v>
      </c>
    </row>
    <row r="6007" spans="2:3" x14ac:dyDescent="0.35">
      <c r="B6007" t="s">
        <v>963</v>
      </c>
      <c r="C6007" t="s">
        <v>964</v>
      </c>
    </row>
    <row r="6008" spans="2:3" x14ac:dyDescent="0.35">
      <c r="B6008" t="s">
        <v>575</v>
      </c>
      <c r="C6008" t="s">
        <v>576</v>
      </c>
    </row>
    <row r="6009" spans="2:3" x14ac:dyDescent="0.35">
      <c r="B6009" t="s">
        <v>543</v>
      </c>
      <c r="C6009" t="s">
        <v>544</v>
      </c>
    </row>
    <row r="6010" spans="2:3" x14ac:dyDescent="0.35">
      <c r="B6010" t="s">
        <v>787</v>
      </c>
      <c r="C6010" t="s">
        <v>788</v>
      </c>
    </row>
    <row r="6011" spans="2:3" x14ac:dyDescent="0.35">
      <c r="B6011" t="s">
        <v>640</v>
      </c>
      <c r="C6011" t="s">
        <v>641</v>
      </c>
    </row>
    <row r="6012" spans="2:3" x14ac:dyDescent="0.35">
      <c r="B6012" t="s">
        <v>694</v>
      </c>
      <c r="C6012" t="s">
        <v>695</v>
      </c>
    </row>
    <row r="6013" spans="2:3" x14ac:dyDescent="0.35">
      <c r="B6013" t="s">
        <v>787</v>
      </c>
      <c r="C6013" t="s">
        <v>788</v>
      </c>
    </row>
    <row r="6014" spans="2:3" x14ac:dyDescent="0.35">
      <c r="B6014" t="s">
        <v>638</v>
      </c>
      <c r="C6014" t="s">
        <v>639</v>
      </c>
    </row>
    <row r="6015" spans="2:3" x14ac:dyDescent="0.35">
      <c r="B6015" t="s">
        <v>559</v>
      </c>
      <c r="C6015" t="s">
        <v>560</v>
      </c>
    </row>
    <row r="6016" spans="2:3" x14ac:dyDescent="0.35">
      <c r="B6016" t="s">
        <v>1195</v>
      </c>
      <c r="C6016" t="s">
        <v>1195</v>
      </c>
    </row>
    <row r="6017" spans="2:3" x14ac:dyDescent="0.35">
      <c r="B6017" t="s">
        <v>559</v>
      </c>
      <c r="C6017" t="s">
        <v>560</v>
      </c>
    </row>
    <row r="6018" spans="2:3" x14ac:dyDescent="0.35">
      <c r="B6018" t="s">
        <v>557</v>
      </c>
      <c r="C6018" t="s">
        <v>558</v>
      </c>
    </row>
    <row r="6019" spans="2:3" x14ac:dyDescent="0.35">
      <c r="B6019" t="s">
        <v>593</v>
      </c>
      <c r="C6019" t="s">
        <v>594</v>
      </c>
    </row>
    <row r="6020" spans="2:3" x14ac:dyDescent="0.35">
      <c r="B6020" t="s">
        <v>787</v>
      </c>
      <c r="C6020" t="s">
        <v>788</v>
      </c>
    </row>
    <row r="6021" spans="2:3" x14ac:dyDescent="0.35">
      <c r="B6021" t="s">
        <v>1195</v>
      </c>
      <c r="C6021" t="s">
        <v>1195</v>
      </c>
    </row>
    <row r="6022" spans="2:3" x14ac:dyDescent="0.35">
      <c r="B6022" t="s">
        <v>537</v>
      </c>
      <c r="C6022" t="s">
        <v>538</v>
      </c>
    </row>
    <row r="6023" spans="2:3" x14ac:dyDescent="0.35">
      <c r="B6023" t="s">
        <v>378</v>
      </c>
      <c r="C6023" t="s">
        <v>379</v>
      </c>
    </row>
    <row r="6024" spans="2:3" x14ac:dyDescent="0.35">
      <c r="B6024" t="s">
        <v>700</v>
      </c>
      <c r="C6024" t="s">
        <v>701</v>
      </c>
    </row>
    <row r="6025" spans="2:3" x14ac:dyDescent="0.35">
      <c r="B6025" t="s">
        <v>82</v>
      </c>
      <c r="C6025" t="s">
        <v>83</v>
      </c>
    </row>
    <row r="6026" spans="2:3" x14ac:dyDescent="0.35">
      <c r="B6026" t="s">
        <v>787</v>
      </c>
      <c r="C6026" t="s">
        <v>788</v>
      </c>
    </row>
    <row r="6027" spans="2:3" x14ac:dyDescent="0.35">
      <c r="B6027" t="s">
        <v>378</v>
      </c>
      <c r="C6027" t="s">
        <v>379</v>
      </c>
    </row>
    <row r="6028" spans="2:3" x14ac:dyDescent="0.35">
      <c r="B6028" t="s">
        <v>624</v>
      </c>
      <c r="C6028" t="s">
        <v>625</v>
      </c>
    </row>
    <row r="6029" spans="2:3" x14ac:dyDescent="0.35">
      <c r="B6029" t="s">
        <v>202</v>
      </c>
      <c r="C6029" t="s">
        <v>203</v>
      </c>
    </row>
    <row r="6030" spans="2:3" x14ac:dyDescent="0.35">
      <c r="B6030" t="s">
        <v>787</v>
      </c>
      <c r="C6030" t="s">
        <v>788</v>
      </c>
    </row>
    <row r="6031" spans="2:3" x14ac:dyDescent="0.35">
      <c r="B6031" t="s">
        <v>200</v>
      </c>
      <c r="C6031" t="s">
        <v>201</v>
      </c>
    </row>
    <row r="6032" spans="2:3" x14ac:dyDescent="0.35">
      <c r="B6032" t="s">
        <v>642</v>
      </c>
      <c r="C6032" t="s">
        <v>643</v>
      </c>
    </row>
    <row r="6033" spans="2:3" x14ac:dyDescent="0.35">
      <c r="B6033" t="s">
        <v>787</v>
      </c>
      <c r="C6033" t="s">
        <v>788</v>
      </c>
    </row>
    <row r="6034" spans="2:3" x14ac:dyDescent="0.35">
      <c r="B6034" t="s">
        <v>866</v>
      </c>
      <c r="C6034" t="s">
        <v>867</v>
      </c>
    </row>
    <row r="6035" spans="2:3" x14ac:dyDescent="0.35">
      <c r="B6035" t="s">
        <v>787</v>
      </c>
      <c r="C6035" t="s">
        <v>788</v>
      </c>
    </row>
    <row r="6036" spans="2:3" x14ac:dyDescent="0.35">
      <c r="B6036" t="s">
        <v>804</v>
      </c>
      <c r="C6036" t="s">
        <v>805</v>
      </c>
    </row>
    <row r="6037" spans="2:3" x14ac:dyDescent="0.35">
      <c r="B6037" t="s">
        <v>804</v>
      </c>
      <c r="C6037" t="s">
        <v>805</v>
      </c>
    </row>
    <row r="6038" spans="2:3" x14ac:dyDescent="0.35">
      <c r="B6038" t="s">
        <v>703</v>
      </c>
      <c r="C6038" t="s">
        <v>704</v>
      </c>
    </row>
    <row r="6039" spans="2:3" x14ac:dyDescent="0.35">
      <c r="B6039" t="s">
        <v>1195</v>
      </c>
      <c r="C6039" t="s">
        <v>1195</v>
      </c>
    </row>
    <row r="6040" spans="2:3" x14ac:dyDescent="0.35">
      <c r="B6040" t="s">
        <v>378</v>
      </c>
      <c r="C6040" t="s">
        <v>379</v>
      </c>
    </row>
    <row r="6041" spans="2:3" x14ac:dyDescent="0.35">
      <c r="B6041" t="s">
        <v>1195</v>
      </c>
      <c r="C6041" t="s">
        <v>1195</v>
      </c>
    </row>
    <row r="6042" spans="2:3" x14ac:dyDescent="0.35">
      <c r="B6042" t="s">
        <v>662</v>
      </c>
      <c r="C6042" t="s">
        <v>663</v>
      </c>
    </row>
    <row r="6043" spans="2:3" x14ac:dyDescent="0.35">
      <c r="B6043" t="s">
        <v>360</v>
      </c>
      <c r="C6043" t="s">
        <v>361</v>
      </c>
    </row>
    <row r="6044" spans="2:3" x14ac:dyDescent="0.35">
      <c r="B6044" t="s">
        <v>1195</v>
      </c>
      <c r="C6044" t="s">
        <v>1195</v>
      </c>
    </row>
    <row r="6045" spans="2:3" x14ac:dyDescent="0.35">
      <c r="B6045" t="s">
        <v>105</v>
      </c>
      <c r="C6045" t="s">
        <v>106</v>
      </c>
    </row>
    <row r="6046" spans="2:3" x14ac:dyDescent="0.35">
      <c r="B6046" t="s">
        <v>208</v>
      </c>
      <c r="C6046" t="s">
        <v>209</v>
      </c>
    </row>
    <row r="6047" spans="2:3" x14ac:dyDescent="0.35">
      <c r="B6047" t="s">
        <v>527</v>
      </c>
      <c r="C6047" t="s">
        <v>528</v>
      </c>
    </row>
    <row r="6048" spans="2:3" x14ac:dyDescent="0.35">
      <c r="B6048" t="s">
        <v>874</v>
      </c>
      <c r="C6048" t="s">
        <v>875</v>
      </c>
    </row>
    <row r="6049" spans="2:3" x14ac:dyDescent="0.35">
      <c r="B6049" t="s">
        <v>1195</v>
      </c>
      <c r="C6049" t="s">
        <v>1195</v>
      </c>
    </row>
    <row r="6050" spans="2:3" x14ac:dyDescent="0.35">
      <c r="B6050" t="s">
        <v>787</v>
      </c>
      <c r="C6050" t="s">
        <v>788</v>
      </c>
    </row>
    <row r="6051" spans="2:3" x14ac:dyDescent="0.35">
      <c r="B6051" t="s">
        <v>453</v>
      </c>
      <c r="C6051" t="s">
        <v>454</v>
      </c>
    </row>
    <row r="6052" spans="2:3" x14ac:dyDescent="0.35">
      <c r="B6052" t="s">
        <v>571</v>
      </c>
      <c r="C6052" t="s">
        <v>572</v>
      </c>
    </row>
    <row r="6053" spans="2:3" x14ac:dyDescent="0.35">
      <c r="B6053" t="s">
        <v>163</v>
      </c>
      <c r="C6053" t="s">
        <v>164</v>
      </c>
    </row>
    <row r="6054" spans="2:3" x14ac:dyDescent="0.35">
      <c r="B6054" t="s">
        <v>378</v>
      </c>
      <c r="C6054" t="s">
        <v>379</v>
      </c>
    </row>
    <row r="6055" spans="2:3" x14ac:dyDescent="0.35">
      <c r="B6055" t="s">
        <v>434</v>
      </c>
      <c r="C6055" t="s">
        <v>435</v>
      </c>
    </row>
    <row r="6056" spans="2:3" x14ac:dyDescent="0.35">
      <c r="B6056" t="s">
        <v>1195</v>
      </c>
      <c r="C6056" t="s">
        <v>1195</v>
      </c>
    </row>
    <row r="6057" spans="2:3" x14ac:dyDescent="0.35">
      <c r="B6057" t="s">
        <v>457</v>
      </c>
      <c r="C6057" t="s">
        <v>458</v>
      </c>
    </row>
    <row r="6058" spans="2:3" x14ac:dyDescent="0.35">
      <c r="B6058" t="s">
        <v>122</v>
      </c>
      <c r="C6058" t="s">
        <v>123</v>
      </c>
    </row>
    <row r="6059" spans="2:3" x14ac:dyDescent="0.35">
      <c r="B6059" t="s">
        <v>571</v>
      </c>
      <c r="C6059" t="s">
        <v>572</v>
      </c>
    </row>
    <row r="6060" spans="2:3" x14ac:dyDescent="0.35">
      <c r="B6060" t="s">
        <v>378</v>
      </c>
      <c r="C6060" t="s">
        <v>379</v>
      </c>
    </row>
    <row r="6061" spans="2:3" x14ac:dyDescent="0.35">
      <c r="B6061" t="s">
        <v>787</v>
      </c>
      <c r="C6061" t="s">
        <v>788</v>
      </c>
    </row>
    <row r="6062" spans="2:3" x14ac:dyDescent="0.35">
      <c r="B6062" t="s">
        <v>1061</v>
      </c>
      <c r="C6062" t="s">
        <v>1062</v>
      </c>
    </row>
    <row r="6063" spans="2:3" x14ac:dyDescent="0.35">
      <c r="B6063" t="s">
        <v>787</v>
      </c>
      <c r="C6063" t="s">
        <v>788</v>
      </c>
    </row>
    <row r="6064" spans="2:3" x14ac:dyDescent="0.35">
      <c r="B6064" t="s">
        <v>599</v>
      </c>
      <c r="C6064" t="s">
        <v>600</v>
      </c>
    </row>
    <row r="6065" spans="2:3" x14ac:dyDescent="0.35">
      <c r="B6065" t="s">
        <v>787</v>
      </c>
      <c r="C6065" t="s">
        <v>788</v>
      </c>
    </row>
    <row r="6066" spans="2:3" x14ac:dyDescent="0.35">
      <c r="B6066" t="s">
        <v>1195</v>
      </c>
      <c r="C6066" t="s">
        <v>1195</v>
      </c>
    </row>
    <row r="6067" spans="2:3" x14ac:dyDescent="0.35">
      <c r="B6067" t="s">
        <v>479</v>
      </c>
      <c r="C6067" t="s">
        <v>480</v>
      </c>
    </row>
    <row r="6068" spans="2:3" x14ac:dyDescent="0.35">
      <c r="B6068" t="s">
        <v>517</v>
      </c>
      <c r="C6068" t="s">
        <v>518</v>
      </c>
    </row>
    <row r="6069" spans="2:3" x14ac:dyDescent="0.35">
      <c r="B6069" t="s">
        <v>105</v>
      </c>
      <c r="C6069" t="s">
        <v>106</v>
      </c>
    </row>
    <row r="6070" spans="2:3" x14ac:dyDescent="0.35">
      <c r="B6070" t="s">
        <v>515</v>
      </c>
      <c r="C6070" t="s">
        <v>516</v>
      </c>
    </row>
    <row r="6071" spans="2:3" x14ac:dyDescent="0.35">
      <c r="B6071" t="s">
        <v>961</v>
      </c>
      <c r="C6071" t="s">
        <v>962</v>
      </c>
    </row>
    <row r="6072" spans="2:3" x14ac:dyDescent="0.35">
      <c r="B6072" t="s">
        <v>208</v>
      </c>
      <c r="C6072" t="s">
        <v>209</v>
      </c>
    </row>
    <row r="6073" spans="2:3" x14ac:dyDescent="0.35">
      <c r="B6073" t="s">
        <v>531</v>
      </c>
      <c r="C6073" t="s">
        <v>532</v>
      </c>
    </row>
    <row r="6074" spans="2:3" x14ac:dyDescent="0.35">
      <c r="B6074" t="s">
        <v>208</v>
      </c>
      <c r="C6074" t="s">
        <v>209</v>
      </c>
    </row>
    <row r="6075" spans="2:3" x14ac:dyDescent="0.35">
      <c r="B6075" t="s">
        <v>804</v>
      </c>
      <c r="C6075" t="s">
        <v>805</v>
      </c>
    </row>
    <row r="6076" spans="2:3" x14ac:dyDescent="0.35">
      <c r="B6076" t="s">
        <v>557</v>
      </c>
      <c r="C6076" t="s">
        <v>558</v>
      </c>
    </row>
    <row r="6077" spans="2:3" x14ac:dyDescent="0.35">
      <c r="B6077" t="s">
        <v>863</v>
      </c>
      <c r="C6077" t="s">
        <v>864</v>
      </c>
    </row>
    <row r="6078" spans="2:3" x14ac:dyDescent="0.35">
      <c r="B6078" t="s">
        <v>1195</v>
      </c>
      <c r="C6078" t="s">
        <v>1195</v>
      </c>
    </row>
    <row r="6079" spans="2:3" x14ac:dyDescent="0.35">
      <c r="B6079" t="s">
        <v>787</v>
      </c>
      <c r="C6079" t="s">
        <v>788</v>
      </c>
    </row>
    <row r="6080" spans="2:3" x14ac:dyDescent="0.35">
      <c r="B6080" t="s">
        <v>787</v>
      </c>
      <c r="C6080" t="s">
        <v>788</v>
      </c>
    </row>
    <row r="6081" spans="2:3" x14ac:dyDescent="0.35">
      <c r="B6081" t="s">
        <v>874</v>
      </c>
      <c r="C6081" t="s">
        <v>875</v>
      </c>
    </row>
    <row r="6082" spans="2:3" x14ac:dyDescent="0.35">
      <c r="B6082" t="s">
        <v>401</v>
      </c>
      <c r="C6082" t="s">
        <v>402</v>
      </c>
    </row>
    <row r="6083" spans="2:3" x14ac:dyDescent="0.35">
      <c r="B6083" t="s">
        <v>961</v>
      </c>
      <c r="C6083" t="s">
        <v>962</v>
      </c>
    </row>
    <row r="6084" spans="2:3" x14ac:dyDescent="0.35">
      <c r="B6084" t="s">
        <v>537</v>
      </c>
      <c r="C6084" t="s">
        <v>538</v>
      </c>
    </row>
    <row r="6085" spans="2:3" x14ac:dyDescent="0.35">
      <c r="B6085" t="s">
        <v>128</v>
      </c>
      <c r="C6085" t="s">
        <v>129</v>
      </c>
    </row>
    <row r="6086" spans="2:3" x14ac:dyDescent="0.35">
      <c r="B6086" t="s">
        <v>72</v>
      </c>
      <c r="C6086" t="s">
        <v>73</v>
      </c>
    </row>
    <row r="6087" spans="2:3" x14ac:dyDescent="0.35">
      <c r="B6087" t="s">
        <v>618</v>
      </c>
      <c r="C6087" t="s">
        <v>619</v>
      </c>
    </row>
    <row r="6088" spans="2:3" x14ac:dyDescent="0.35">
      <c r="B6088" t="s">
        <v>787</v>
      </c>
      <c r="C6088" t="s">
        <v>788</v>
      </c>
    </row>
    <row r="6089" spans="2:3" x14ac:dyDescent="0.35">
      <c r="B6089" t="s">
        <v>537</v>
      </c>
      <c r="C6089" t="s">
        <v>538</v>
      </c>
    </row>
    <row r="6090" spans="2:3" x14ac:dyDescent="0.35">
      <c r="B6090" t="s">
        <v>963</v>
      </c>
      <c r="C6090" t="s">
        <v>964</v>
      </c>
    </row>
    <row r="6091" spans="2:3" x14ac:dyDescent="0.35">
      <c r="B6091" t="s">
        <v>200</v>
      </c>
      <c r="C6091" t="s">
        <v>201</v>
      </c>
    </row>
    <row r="6092" spans="2:3" x14ac:dyDescent="0.35">
      <c r="B6092" t="s">
        <v>501</v>
      </c>
      <c r="C6092" t="s">
        <v>502</v>
      </c>
    </row>
    <row r="6093" spans="2:3" x14ac:dyDescent="0.35">
      <c r="B6093" t="s">
        <v>787</v>
      </c>
      <c r="C6093" t="s">
        <v>788</v>
      </c>
    </row>
    <row r="6094" spans="2:3" x14ac:dyDescent="0.35">
      <c r="B6094" t="s">
        <v>853</v>
      </c>
      <c r="C6094" t="s">
        <v>854</v>
      </c>
    </row>
    <row r="6095" spans="2:3" x14ac:dyDescent="0.35">
      <c r="B6095" t="s">
        <v>787</v>
      </c>
      <c r="C6095" t="s">
        <v>788</v>
      </c>
    </row>
    <row r="6096" spans="2:3" x14ac:dyDescent="0.35">
      <c r="B6096" t="s">
        <v>254</v>
      </c>
      <c r="C6096" t="s">
        <v>255</v>
      </c>
    </row>
    <row r="6097" spans="2:3" x14ac:dyDescent="0.35">
      <c r="B6097" t="s">
        <v>700</v>
      </c>
      <c r="C6097" t="s">
        <v>701</v>
      </c>
    </row>
    <row r="6098" spans="2:3" x14ac:dyDescent="0.35">
      <c r="B6098" t="s">
        <v>495</v>
      </c>
      <c r="C6098" t="s">
        <v>496</v>
      </c>
    </row>
    <row r="6099" spans="2:3" x14ac:dyDescent="0.35">
      <c r="B6099" t="s">
        <v>208</v>
      </c>
      <c r="C6099" t="s">
        <v>209</v>
      </c>
    </row>
    <row r="6100" spans="2:3" x14ac:dyDescent="0.35">
      <c r="B6100" t="s">
        <v>787</v>
      </c>
      <c r="C6100" t="s">
        <v>788</v>
      </c>
    </row>
    <row r="6101" spans="2:3" x14ac:dyDescent="0.35">
      <c r="B6101" t="s">
        <v>208</v>
      </c>
      <c r="C6101" t="s">
        <v>209</v>
      </c>
    </row>
    <row r="6102" spans="2:3" x14ac:dyDescent="0.35">
      <c r="B6102" t="s">
        <v>787</v>
      </c>
      <c r="C6102" t="s">
        <v>788</v>
      </c>
    </row>
    <row r="6103" spans="2:3" x14ac:dyDescent="0.35">
      <c r="B6103" t="s">
        <v>360</v>
      </c>
      <c r="C6103" t="s">
        <v>361</v>
      </c>
    </row>
    <row r="6104" spans="2:3" x14ac:dyDescent="0.35">
      <c r="B6104" t="s">
        <v>465</v>
      </c>
      <c r="C6104" t="s">
        <v>466</v>
      </c>
    </row>
    <row r="6105" spans="2:3" x14ac:dyDescent="0.35">
      <c r="B6105" t="s">
        <v>128</v>
      </c>
      <c r="C6105" t="s">
        <v>129</v>
      </c>
    </row>
    <row r="6106" spans="2:3" x14ac:dyDescent="0.35">
      <c r="B6106" t="s">
        <v>260</v>
      </c>
      <c r="C6106" t="s">
        <v>261</v>
      </c>
    </row>
    <row r="6107" spans="2:3" x14ac:dyDescent="0.35">
      <c r="B6107" t="s">
        <v>650</v>
      </c>
      <c r="C6107" t="s">
        <v>651</v>
      </c>
    </row>
    <row r="6108" spans="2:3" x14ac:dyDescent="0.35">
      <c r="B6108" t="s">
        <v>543</v>
      </c>
      <c r="C6108" t="s">
        <v>544</v>
      </c>
    </row>
    <row r="6109" spans="2:3" x14ac:dyDescent="0.35">
      <c r="B6109" t="s">
        <v>872</v>
      </c>
      <c r="C6109" t="s">
        <v>873</v>
      </c>
    </row>
    <row r="6110" spans="2:3" x14ac:dyDescent="0.35">
      <c r="B6110" t="s">
        <v>103</v>
      </c>
      <c r="C6110" t="s">
        <v>104</v>
      </c>
    </row>
    <row r="6111" spans="2:3" x14ac:dyDescent="0.35">
      <c r="B6111" t="s">
        <v>174</v>
      </c>
      <c r="C6111" t="s">
        <v>175</v>
      </c>
    </row>
    <row r="6112" spans="2:3" x14ac:dyDescent="0.35">
      <c r="B6112" t="s">
        <v>573</v>
      </c>
      <c r="C6112" t="s">
        <v>574</v>
      </c>
    </row>
    <row r="6113" spans="2:3" x14ac:dyDescent="0.35">
      <c r="B6113" t="s">
        <v>787</v>
      </c>
      <c r="C6113" t="s">
        <v>788</v>
      </c>
    </row>
    <row r="6114" spans="2:3" x14ac:dyDescent="0.35">
      <c r="B6114" t="s">
        <v>692</v>
      </c>
      <c r="C6114" t="s">
        <v>693</v>
      </c>
    </row>
    <row r="6115" spans="2:3" x14ac:dyDescent="0.35">
      <c r="B6115" t="s">
        <v>787</v>
      </c>
      <c r="C6115" t="s">
        <v>788</v>
      </c>
    </row>
    <row r="6116" spans="2:3" x14ac:dyDescent="0.35">
      <c r="B6116" t="s">
        <v>787</v>
      </c>
      <c r="C6116" t="s">
        <v>788</v>
      </c>
    </row>
    <row r="6117" spans="2:3" x14ac:dyDescent="0.35">
      <c r="B6117" t="s">
        <v>654</v>
      </c>
      <c r="C6117" t="s">
        <v>655</v>
      </c>
    </row>
    <row r="6118" spans="2:3" x14ac:dyDescent="0.35">
      <c r="B6118" t="s">
        <v>703</v>
      </c>
      <c r="C6118" t="s">
        <v>704</v>
      </c>
    </row>
    <row r="6119" spans="2:3" x14ac:dyDescent="0.35">
      <c r="B6119" t="s">
        <v>279</v>
      </c>
      <c r="C6119" t="s">
        <v>280</v>
      </c>
    </row>
    <row r="6120" spans="2:3" x14ac:dyDescent="0.35">
      <c r="B6120" t="s">
        <v>208</v>
      </c>
      <c r="C6120" t="s">
        <v>209</v>
      </c>
    </row>
    <row r="6121" spans="2:3" x14ac:dyDescent="0.35">
      <c r="B6121" t="s">
        <v>573</v>
      </c>
      <c r="C6121" t="s">
        <v>574</v>
      </c>
    </row>
    <row r="6122" spans="2:3" x14ac:dyDescent="0.35">
      <c r="B6122" t="s">
        <v>295</v>
      </c>
      <c r="C6122" t="s">
        <v>296</v>
      </c>
    </row>
    <row r="6123" spans="2:3" x14ac:dyDescent="0.35">
      <c r="B6123" t="s">
        <v>787</v>
      </c>
      <c r="C6123" t="s">
        <v>788</v>
      </c>
    </row>
    <row r="6124" spans="2:3" x14ac:dyDescent="0.35">
      <c r="B6124" t="s">
        <v>537</v>
      </c>
      <c r="C6124" t="s">
        <v>538</v>
      </c>
    </row>
    <row r="6125" spans="2:3" x14ac:dyDescent="0.35">
      <c r="B6125" t="s">
        <v>378</v>
      </c>
      <c r="C6125" t="s">
        <v>379</v>
      </c>
    </row>
    <row r="6126" spans="2:3" x14ac:dyDescent="0.35">
      <c r="B6126" t="s">
        <v>559</v>
      </c>
      <c r="C6126" t="s">
        <v>560</v>
      </c>
    </row>
    <row r="6127" spans="2:3" x14ac:dyDescent="0.35">
      <c r="B6127" t="s">
        <v>610</v>
      </c>
      <c r="C6127" t="s">
        <v>611</v>
      </c>
    </row>
    <row r="6128" spans="2:3" x14ac:dyDescent="0.35">
      <c r="B6128" t="s">
        <v>507</v>
      </c>
      <c r="C6128" t="s">
        <v>508</v>
      </c>
    </row>
    <row r="6129" spans="2:3" x14ac:dyDescent="0.35">
      <c r="B6129" t="s">
        <v>378</v>
      </c>
      <c r="C6129" t="s">
        <v>379</v>
      </c>
    </row>
    <row r="6130" spans="2:3" x14ac:dyDescent="0.35">
      <c r="B6130" t="s">
        <v>105</v>
      </c>
      <c r="C6130" t="s">
        <v>106</v>
      </c>
    </row>
    <row r="6131" spans="2:3" x14ac:dyDescent="0.35">
      <c r="B6131" t="s">
        <v>350</v>
      </c>
      <c r="C6131" t="s">
        <v>351</v>
      </c>
    </row>
    <row r="6132" spans="2:3" x14ac:dyDescent="0.35">
      <c r="B6132" t="s">
        <v>453</v>
      </c>
      <c r="C6132" t="s">
        <v>454</v>
      </c>
    </row>
    <row r="6133" spans="2:3" x14ac:dyDescent="0.35">
      <c r="B6133" t="s">
        <v>219</v>
      </c>
      <c r="C6133" t="s">
        <v>220</v>
      </c>
    </row>
    <row r="6134" spans="2:3" x14ac:dyDescent="0.35">
      <c r="B6134" t="s">
        <v>485</v>
      </c>
      <c r="C6134" t="s">
        <v>486</v>
      </c>
    </row>
    <row r="6135" spans="2:3" x14ac:dyDescent="0.35">
      <c r="B6135" t="s">
        <v>163</v>
      </c>
      <c r="C6135" t="s">
        <v>164</v>
      </c>
    </row>
    <row r="6136" spans="2:3" x14ac:dyDescent="0.35">
      <c r="B6136" t="s">
        <v>84</v>
      </c>
      <c r="C6136" t="s">
        <v>85</v>
      </c>
    </row>
    <row r="6137" spans="2:3" x14ac:dyDescent="0.35">
      <c r="B6137" t="s">
        <v>260</v>
      </c>
      <c r="C6137" t="s">
        <v>261</v>
      </c>
    </row>
    <row r="6138" spans="2:3" x14ac:dyDescent="0.35">
      <c r="B6138" t="s">
        <v>515</v>
      </c>
      <c r="C6138" t="s">
        <v>516</v>
      </c>
    </row>
    <row r="6139" spans="2:3" x14ac:dyDescent="0.35">
      <c r="B6139" t="s">
        <v>662</v>
      </c>
      <c r="C6139" t="s">
        <v>663</v>
      </c>
    </row>
    <row r="6140" spans="2:3" x14ac:dyDescent="0.35">
      <c r="B6140" t="s">
        <v>495</v>
      </c>
      <c r="C6140" t="s">
        <v>496</v>
      </c>
    </row>
    <row r="6141" spans="2:3" x14ac:dyDescent="0.35">
      <c r="B6141" t="s">
        <v>501</v>
      </c>
      <c r="C6141" t="s">
        <v>502</v>
      </c>
    </row>
    <row r="6142" spans="2:3" x14ac:dyDescent="0.35">
      <c r="B6142" t="s">
        <v>527</v>
      </c>
      <c r="C6142" t="s">
        <v>528</v>
      </c>
    </row>
    <row r="6143" spans="2:3" x14ac:dyDescent="0.35">
      <c r="B6143" t="s">
        <v>787</v>
      </c>
      <c r="C6143" t="s">
        <v>788</v>
      </c>
    </row>
    <row r="6144" spans="2:3" x14ac:dyDescent="0.35">
      <c r="B6144" t="s">
        <v>638</v>
      </c>
      <c r="C6144" t="s">
        <v>639</v>
      </c>
    </row>
    <row r="6145" spans="2:3" x14ac:dyDescent="0.35">
      <c r="B6145" t="s">
        <v>694</v>
      </c>
      <c r="C6145" t="s">
        <v>695</v>
      </c>
    </row>
    <row r="6146" spans="2:3" x14ac:dyDescent="0.35">
      <c r="B6146" t="s">
        <v>316</v>
      </c>
      <c r="C6146" t="s">
        <v>317</v>
      </c>
    </row>
    <row r="6147" spans="2:3" x14ac:dyDescent="0.35">
      <c r="B6147" t="s">
        <v>640</v>
      </c>
      <c r="C6147" t="s">
        <v>641</v>
      </c>
    </row>
    <row r="6148" spans="2:3" x14ac:dyDescent="0.35">
      <c r="B6148" t="s">
        <v>529</v>
      </c>
      <c r="C6148" t="s">
        <v>530</v>
      </c>
    </row>
    <row r="6149" spans="2:3" x14ac:dyDescent="0.35">
      <c r="B6149" t="s">
        <v>787</v>
      </c>
      <c r="C6149" t="s">
        <v>788</v>
      </c>
    </row>
    <row r="6150" spans="2:3" x14ac:dyDescent="0.35">
      <c r="B6150" t="s">
        <v>577</v>
      </c>
      <c r="C6150" t="s">
        <v>578</v>
      </c>
    </row>
    <row r="6151" spans="2:3" x14ac:dyDescent="0.35">
      <c r="B6151" t="s">
        <v>787</v>
      </c>
      <c r="C6151" t="s">
        <v>788</v>
      </c>
    </row>
    <row r="6152" spans="2:3" x14ac:dyDescent="0.35">
      <c r="B6152" t="s">
        <v>958</v>
      </c>
      <c r="C6152" t="s">
        <v>959</v>
      </c>
    </row>
    <row r="6153" spans="2:3" x14ac:dyDescent="0.35">
      <c r="B6153" t="s">
        <v>208</v>
      </c>
      <c r="C6153" t="s">
        <v>209</v>
      </c>
    </row>
    <row r="6154" spans="2:3" x14ac:dyDescent="0.35">
      <c r="B6154" t="s">
        <v>128</v>
      </c>
      <c r="C6154" t="s">
        <v>129</v>
      </c>
    </row>
    <row r="6155" spans="2:3" x14ac:dyDescent="0.35">
      <c r="B6155" t="s">
        <v>84</v>
      </c>
      <c r="C6155" t="s">
        <v>85</v>
      </c>
    </row>
    <row r="6156" spans="2:3" x14ac:dyDescent="0.35">
      <c r="B6156" t="s">
        <v>585</v>
      </c>
      <c r="C6156" t="s">
        <v>586</v>
      </c>
    </row>
    <row r="6157" spans="2:3" x14ac:dyDescent="0.35">
      <c r="B6157" t="s">
        <v>607</v>
      </c>
      <c r="C6157" t="s">
        <v>608</v>
      </c>
    </row>
    <row r="6158" spans="2:3" x14ac:dyDescent="0.35">
      <c r="B6158" t="s">
        <v>658</v>
      </c>
      <c r="C6158" t="s">
        <v>659</v>
      </c>
    </row>
    <row r="6159" spans="2:3" x14ac:dyDescent="0.35">
      <c r="B6159" t="s">
        <v>378</v>
      </c>
      <c r="C6159" t="s">
        <v>379</v>
      </c>
    </row>
    <row r="6160" spans="2:3" x14ac:dyDescent="0.35">
      <c r="B6160" t="s">
        <v>103</v>
      </c>
      <c r="C6160" t="s">
        <v>104</v>
      </c>
    </row>
    <row r="6161" spans="2:3" x14ac:dyDescent="0.35">
      <c r="B6161" t="s">
        <v>507</v>
      </c>
      <c r="C6161" t="s">
        <v>508</v>
      </c>
    </row>
    <row r="6162" spans="2:3" x14ac:dyDescent="0.35">
      <c r="B6162" t="s">
        <v>874</v>
      </c>
      <c r="C6162" t="s">
        <v>875</v>
      </c>
    </row>
    <row r="6163" spans="2:3" x14ac:dyDescent="0.35">
      <c r="B6163" t="s">
        <v>654</v>
      </c>
      <c r="C6163" t="s">
        <v>655</v>
      </c>
    </row>
    <row r="6164" spans="2:3" x14ac:dyDescent="0.35">
      <c r="B6164" t="s">
        <v>872</v>
      </c>
      <c r="C6164" t="s">
        <v>873</v>
      </c>
    </row>
    <row r="6165" spans="2:3" x14ac:dyDescent="0.35">
      <c r="B6165" t="s">
        <v>200</v>
      </c>
      <c r="C6165" t="s">
        <v>201</v>
      </c>
    </row>
    <row r="6166" spans="2:3" x14ac:dyDescent="0.35">
      <c r="B6166" t="s">
        <v>618</v>
      </c>
      <c r="C6166" t="s">
        <v>619</v>
      </c>
    </row>
    <row r="6167" spans="2:3" x14ac:dyDescent="0.35">
      <c r="B6167" t="s">
        <v>84</v>
      </c>
      <c r="C6167" t="s">
        <v>85</v>
      </c>
    </row>
    <row r="6168" spans="2:3" x14ac:dyDescent="0.35">
      <c r="B6168" t="s">
        <v>208</v>
      </c>
      <c r="C6168" t="s">
        <v>209</v>
      </c>
    </row>
    <row r="6169" spans="2:3" x14ac:dyDescent="0.35">
      <c r="B6169" t="s">
        <v>208</v>
      </c>
      <c r="C6169" t="s">
        <v>209</v>
      </c>
    </row>
    <row r="6170" spans="2:3" x14ac:dyDescent="0.35">
      <c r="B6170" t="s">
        <v>202</v>
      </c>
      <c r="C6170" t="s">
        <v>203</v>
      </c>
    </row>
    <row r="6171" spans="2:3" x14ac:dyDescent="0.35">
      <c r="B6171" t="s">
        <v>527</v>
      </c>
      <c r="C6171" t="s">
        <v>528</v>
      </c>
    </row>
    <row r="6172" spans="2:3" x14ac:dyDescent="0.35">
      <c r="B6172" t="s">
        <v>507</v>
      </c>
      <c r="C6172" t="s">
        <v>508</v>
      </c>
    </row>
    <row r="6173" spans="2:3" x14ac:dyDescent="0.35">
      <c r="B6173" t="s">
        <v>557</v>
      </c>
      <c r="C6173" t="s">
        <v>558</v>
      </c>
    </row>
    <row r="6174" spans="2:3" x14ac:dyDescent="0.35">
      <c r="B6174" t="s">
        <v>378</v>
      </c>
      <c r="C6174" t="s">
        <v>379</v>
      </c>
    </row>
    <row r="6175" spans="2:3" x14ac:dyDescent="0.35">
      <c r="B6175" t="s">
        <v>700</v>
      </c>
      <c r="C6175" t="s">
        <v>701</v>
      </c>
    </row>
    <row r="6176" spans="2:3" x14ac:dyDescent="0.35">
      <c r="B6176" t="s">
        <v>787</v>
      </c>
      <c r="C6176" t="s">
        <v>788</v>
      </c>
    </row>
    <row r="6177" spans="2:3" x14ac:dyDescent="0.35">
      <c r="B6177" t="s">
        <v>589</v>
      </c>
      <c r="C6177" t="s">
        <v>590</v>
      </c>
    </row>
    <row r="6178" spans="2:3" x14ac:dyDescent="0.35">
      <c r="B6178" t="s">
        <v>787</v>
      </c>
      <c r="C6178" t="s">
        <v>788</v>
      </c>
    </row>
    <row r="6179" spans="2:3" x14ac:dyDescent="0.35">
      <c r="B6179" t="s">
        <v>802</v>
      </c>
      <c r="C6179" t="s">
        <v>803</v>
      </c>
    </row>
    <row r="6180" spans="2:3" x14ac:dyDescent="0.35">
      <c r="B6180" t="s">
        <v>616</v>
      </c>
      <c r="C6180" t="s">
        <v>617</v>
      </c>
    </row>
    <row r="6181" spans="2:3" x14ac:dyDescent="0.35">
      <c r="B6181" t="s">
        <v>384</v>
      </c>
      <c r="C6181" t="s">
        <v>385</v>
      </c>
    </row>
    <row r="6182" spans="2:3" x14ac:dyDescent="0.35">
      <c r="B6182" t="s">
        <v>527</v>
      </c>
      <c r="C6182" t="s">
        <v>528</v>
      </c>
    </row>
    <row r="6183" spans="2:3" x14ac:dyDescent="0.35">
      <c r="B6183" t="s">
        <v>1195</v>
      </c>
      <c r="C6183" t="s">
        <v>1195</v>
      </c>
    </row>
    <row r="6184" spans="2:3" x14ac:dyDescent="0.35">
      <c r="B6184" t="s">
        <v>219</v>
      </c>
      <c r="C6184" t="s">
        <v>220</v>
      </c>
    </row>
    <row r="6185" spans="2:3" x14ac:dyDescent="0.35">
      <c r="B6185" t="s">
        <v>692</v>
      </c>
      <c r="C6185" t="s">
        <v>693</v>
      </c>
    </row>
    <row r="6186" spans="2:3" x14ac:dyDescent="0.35">
      <c r="B6186" t="s">
        <v>378</v>
      </c>
      <c r="C6186" t="s">
        <v>379</v>
      </c>
    </row>
    <row r="6187" spans="2:3" x14ac:dyDescent="0.35">
      <c r="B6187" t="s">
        <v>260</v>
      </c>
      <c r="C6187" t="s">
        <v>261</v>
      </c>
    </row>
    <row r="6188" spans="2:3" x14ac:dyDescent="0.35">
      <c r="B6188" t="s">
        <v>642</v>
      </c>
      <c r="C6188" t="s">
        <v>643</v>
      </c>
    </row>
    <row r="6189" spans="2:3" x14ac:dyDescent="0.35">
      <c r="B6189" t="s">
        <v>640</v>
      </c>
      <c r="C6189" t="s">
        <v>641</v>
      </c>
    </row>
    <row r="6190" spans="2:3" x14ac:dyDescent="0.35">
      <c r="B6190" t="s">
        <v>577</v>
      </c>
      <c r="C6190" t="s">
        <v>578</v>
      </c>
    </row>
    <row r="6191" spans="2:3" x14ac:dyDescent="0.35">
      <c r="B6191" t="s">
        <v>787</v>
      </c>
      <c r="C6191" t="s">
        <v>788</v>
      </c>
    </row>
    <row r="6192" spans="2:3" x14ac:dyDescent="0.35">
      <c r="B6192" t="s">
        <v>252</v>
      </c>
      <c r="C6192" t="s">
        <v>253</v>
      </c>
    </row>
    <row r="6193" spans="2:3" x14ac:dyDescent="0.35">
      <c r="B6193" t="s">
        <v>607</v>
      </c>
      <c r="C6193" t="s">
        <v>608</v>
      </c>
    </row>
    <row r="6194" spans="2:3" x14ac:dyDescent="0.35">
      <c r="B6194" t="s">
        <v>90</v>
      </c>
      <c r="C6194" t="s">
        <v>91</v>
      </c>
    </row>
    <row r="6195" spans="2:3" x14ac:dyDescent="0.35">
      <c r="B6195" t="s">
        <v>787</v>
      </c>
      <c r="C6195" t="s">
        <v>788</v>
      </c>
    </row>
    <row r="6196" spans="2:3" x14ac:dyDescent="0.35">
      <c r="B6196" t="s">
        <v>787</v>
      </c>
      <c r="C6196" t="s">
        <v>788</v>
      </c>
    </row>
    <row r="6197" spans="2:3" x14ac:dyDescent="0.35">
      <c r="B6197" t="s">
        <v>787</v>
      </c>
      <c r="C6197" t="s">
        <v>788</v>
      </c>
    </row>
    <row r="6198" spans="2:3" x14ac:dyDescent="0.35">
      <c r="B6198" t="s">
        <v>703</v>
      </c>
      <c r="C6198" t="s">
        <v>704</v>
      </c>
    </row>
    <row r="6199" spans="2:3" x14ac:dyDescent="0.35">
      <c r="B6199" t="s">
        <v>434</v>
      </c>
      <c r="C6199" t="s">
        <v>435</v>
      </c>
    </row>
    <row r="6200" spans="2:3" x14ac:dyDescent="0.35">
      <c r="B6200" t="s">
        <v>700</v>
      </c>
      <c r="C6200" t="s">
        <v>701</v>
      </c>
    </row>
    <row r="6201" spans="2:3" x14ac:dyDescent="0.35">
      <c r="B6201" t="s">
        <v>1195</v>
      </c>
      <c r="C6201" t="s">
        <v>1195</v>
      </c>
    </row>
    <row r="6202" spans="2:3" x14ac:dyDescent="0.35">
      <c r="B6202" t="s">
        <v>868</v>
      </c>
      <c r="C6202" t="s">
        <v>869</v>
      </c>
    </row>
    <row r="6203" spans="2:3" x14ac:dyDescent="0.35">
      <c r="B6203" t="s">
        <v>465</v>
      </c>
      <c r="C6203" t="s">
        <v>466</v>
      </c>
    </row>
    <row r="6204" spans="2:3" x14ac:dyDescent="0.35">
      <c r="B6204" t="s">
        <v>658</v>
      </c>
      <c r="C6204" t="s">
        <v>659</v>
      </c>
    </row>
    <row r="6205" spans="2:3" x14ac:dyDescent="0.35">
      <c r="B6205" t="s">
        <v>527</v>
      </c>
      <c r="C6205" t="s">
        <v>528</v>
      </c>
    </row>
    <row r="6206" spans="2:3" x14ac:dyDescent="0.35">
      <c r="B6206" t="s">
        <v>868</v>
      </c>
      <c r="C6206" t="s">
        <v>869</v>
      </c>
    </row>
    <row r="6207" spans="2:3" x14ac:dyDescent="0.35">
      <c r="B6207" t="s">
        <v>787</v>
      </c>
      <c r="C6207" t="s">
        <v>788</v>
      </c>
    </row>
    <row r="6208" spans="2:3" x14ac:dyDescent="0.35">
      <c r="B6208" t="s">
        <v>1195</v>
      </c>
      <c r="C6208" t="s">
        <v>1195</v>
      </c>
    </row>
    <row r="6209" spans="2:3" x14ac:dyDescent="0.35">
      <c r="B6209" t="s">
        <v>1195</v>
      </c>
      <c r="C6209" t="s">
        <v>1195</v>
      </c>
    </row>
    <row r="6210" spans="2:3" x14ac:dyDescent="0.35">
      <c r="B6210" t="s">
        <v>577</v>
      </c>
      <c r="C6210" t="s">
        <v>578</v>
      </c>
    </row>
    <row r="6211" spans="2:3" x14ac:dyDescent="0.35">
      <c r="B6211" t="s">
        <v>254</v>
      </c>
      <c r="C6211" t="s">
        <v>255</v>
      </c>
    </row>
    <row r="6212" spans="2:3" x14ac:dyDescent="0.35">
      <c r="B6212" t="s">
        <v>350</v>
      </c>
      <c r="C6212" t="s">
        <v>351</v>
      </c>
    </row>
    <row r="6213" spans="2:3" x14ac:dyDescent="0.35">
      <c r="B6213" t="s">
        <v>618</v>
      </c>
      <c r="C6213" t="s">
        <v>619</v>
      </c>
    </row>
    <row r="6214" spans="2:3" x14ac:dyDescent="0.35">
      <c r="B6214" t="s">
        <v>658</v>
      </c>
      <c r="C6214" t="s">
        <v>659</v>
      </c>
    </row>
    <row r="6215" spans="2:3" x14ac:dyDescent="0.35">
      <c r="B6215" t="s">
        <v>455</v>
      </c>
      <c r="C6215" t="s">
        <v>456</v>
      </c>
    </row>
    <row r="6216" spans="2:3" x14ac:dyDescent="0.35">
      <c r="B6216" t="s">
        <v>787</v>
      </c>
      <c r="C6216" t="s">
        <v>788</v>
      </c>
    </row>
    <row r="6217" spans="2:3" x14ac:dyDescent="0.35">
      <c r="B6217" t="s">
        <v>787</v>
      </c>
      <c r="C6217" t="s">
        <v>788</v>
      </c>
    </row>
    <row r="6218" spans="2:3" x14ac:dyDescent="0.35">
      <c r="B6218" t="s">
        <v>787</v>
      </c>
      <c r="C6218" t="s">
        <v>788</v>
      </c>
    </row>
    <row r="6219" spans="2:3" x14ac:dyDescent="0.35">
      <c r="B6219" t="s">
        <v>559</v>
      </c>
      <c r="C6219" t="s">
        <v>560</v>
      </c>
    </row>
    <row r="6220" spans="2:3" x14ac:dyDescent="0.35">
      <c r="B6220" t="s">
        <v>571</v>
      </c>
      <c r="C6220" t="s">
        <v>572</v>
      </c>
    </row>
    <row r="6221" spans="2:3" x14ac:dyDescent="0.35">
      <c r="B6221" t="s">
        <v>577</v>
      </c>
      <c r="C6221" t="s">
        <v>578</v>
      </c>
    </row>
    <row r="6222" spans="2:3" x14ac:dyDescent="0.35">
      <c r="B6222" t="s">
        <v>640</v>
      </c>
      <c r="C6222" t="s">
        <v>641</v>
      </c>
    </row>
    <row r="6223" spans="2:3" x14ac:dyDescent="0.35">
      <c r="B6223" t="s">
        <v>1195</v>
      </c>
      <c r="C6223" t="s">
        <v>1195</v>
      </c>
    </row>
    <row r="6224" spans="2:3" x14ac:dyDescent="0.35">
      <c r="B6224" t="s">
        <v>202</v>
      </c>
      <c r="C6224" t="s">
        <v>203</v>
      </c>
    </row>
    <row r="6225" spans="2:3" x14ac:dyDescent="0.35">
      <c r="B6225" t="s">
        <v>787</v>
      </c>
      <c r="C6225" t="s">
        <v>788</v>
      </c>
    </row>
    <row r="6226" spans="2:3" x14ac:dyDescent="0.35">
      <c r="B6226" t="s">
        <v>787</v>
      </c>
      <c r="C6226" t="s">
        <v>788</v>
      </c>
    </row>
    <row r="6227" spans="2:3" x14ac:dyDescent="0.35">
      <c r="B6227" t="s">
        <v>531</v>
      </c>
      <c r="C6227" t="s">
        <v>532</v>
      </c>
    </row>
    <row r="6228" spans="2:3" x14ac:dyDescent="0.35">
      <c r="B6228" t="s">
        <v>872</v>
      </c>
      <c r="C6228" t="s">
        <v>873</v>
      </c>
    </row>
    <row r="6229" spans="2:3" x14ac:dyDescent="0.35">
      <c r="B6229" t="s">
        <v>131</v>
      </c>
      <c r="C6229" t="s">
        <v>132</v>
      </c>
    </row>
    <row r="6230" spans="2:3" x14ac:dyDescent="0.35">
      <c r="B6230" t="s">
        <v>870</v>
      </c>
      <c r="C6230" t="s">
        <v>871</v>
      </c>
    </row>
    <row r="6231" spans="2:3" x14ac:dyDescent="0.35">
      <c r="B6231" t="s">
        <v>804</v>
      </c>
      <c r="C6231" t="s">
        <v>805</v>
      </c>
    </row>
    <row r="6232" spans="2:3" x14ac:dyDescent="0.35">
      <c r="B6232" t="s">
        <v>787</v>
      </c>
      <c r="C6232" t="s">
        <v>788</v>
      </c>
    </row>
    <row r="6233" spans="2:3" x14ac:dyDescent="0.35">
      <c r="B6233" t="s">
        <v>202</v>
      </c>
      <c r="C6233" t="s">
        <v>203</v>
      </c>
    </row>
    <row r="6234" spans="2:3" x14ac:dyDescent="0.35">
      <c r="B6234" t="s">
        <v>200</v>
      </c>
      <c r="C6234" t="s">
        <v>201</v>
      </c>
    </row>
    <row r="6235" spans="2:3" x14ac:dyDescent="0.35">
      <c r="B6235" t="s">
        <v>662</v>
      </c>
      <c r="C6235" t="s">
        <v>663</v>
      </c>
    </row>
    <row r="6236" spans="2:3" x14ac:dyDescent="0.35">
      <c r="B6236" t="s">
        <v>545</v>
      </c>
      <c r="C6236" t="s">
        <v>546</v>
      </c>
    </row>
    <row r="6237" spans="2:3" x14ac:dyDescent="0.35">
      <c r="B6237" t="s">
        <v>487</v>
      </c>
      <c r="C6237" t="s">
        <v>488</v>
      </c>
    </row>
    <row r="6238" spans="2:3" x14ac:dyDescent="0.35">
      <c r="B6238" t="s">
        <v>202</v>
      </c>
      <c r="C6238" t="s">
        <v>203</v>
      </c>
    </row>
    <row r="6239" spans="2:3" x14ac:dyDescent="0.35">
      <c r="B6239" t="s">
        <v>543</v>
      </c>
      <c r="C6239" t="s">
        <v>544</v>
      </c>
    </row>
    <row r="6240" spans="2:3" x14ac:dyDescent="0.35">
      <c r="B6240" t="s">
        <v>557</v>
      </c>
      <c r="C6240" t="s">
        <v>558</v>
      </c>
    </row>
    <row r="6241" spans="2:3" x14ac:dyDescent="0.35">
      <c r="B6241" t="s">
        <v>410</v>
      </c>
      <c r="C6241" t="s">
        <v>411</v>
      </c>
    </row>
    <row r="6242" spans="2:3" x14ac:dyDescent="0.35">
      <c r="B6242" t="s">
        <v>577</v>
      </c>
      <c r="C6242" t="s">
        <v>578</v>
      </c>
    </row>
    <row r="6243" spans="2:3" x14ac:dyDescent="0.35">
      <c r="B6243" t="s">
        <v>652</v>
      </c>
      <c r="C6243" t="s">
        <v>653</v>
      </c>
    </row>
    <row r="6244" spans="2:3" x14ac:dyDescent="0.35">
      <c r="B6244" t="s">
        <v>64</v>
      </c>
      <c r="C6244" t="s">
        <v>65</v>
      </c>
    </row>
    <row r="6245" spans="2:3" x14ac:dyDescent="0.35">
      <c r="B6245" t="s">
        <v>692</v>
      </c>
      <c r="C6245" t="s">
        <v>693</v>
      </c>
    </row>
    <row r="6246" spans="2:3" x14ac:dyDescent="0.35">
      <c r="B6246" t="s">
        <v>105</v>
      </c>
      <c r="C6246" t="s">
        <v>106</v>
      </c>
    </row>
    <row r="6247" spans="2:3" x14ac:dyDescent="0.35">
      <c r="B6247" t="s">
        <v>787</v>
      </c>
      <c r="C6247" t="s">
        <v>788</v>
      </c>
    </row>
    <row r="6248" spans="2:3" x14ac:dyDescent="0.35">
      <c r="B6248" t="s">
        <v>507</v>
      </c>
      <c r="C6248" t="s">
        <v>508</v>
      </c>
    </row>
    <row r="6249" spans="2:3" x14ac:dyDescent="0.35">
      <c r="B6249" t="s">
        <v>306</v>
      </c>
      <c r="C6249" t="s">
        <v>307</v>
      </c>
    </row>
    <row r="6250" spans="2:3" x14ac:dyDescent="0.35">
      <c r="B6250" t="s">
        <v>350</v>
      </c>
      <c r="C6250" t="s">
        <v>351</v>
      </c>
    </row>
    <row r="6251" spans="2:3" x14ac:dyDescent="0.35">
      <c r="B6251" t="s">
        <v>624</v>
      </c>
      <c r="C6251" t="s">
        <v>625</v>
      </c>
    </row>
    <row r="6252" spans="2:3" x14ac:dyDescent="0.35">
      <c r="B6252" t="s">
        <v>577</v>
      </c>
      <c r="C6252" t="s">
        <v>578</v>
      </c>
    </row>
    <row r="6253" spans="2:3" x14ac:dyDescent="0.35">
      <c r="B6253" t="s">
        <v>260</v>
      </c>
      <c r="C6253" t="s">
        <v>261</v>
      </c>
    </row>
    <row r="6254" spans="2:3" x14ac:dyDescent="0.35">
      <c r="B6254" t="s">
        <v>787</v>
      </c>
      <c r="C6254" t="s">
        <v>788</v>
      </c>
    </row>
    <row r="6255" spans="2:3" x14ac:dyDescent="0.35">
      <c r="B6255" t="s">
        <v>202</v>
      </c>
      <c r="C6255" t="s">
        <v>203</v>
      </c>
    </row>
    <row r="6256" spans="2:3" x14ac:dyDescent="0.35">
      <c r="B6256" t="s">
        <v>350</v>
      </c>
      <c r="C6256" t="s">
        <v>351</v>
      </c>
    </row>
    <row r="6257" spans="2:3" x14ac:dyDescent="0.35">
      <c r="B6257" t="s">
        <v>694</v>
      </c>
      <c r="C6257" t="s">
        <v>695</v>
      </c>
    </row>
    <row r="6258" spans="2:3" x14ac:dyDescent="0.35">
      <c r="B6258" t="s">
        <v>575</v>
      </c>
      <c r="C6258" t="s">
        <v>576</v>
      </c>
    </row>
    <row r="6259" spans="2:3" x14ac:dyDescent="0.35">
      <c r="B6259" t="s">
        <v>449</v>
      </c>
      <c r="C6259" t="s">
        <v>450</v>
      </c>
    </row>
    <row r="6260" spans="2:3" x14ac:dyDescent="0.35">
      <c r="B6260" t="s">
        <v>1079</v>
      </c>
      <c r="C6260" t="s">
        <v>1080</v>
      </c>
    </row>
    <row r="6261" spans="2:3" x14ac:dyDescent="0.35">
      <c r="B6261" t="s">
        <v>219</v>
      </c>
      <c r="C6261" t="s">
        <v>220</v>
      </c>
    </row>
    <row r="6262" spans="2:3" x14ac:dyDescent="0.35">
      <c r="B6262" t="s">
        <v>577</v>
      </c>
      <c r="C6262" t="s">
        <v>578</v>
      </c>
    </row>
    <row r="6263" spans="2:3" x14ac:dyDescent="0.35">
      <c r="B6263" t="s">
        <v>46</v>
      </c>
      <c r="C6263" t="s">
        <v>47</v>
      </c>
    </row>
    <row r="6264" spans="2:3" x14ac:dyDescent="0.35">
      <c r="B6264" t="s">
        <v>648</v>
      </c>
      <c r="C6264" t="s">
        <v>649</v>
      </c>
    </row>
    <row r="6265" spans="2:3" x14ac:dyDescent="0.35">
      <c r="B6265" t="s">
        <v>870</v>
      </c>
      <c r="C6265" t="s">
        <v>871</v>
      </c>
    </row>
    <row r="6266" spans="2:3" x14ac:dyDescent="0.35">
      <c r="B6266" t="s">
        <v>1195</v>
      </c>
      <c r="C6266" t="s">
        <v>1195</v>
      </c>
    </row>
    <row r="6267" spans="2:3" x14ac:dyDescent="0.35">
      <c r="B6267" t="s">
        <v>575</v>
      </c>
      <c r="C6267" t="s">
        <v>576</v>
      </c>
    </row>
    <row r="6268" spans="2:3" x14ac:dyDescent="0.35">
      <c r="B6268" t="s">
        <v>787</v>
      </c>
      <c r="C6268" t="s">
        <v>788</v>
      </c>
    </row>
    <row r="6269" spans="2:3" x14ac:dyDescent="0.35">
      <c r="B6269" t="s">
        <v>664</v>
      </c>
      <c r="C6269" t="s">
        <v>665</v>
      </c>
    </row>
    <row r="6270" spans="2:3" x14ac:dyDescent="0.35">
      <c r="B6270" t="s">
        <v>577</v>
      </c>
      <c r="C6270" t="s">
        <v>578</v>
      </c>
    </row>
    <row r="6271" spans="2:3" x14ac:dyDescent="0.35">
      <c r="B6271" t="s">
        <v>410</v>
      </c>
      <c r="C6271" t="s">
        <v>411</v>
      </c>
    </row>
    <row r="6272" spans="2:3" x14ac:dyDescent="0.35">
      <c r="B6272" t="s">
        <v>384</v>
      </c>
      <c r="C6272" t="s">
        <v>385</v>
      </c>
    </row>
    <row r="6273" spans="2:3" x14ac:dyDescent="0.35">
      <c r="B6273" t="s">
        <v>465</v>
      </c>
      <c r="C6273" t="s">
        <v>466</v>
      </c>
    </row>
    <row r="6274" spans="2:3" x14ac:dyDescent="0.35">
      <c r="B6274" t="s">
        <v>605</v>
      </c>
      <c r="C6274" t="s">
        <v>606</v>
      </c>
    </row>
    <row r="6275" spans="2:3" x14ac:dyDescent="0.35">
      <c r="B6275" t="s">
        <v>549</v>
      </c>
      <c r="C6275" t="s">
        <v>550</v>
      </c>
    </row>
    <row r="6276" spans="2:3" x14ac:dyDescent="0.35">
      <c r="B6276" t="s">
        <v>561</v>
      </c>
      <c r="C6276" t="s">
        <v>562</v>
      </c>
    </row>
    <row r="6277" spans="2:3" x14ac:dyDescent="0.35">
      <c r="B6277" t="s">
        <v>202</v>
      </c>
      <c r="C6277" t="s">
        <v>203</v>
      </c>
    </row>
    <row r="6278" spans="2:3" x14ac:dyDescent="0.35">
      <c r="B6278" t="s">
        <v>445</v>
      </c>
      <c r="C6278" t="s">
        <v>446</v>
      </c>
    </row>
    <row r="6279" spans="2:3" x14ac:dyDescent="0.35">
      <c r="B6279" t="s">
        <v>128</v>
      </c>
      <c r="C6279" t="s">
        <v>129</v>
      </c>
    </row>
    <row r="6280" spans="2:3" x14ac:dyDescent="0.35">
      <c r="B6280" t="s">
        <v>131</v>
      </c>
      <c r="C6280" t="s">
        <v>132</v>
      </c>
    </row>
    <row r="6281" spans="2:3" x14ac:dyDescent="0.35">
      <c r="B6281" t="s">
        <v>378</v>
      </c>
      <c r="C6281" t="s">
        <v>379</v>
      </c>
    </row>
    <row r="6282" spans="2:3" x14ac:dyDescent="0.35">
      <c r="B6282" t="s">
        <v>571</v>
      </c>
      <c r="C6282" t="s">
        <v>572</v>
      </c>
    </row>
    <row r="6283" spans="2:3" x14ac:dyDescent="0.35">
      <c r="B6283" t="s">
        <v>1195</v>
      </c>
      <c r="C6283" t="s">
        <v>1195</v>
      </c>
    </row>
    <row r="6284" spans="2:3" x14ac:dyDescent="0.35">
      <c r="B6284" t="s">
        <v>787</v>
      </c>
      <c r="C6284" t="s">
        <v>788</v>
      </c>
    </row>
    <row r="6285" spans="2:3" x14ac:dyDescent="0.35">
      <c r="B6285" t="s">
        <v>658</v>
      </c>
      <c r="C6285" t="s">
        <v>659</v>
      </c>
    </row>
    <row r="6286" spans="2:3" x14ac:dyDescent="0.35">
      <c r="B6286" t="s">
        <v>64</v>
      </c>
      <c r="C6286" t="s">
        <v>65</v>
      </c>
    </row>
    <row r="6287" spans="2:3" x14ac:dyDescent="0.35">
      <c r="B6287" t="s">
        <v>605</v>
      </c>
      <c r="C6287" t="s">
        <v>606</v>
      </c>
    </row>
    <row r="6288" spans="2:3" x14ac:dyDescent="0.35">
      <c r="B6288" t="s">
        <v>618</v>
      </c>
      <c r="C6288" t="s">
        <v>619</v>
      </c>
    </row>
    <row r="6289" spans="2:3" x14ac:dyDescent="0.35">
      <c r="B6289" t="s">
        <v>537</v>
      </c>
      <c r="C6289" t="s">
        <v>538</v>
      </c>
    </row>
    <row r="6290" spans="2:3" x14ac:dyDescent="0.35">
      <c r="B6290" t="s">
        <v>208</v>
      </c>
      <c r="C6290" t="s">
        <v>209</v>
      </c>
    </row>
    <row r="6291" spans="2:3" x14ac:dyDescent="0.35">
      <c r="B6291" t="s">
        <v>694</v>
      </c>
      <c r="C6291" t="s">
        <v>695</v>
      </c>
    </row>
    <row r="6292" spans="2:3" x14ac:dyDescent="0.35">
      <c r="B6292" t="s">
        <v>401</v>
      </c>
      <c r="C6292" t="s">
        <v>402</v>
      </c>
    </row>
    <row r="6293" spans="2:3" x14ac:dyDescent="0.35">
      <c r="B6293" t="s">
        <v>254</v>
      </c>
      <c r="C6293" t="s">
        <v>255</v>
      </c>
    </row>
    <row r="6294" spans="2:3" x14ac:dyDescent="0.35">
      <c r="B6294" t="s">
        <v>559</v>
      </c>
      <c r="C6294" t="s">
        <v>560</v>
      </c>
    </row>
    <row r="6295" spans="2:3" x14ac:dyDescent="0.35">
      <c r="B6295" t="s">
        <v>160</v>
      </c>
      <c r="C6295" t="s">
        <v>161</v>
      </c>
    </row>
    <row r="6296" spans="2:3" x14ac:dyDescent="0.35">
      <c r="B6296" t="s">
        <v>219</v>
      </c>
      <c r="C6296" t="s">
        <v>220</v>
      </c>
    </row>
    <row r="6297" spans="2:3" x14ac:dyDescent="0.35">
      <c r="B6297" t="s">
        <v>457</v>
      </c>
      <c r="C6297" t="s">
        <v>458</v>
      </c>
    </row>
    <row r="6298" spans="2:3" x14ac:dyDescent="0.35">
      <c r="B6298" t="s">
        <v>453</v>
      </c>
      <c r="C6298" t="s">
        <v>454</v>
      </c>
    </row>
    <row r="6299" spans="2:3" x14ac:dyDescent="0.35">
      <c r="B6299" t="s">
        <v>58</v>
      </c>
      <c r="C6299" t="s">
        <v>59</v>
      </c>
    </row>
    <row r="6300" spans="2:3" x14ac:dyDescent="0.35">
      <c r="B6300" t="s">
        <v>950</v>
      </c>
      <c r="C6300" t="s">
        <v>951</v>
      </c>
    </row>
    <row r="6301" spans="2:3" x14ac:dyDescent="0.35">
      <c r="B6301" t="s">
        <v>344</v>
      </c>
      <c r="C6301" t="s">
        <v>345</v>
      </c>
    </row>
    <row r="6302" spans="2:3" x14ac:dyDescent="0.35">
      <c r="B6302" t="s">
        <v>128</v>
      </c>
      <c r="C6302" t="s">
        <v>129</v>
      </c>
    </row>
    <row r="6303" spans="2:3" x14ac:dyDescent="0.35">
      <c r="B6303" t="s">
        <v>178</v>
      </c>
      <c r="C6303" t="s">
        <v>179</v>
      </c>
    </row>
    <row r="6304" spans="2:3" x14ac:dyDescent="0.35">
      <c r="B6304" t="s">
        <v>501</v>
      </c>
      <c r="C6304" t="s">
        <v>502</v>
      </c>
    </row>
    <row r="6305" spans="2:3" x14ac:dyDescent="0.35">
      <c r="B6305" t="s">
        <v>618</v>
      </c>
      <c r="C6305" t="s">
        <v>619</v>
      </c>
    </row>
    <row r="6306" spans="2:3" x14ac:dyDescent="0.35">
      <c r="B6306" t="s">
        <v>787</v>
      </c>
      <c r="C6306" t="s">
        <v>788</v>
      </c>
    </row>
    <row r="6307" spans="2:3" x14ac:dyDescent="0.35">
      <c r="B6307" t="s">
        <v>1195</v>
      </c>
      <c r="C6307" t="s">
        <v>1195</v>
      </c>
    </row>
    <row r="6308" spans="2:3" x14ac:dyDescent="0.35">
      <c r="B6308" t="s">
        <v>787</v>
      </c>
      <c r="C6308" t="s">
        <v>788</v>
      </c>
    </row>
    <row r="6309" spans="2:3" x14ac:dyDescent="0.35">
      <c r="B6309" t="s">
        <v>787</v>
      </c>
      <c r="C6309" t="s">
        <v>788</v>
      </c>
    </row>
    <row r="6310" spans="2:3" x14ac:dyDescent="0.35">
      <c r="B6310" t="s">
        <v>84</v>
      </c>
      <c r="C6310" t="s">
        <v>85</v>
      </c>
    </row>
    <row r="6311" spans="2:3" x14ac:dyDescent="0.35">
      <c r="B6311" t="s">
        <v>293</v>
      </c>
      <c r="C6311" t="s">
        <v>294</v>
      </c>
    </row>
    <row r="6312" spans="2:3" x14ac:dyDescent="0.35">
      <c r="B6312" t="s">
        <v>573</v>
      </c>
      <c r="C6312" t="s">
        <v>574</v>
      </c>
    </row>
    <row r="6313" spans="2:3" x14ac:dyDescent="0.35">
      <c r="B6313" t="s">
        <v>90</v>
      </c>
      <c r="C6313" t="s">
        <v>91</v>
      </c>
    </row>
    <row r="6314" spans="2:3" x14ac:dyDescent="0.35">
      <c r="B6314" t="s">
        <v>463</v>
      </c>
      <c r="C6314" t="s">
        <v>464</v>
      </c>
    </row>
    <row r="6315" spans="2:3" x14ac:dyDescent="0.35">
      <c r="B6315" t="s">
        <v>622</v>
      </c>
      <c r="C6315" t="s">
        <v>623</v>
      </c>
    </row>
    <row r="6316" spans="2:3" x14ac:dyDescent="0.35">
      <c r="B6316" t="s">
        <v>694</v>
      </c>
      <c r="C6316" t="s">
        <v>695</v>
      </c>
    </row>
    <row r="6317" spans="2:3" x14ac:dyDescent="0.35">
      <c r="B6317" t="s">
        <v>787</v>
      </c>
      <c r="C6317" t="s">
        <v>788</v>
      </c>
    </row>
    <row r="6318" spans="2:3" x14ac:dyDescent="0.35">
      <c r="B6318" t="s">
        <v>553</v>
      </c>
      <c r="C6318" t="s">
        <v>554</v>
      </c>
    </row>
    <row r="6319" spans="2:3" x14ac:dyDescent="0.35">
      <c r="B6319" t="s">
        <v>543</v>
      </c>
      <c r="C6319" t="s">
        <v>544</v>
      </c>
    </row>
    <row r="6320" spans="2:3" x14ac:dyDescent="0.35">
      <c r="B6320" t="s">
        <v>200</v>
      </c>
      <c r="C6320" t="s">
        <v>201</v>
      </c>
    </row>
    <row r="6321" spans="2:3" x14ac:dyDescent="0.35">
      <c r="B6321" t="s">
        <v>589</v>
      </c>
      <c r="C6321" t="s">
        <v>590</v>
      </c>
    </row>
    <row r="6322" spans="2:3" x14ac:dyDescent="0.35">
      <c r="B6322" t="s">
        <v>787</v>
      </c>
      <c r="C6322" t="s">
        <v>788</v>
      </c>
    </row>
    <row r="6323" spans="2:3" x14ac:dyDescent="0.35">
      <c r="B6323" t="s">
        <v>210</v>
      </c>
      <c r="C6323" t="s">
        <v>211</v>
      </c>
    </row>
    <row r="6324" spans="2:3" x14ac:dyDescent="0.35">
      <c r="B6324" t="s">
        <v>658</v>
      </c>
      <c r="C6324" t="s">
        <v>659</v>
      </c>
    </row>
    <row r="6325" spans="2:3" x14ac:dyDescent="0.35">
      <c r="B6325" t="s">
        <v>692</v>
      </c>
      <c r="C6325" t="s">
        <v>693</v>
      </c>
    </row>
    <row r="6326" spans="2:3" x14ac:dyDescent="0.35">
      <c r="B6326" t="s">
        <v>591</v>
      </c>
      <c r="C6326" t="s">
        <v>592</v>
      </c>
    </row>
    <row r="6327" spans="2:3" x14ac:dyDescent="0.35">
      <c r="B6327" t="s">
        <v>577</v>
      </c>
      <c r="C6327" t="s">
        <v>578</v>
      </c>
    </row>
    <row r="6328" spans="2:3" x14ac:dyDescent="0.35">
      <c r="B6328" t="s">
        <v>787</v>
      </c>
      <c r="C6328" t="s">
        <v>788</v>
      </c>
    </row>
    <row r="6329" spans="2:3" x14ac:dyDescent="0.35">
      <c r="B6329" t="s">
        <v>700</v>
      </c>
      <c r="C6329" t="s">
        <v>701</v>
      </c>
    </row>
    <row r="6330" spans="2:3" x14ac:dyDescent="0.35">
      <c r="B6330" t="s">
        <v>553</v>
      </c>
      <c r="C6330" t="s">
        <v>554</v>
      </c>
    </row>
    <row r="6331" spans="2:3" x14ac:dyDescent="0.35">
      <c r="B6331" t="s">
        <v>350</v>
      </c>
      <c r="C6331" t="s">
        <v>351</v>
      </c>
    </row>
    <row r="6332" spans="2:3" x14ac:dyDescent="0.35">
      <c r="B6332" t="s">
        <v>174</v>
      </c>
      <c r="C6332" t="s">
        <v>175</v>
      </c>
    </row>
    <row r="6333" spans="2:3" x14ac:dyDescent="0.35">
      <c r="B6333" t="s">
        <v>501</v>
      </c>
      <c r="C6333" t="s">
        <v>502</v>
      </c>
    </row>
    <row r="6334" spans="2:3" x14ac:dyDescent="0.35">
      <c r="B6334" t="s">
        <v>601</v>
      </c>
      <c r="C6334" t="s">
        <v>602</v>
      </c>
    </row>
    <row r="6335" spans="2:3" x14ac:dyDescent="0.35">
      <c r="B6335" t="s">
        <v>640</v>
      </c>
      <c r="C6335" t="s">
        <v>641</v>
      </c>
    </row>
    <row r="6336" spans="2:3" x14ac:dyDescent="0.35">
      <c r="B6336" t="s">
        <v>260</v>
      </c>
      <c r="C6336" t="s">
        <v>261</v>
      </c>
    </row>
    <row r="6337" spans="2:3" x14ac:dyDescent="0.35">
      <c r="B6337" t="s">
        <v>202</v>
      </c>
      <c r="C6337" t="s">
        <v>203</v>
      </c>
    </row>
    <row r="6338" spans="2:3" x14ac:dyDescent="0.35">
      <c r="B6338" t="s">
        <v>260</v>
      </c>
      <c r="C6338" t="s">
        <v>261</v>
      </c>
    </row>
    <row r="6339" spans="2:3" x14ac:dyDescent="0.35">
      <c r="B6339" t="s">
        <v>694</v>
      </c>
      <c r="C6339" t="s">
        <v>695</v>
      </c>
    </row>
    <row r="6340" spans="2:3" x14ac:dyDescent="0.35">
      <c r="B6340" t="s">
        <v>700</v>
      </c>
      <c r="C6340" t="s">
        <v>701</v>
      </c>
    </row>
    <row r="6341" spans="2:3" x14ac:dyDescent="0.35">
      <c r="B6341" t="s">
        <v>787</v>
      </c>
      <c r="C6341" t="s">
        <v>788</v>
      </c>
    </row>
    <row r="6342" spans="2:3" x14ac:dyDescent="0.35">
      <c r="B6342" t="s">
        <v>443</v>
      </c>
      <c r="C6342" t="s">
        <v>444</v>
      </c>
    </row>
    <row r="6343" spans="2:3" x14ac:dyDescent="0.35">
      <c r="B6343" t="s">
        <v>787</v>
      </c>
      <c r="C6343" t="s">
        <v>788</v>
      </c>
    </row>
    <row r="6344" spans="2:3" x14ac:dyDescent="0.35">
      <c r="B6344" t="s">
        <v>376</v>
      </c>
      <c r="C6344" t="s">
        <v>377</v>
      </c>
    </row>
    <row r="6345" spans="2:3" x14ac:dyDescent="0.35">
      <c r="B6345" t="s">
        <v>868</v>
      </c>
      <c r="C6345" t="s">
        <v>869</v>
      </c>
    </row>
    <row r="6346" spans="2:3" x14ac:dyDescent="0.35">
      <c r="B6346" t="s">
        <v>507</v>
      </c>
      <c r="C6346" t="s">
        <v>508</v>
      </c>
    </row>
    <row r="6347" spans="2:3" x14ac:dyDescent="0.35">
      <c r="B6347" t="s">
        <v>587</v>
      </c>
      <c r="C6347" t="s">
        <v>588</v>
      </c>
    </row>
    <row r="6348" spans="2:3" x14ac:dyDescent="0.35">
      <c r="B6348" t="s">
        <v>787</v>
      </c>
      <c r="C6348" t="s">
        <v>788</v>
      </c>
    </row>
    <row r="6349" spans="2:3" x14ac:dyDescent="0.35">
      <c r="B6349" t="s">
        <v>1195</v>
      </c>
      <c r="C6349" t="s">
        <v>1195</v>
      </c>
    </row>
    <row r="6350" spans="2:3" x14ac:dyDescent="0.35">
      <c r="B6350" t="s">
        <v>575</v>
      </c>
      <c r="C6350" t="s">
        <v>576</v>
      </c>
    </row>
    <row r="6351" spans="2:3" x14ac:dyDescent="0.35">
      <c r="B6351" t="s">
        <v>638</v>
      </c>
      <c r="C6351" t="s">
        <v>639</v>
      </c>
    </row>
    <row r="6352" spans="2:3" x14ac:dyDescent="0.35">
      <c r="B6352" t="s">
        <v>447</v>
      </c>
      <c r="C6352" t="s">
        <v>448</v>
      </c>
    </row>
    <row r="6353" spans="2:3" x14ac:dyDescent="0.35">
      <c r="B6353" t="s">
        <v>527</v>
      </c>
      <c r="C6353" t="s">
        <v>528</v>
      </c>
    </row>
    <row r="6354" spans="2:3" x14ac:dyDescent="0.35">
      <c r="B6354" t="s">
        <v>208</v>
      </c>
      <c r="C6354" t="s">
        <v>209</v>
      </c>
    </row>
    <row r="6355" spans="2:3" x14ac:dyDescent="0.35">
      <c r="B6355" t="s">
        <v>571</v>
      </c>
      <c r="C6355" t="s">
        <v>572</v>
      </c>
    </row>
    <row r="6356" spans="2:3" x14ac:dyDescent="0.35">
      <c r="B6356" t="s">
        <v>90</v>
      </c>
      <c r="C6356" t="s">
        <v>91</v>
      </c>
    </row>
    <row r="6357" spans="2:3" x14ac:dyDescent="0.35">
      <c r="B6357" t="s">
        <v>404</v>
      </c>
      <c r="C6357" t="s">
        <v>405</v>
      </c>
    </row>
    <row r="6358" spans="2:3" x14ac:dyDescent="0.35">
      <c r="B6358" t="s">
        <v>430</v>
      </c>
      <c r="C6358" t="s">
        <v>431</v>
      </c>
    </row>
    <row r="6359" spans="2:3" x14ac:dyDescent="0.35">
      <c r="B6359" t="s">
        <v>404</v>
      </c>
      <c r="C6359" t="s">
        <v>405</v>
      </c>
    </row>
    <row r="6360" spans="2:3" x14ac:dyDescent="0.35">
      <c r="B6360" t="s">
        <v>557</v>
      </c>
      <c r="C6360" t="s">
        <v>558</v>
      </c>
    </row>
    <row r="6361" spans="2:3" x14ac:dyDescent="0.35">
      <c r="B6361" t="s">
        <v>874</v>
      </c>
      <c r="C6361" t="s">
        <v>875</v>
      </c>
    </row>
    <row r="6362" spans="2:3" x14ac:dyDescent="0.35">
      <c r="B6362" t="s">
        <v>202</v>
      </c>
      <c r="C6362" t="s">
        <v>203</v>
      </c>
    </row>
    <row r="6363" spans="2:3" x14ac:dyDescent="0.35">
      <c r="B6363" t="s">
        <v>963</v>
      </c>
      <c r="C6363" t="s">
        <v>964</v>
      </c>
    </row>
    <row r="6364" spans="2:3" x14ac:dyDescent="0.35">
      <c r="B6364" t="s">
        <v>517</v>
      </c>
      <c r="C6364" t="s">
        <v>518</v>
      </c>
    </row>
    <row r="6365" spans="2:3" x14ac:dyDescent="0.35">
      <c r="B6365" t="s">
        <v>252</v>
      </c>
      <c r="C6365" t="s">
        <v>253</v>
      </c>
    </row>
    <row r="6366" spans="2:3" x14ac:dyDescent="0.35">
      <c r="B6366" t="s">
        <v>787</v>
      </c>
      <c r="C6366" t="s">
        <v>788</v>
      </c>
    </row>
    <row r="6367" spans="2:3" x14ac:dyDescent="0.35">
      <c r="B6367" t="s">
        <v>254</v>
      </c>
      <c r="C6367" t="s">
        <v>255</v>
      </c>
    </row>
    <row r="6368" spans="2:3" x14ac:dyDescent="0.35">
      <c r="B6368" t="s">
        <v>787</v>
      </c>
      <c r="C6368" t="s">
        <v>788</v>
      </c>
    </row>
    <row r="6369" spans="2:3" x14ac:dyDescent="0.35">
      <c r="B6369" t="s">
        <v>465</v>
      </c>
      <c r="C6369" t="s">
        <v>466</v>
      </c>
    </row>
    <row r="6370" spans="2:3" x14ac:dyDescent="0.35">
      <c r="B6370" t="s">
        <v>787</v>
      </c>
      <c r="C6370" t="s">
        <v>788</v>
      </c>
    </row>
    <row r="6371" spans="2:3" x14ac:dyDescent="0.35">
      <c r="B6371" t="s">
        <v>961</v>
      </c>
      <c r="C6371" t="s">
        <v>962</v>
      </c>
    </row>
    <row r="6372" spans="2:3" x14ac:dyDescent="0.35">
      <c r="B6372" t="s">
        <v>465</v>
      </c>
      <c r="C6372" t="s">
        <v>466</v>
      </c>
    </row>
    <row r="6373" spans="2:3" x14ac:dyDescent="0.35">
      <c r="B6373" t="s">
        <v>531</v>
      </c>
      <c r="C6373" t="s">
        <v>532</v>
      </c>
    </row>
    <row r="6374" spans="2:3" x14ac:dyDescent="0.35">
      <c r="B6374" t="s">
        <v>787</v>
      </c>
      <c r="C6374" t="s">
        <v>788</v>
      </c>
    </row>
    <row r="6375" spans="2:3" x14ac:dyDescent="0.35">
      <c r="B6375" t="s">
        <v>84</v>
      </c>
      <c r="C6375" t="s">
        <v>85</v>
      </c>
    </row>
    <row r="6376" spans="2:3" x14ac:dyDescent="0.35">
      <c r="B6376" t="s">
        <v>174</v>
      </c>
      <c r="C6376" t="s">
        <v>175</v>
      </c>
    </row>
    <row r="6377" spans="2:3" x14ac:dyDescent="0.35">
      <c r="B6377" t="s">
        <v>295</v>
      </c>
      <c r="C6377" t="s">
        <v>296</v>
      </c>
    </row>
    <row r="6378" spans="2:3" x14ac:dyDescent="0.35">
      <c r="B6378" t="s">
        <v>511</v>
      </c>
      <c r="C6378" t="s">
        <v>512</v>
      </c>
    </row>
    <row r="6379" spans="2:3" x14ac:dyDescent="0.35">
      <c r="B6379" t="s">
        <v>543</v>
      </c>
      <c r="C6379" t="s">
        <v>544</v>
      </c>
    </row>
    <row r="6380" spans="2:3" x14ac:dyDescent="0.35">
      <c r="B6380" t="s">
        <v>804</v>
      </c>
      <c r="C6380" t="s">
        <v>805</v>
      </c>
    </row>
    <row r="6381" spans="2:3" x14ac:dyDescent="0.35">
      <c r="B6381" t="s">
        <v>465</v>
      </c>
      <c r="C6381" t="s">
        <v>466</v>
      </c>
    </row>
    <row r="6382" spans="2:3" x14ac:dyDescent="0.35">
      <c r="B6382" t="s">
        <v>447</v>
      </c>
      <c r="C6382" t="s">
        <v>448</v>
      </c>
    </row>
    <row r="6383" spans="2:3" x14ac:dyDescent="0.35">
      <c r="B6383" t="s">
        <v>692</v>
      </c>
      <c r="C6383" t="s">
        <v>693</v>
      </c>
    </row>
    <row r="6384" spans="2:3" x14ac:dyDescent="0.35">
      <c r="B6384" t="s">
        <v>346</v>
      </c>
      <c r="C6384" t="s">
        <v>347</v>
      </c>
    </row>
    <row r="6385" spans="2:3" x14ac:dyDescent="0.35">
      <c r="B6385" t="s">
        <v>874</v>
      </c>
      <c r="C6385" t="s">
        <v>875</v>
      </c>
    </row>
    <row r="6386" spans="2:3" x14ac:dyDescent="0.35">
      <c r="B6386" t="s">
        <v>640</v>
      </c>
      <c r="C6386" t="s">
        <v>641</v>
      </c>
    </row>
    <row r="6387" spans="2:3" x14ac:dyDescent="0.35">
      <c r="B6387" t="s">
        <v>787</v>
      </c>
      <c r="C6387" t="s">
        <v>788</v>
      </c>
    </row>
    <row r="6388" spans="2:3" x14ac:dyDescent="0.35">
      <c r="B6388" t="s">
        <v>515</v>
      </c>
      <c r="C6388" t="s">
        <v>516</v>
      </c>
    </row>
    <row r="6389" spans="2:3" x14ac:dyDescent="0.35">
      <c r="B6389" t="s">
        <v>543</v>
      </c>
      <c r="C6389" t="s">
        <v>544</v>
      </c>
    </row>
    <row r="6390" spans="2:3" x14ac:dyDescent="0.35">
      <c r="B6390" t="s">
        <v>443</v>
      </c>
      <c r="C6390" t="s">
        <v>444</v>
      </c>
    </row>
    <row r="6391" spans="2:3" x14ac:dyDescent="0.35">
      <c r="B6391" t="s">
        <v>787</v>
      </c>
      <c r="C6391" t="s">
        <v>788</v>
      </c>
    </row>
    <row r="6392" spans="2:3" x14ac:dyDescent="0.35">
      <c r="B6392" t="s">
        <v>163</v>
      </c>
      <c r="C6392" t="s">
        <v>164</v>
      </c>
    </row>
    <row r="6393" spans="2:3" x14ac:dyDescent="0.35">
      <c r="B6393" t="s">
        <v>559</v>
      </c>
      <c r="C6393" t="s">
        <v>560</v>
      </c>
    </row>
    <row r="6394" spans="2:3" x14ac:dyDescent="0.35">
      <c r="B6394" t="s">
        <v>384</v>
      </c>
      <c r="C6394" t="s">
        <v>385</v>
      </c>
    </row>
    <row r="6395" spans="2:3" x14ac:dyDescent="0.35">
      <c r="B6395" t="s">
        <v>84</v>
      </c>
      <c r="C6395" t="s">
        <v>85</v>
      </c>
    </row>
    <row r="6396" spans="2:3" x14ac:dyDescent="0.35">
      <c r="B6396" t="s">
        <v>1195</v>
      </c>
      <c r="C6396" t="s">
        <v>1195</v>
      </c>
    </row>
    <row r="6397" spans="2:3" x14ac:dyDescent="0.35">
      <c r="B6397" t="s">
        <v>1195</v>
      </c>
      <c r="C6397" t="s">
        <v>1195</v>
      </c>
    </row>
    <row r="6398" spans="2:3" x14ac:dyDescent="0.35">
      <c r="B6398" t="s">
        <v>787</v>
      </c>
      <c r="C6398" t="s">
        <v>788</v>
      </c>
    </row>
    <row r="6399" spans="2:3" x14ac:dyDescent="0.35">
      <c r="B6399" t="s">
        <v>273</v>
      </c>
      <c r="C6399" t="s">
        <v>274</v>
      </c>
    </row>
    <row r="6400" spans="2:3" x14ac:dyDescent="0.35">
      <c r="B6400" t="s">
        <v>260</v>
      </c>
      <c r="C6400" t="s">
        <v>261</v>
      </c>
    </row>
    <row r="6401" spans="2:3" x14ac:dyDescent="0.35">
      <c r="B6401" t="s">
        <v>787</v>
      </c>
      <c r="C6401" t="s">
        <v>788</v>
      </c>
    </row>
    <row r="6402" spans="2:3" x14ac:dyDescent="0.35">
      <c r="B6402" t="s">
        <v>410</v>
      </c>
      <c r="C6402" t="s">
        <v>411</v>
      </c>
    </row>
    <row r="6403" spans="2:3" x14ac:dyDescent="0.35">
      <c r="B6403" t="s">
        <v>174</v>
      </c>
      <c r="C6403" t="s">
        <v>175</v>
      </c>
    </row>
    <row r="6404" spans="2:3" x14ac:dyDescent="0.35">
      <c r="B6404" t="s">
        <v>662</v>
      </c>
      <c r="C6404" t="s">
        <v>663</v>
      </c>
    </row>
    <row r="6405" spans="2:3" x14ac:dyDescent="0.35">
      <c r="B6405" t="s">
        <v>208</v>
      </c>
      <c r="C6405" t="s">
        <v>209</v>
      </c>
    </row>
    <row r="6406" spans="2:3" x14ac:dyDescent="0.35">
      <c r="B6406" t="s">
        <v>378</v>
      </c>
      <c r="C6406" t="s">
        <v>379</v>
      </c>
    </row>
    <row r="6407" spans="2:3" x14ac:dyDescent="0.35">
      <c r="B6407" t="s">
        <v>656</v>
      </c>
      <c r="C6407" t="s">
        <v>657</v>
      </c>
    </row>
    <row r="6408" spans="2:3" x14ac:dyDescent="0.35">
      <c r="B6408" t="s">
        <v>787</v>
      </c>
      <c r="C6408" t="s">
        <v>788</v>
      </c>
    </row>
    <row r="6409" spans="2:3" x14ac:dyDescent="0.35">
      <c r="B6409" t="s">
        <v>571</v>
      </c>
      <c r="C6409" t="s">
        <v>572</v>
      </c>
    </row>
    <row r="6410" spans="2:3" x14ac:dyDescent="0.35">
      <c r="B6410" t="s">
        <v>531</v>
      </c>
      <c r="C6410" t="s">
        <v>532</v>
      </c>
    </row>
    <row r="6411" spans="2:3" x14ac:dyDescent="0.35">
      <c r="B6411" t="s">
        <v>557</v>
      </c>
      <c r="C6411" t="s">
        <v>558</v>
      </c>
    </row>
    <row r="6412" spans="2:3" x14ac:dyDescent="0.35">
      <c r="B6412" t="s">
        <v>465</v>
      </c>
      <c r="C6412" t="s">
        <v>466</v>
      </c>
    </row>
    <row r="6413" spans="2:3" x14ac:dyDescent="0.35">
      <c r="B6413" t="s">
        <v>640</v>
      </c>
      <c r="C6413" t="s">
        <v>641</v>
      </c>
    </row>
    <row r="6414" spans="2:3" x14ac:dyDescent="0.35">
      <c r="B6414" t="s">
        <v>787</v>
      </c>
      <c r="C6414" t="s">
        <v>788</v>
      </c>
    </row>
    <row r="6415" spans="2:3" x14ac:dyDescent="0.35">
      <c r="B6415" t="s">
        <v>616</v>
      </c>
      <c r="C6415" t="s">
        <v>617</v>
      </c>
    </row>
    <row r="6416" spans="2:3" x14ac:dyDescent="0.35">
      <c r="B6416" t="s">
        <v>537</v>
      </c>
      <c r="C6416" t="s">
        <v>538</v>
      </c>
    </row>
    <row r="6417" spans="2:3" x14ac:dyDescent="0.35">
      <c r="B6417" t="s">
        <v>787</v>
      </c>
      <c r="C6417" t="s">
        <v>788</v>
      </c>
    </row>
    <row r="6418" spans="2:3" x14ac:dyDescent="0.35">
      <c r="B6418" t="s">
        <v>219</v>
      </c>
      <c r="C6418" t="s">
        <v>220</v>
      </c>
    </row>
    <row r="6419" spans="2:3" x14ac:dyDescent="0.35">
      <c r="B6419" t="s">
        <v>804</v>
      </c>
      <c r="C6419" t="s">
        <v>805</v>
      </c>
    </row>
    <row r="6420" spans="2:3" x14ac:dyDescent="0.35">
      <c r="B6420" t="s">
        <v>787</v>
      </c>
      <c r="C6420" t="s">
        <v>788</v>
      </c>
    </row>
    <row r="6421" spans="2:3" x14ac:dyDescent="0.35">
      <c r="B6421" t="s">
        <v>868</v>
      </c>
      <c r="C6421" t="s">
        <v>869</v>
      </c>
    </row>
    <row r="6422" spans="2:3" x14ac:dyDescent="0.35">
      <c r="B6422" t="s">
        <v>537</v>
      </c>
      <c r="C6422" t="s">
        <v>538</v>
      </c>
    </row>
    <row r="6423" spans="2:3" x14ac:dyDescent="0.35">
      <c r="B6423" t="s">
        <v>787</v>
      </c>
      <c r="C6423" t="s">
        <v>788</v>
      </c>
    </row>
    <row r="6424" spans="2:3" x14ac:dyDescent="0.35">
      <c r="B6424" t="s">
        <v>553</v>
      </c>
      <c r="C6424" t="s">
        <v>554</v>
      </c>
    </row>
    <row r="6425" spans="2:3" x14ac:dyDescent="0.35">
      <c r="B6425" t="s">
        <v>575</v>
      </c>
      <c r="C6425" t="s">
        <v>576</v>
      </c>
    </row>
    <row r="6426" spans="2:3" x14ac:dyDescent="0.35">
      <c r="B6426" t="s">
        <v>378</v>
      </c>
      <c r="C6426" t="s">
        <v>379</v>
      </c>
    </row>
    <row r="6427" spans="2:3" x14ac:dyDescent="0.35">
      <c r="B6427" t="s">
        <v>577</v>
      </c>
      <c r="C6427" t="s">
        <v>578</v>
      </c>
    </row>
    <row r="6428" spans="2:3" x14ac:dyDescent="0.35">
      <c r="B6428" t="s">
        <v>208</v>
      </c>
      <c r="C6428" t="s">
        <v>209</v>
      </c>
    </row>
    <row r="6429" spans="2:3" x14ac:dyDescent="0.35">
      <c r="B6429" t="s">
        <v>662</v>
      </c>
      <c r="C6429" t="s">
        <v>663</v>
      </c>
    </row>
    <row r="6430" spans="2:3" x14ac:dyDescent="0.35">
      <c r="B6430" t="s">
        <v>577</v>
      </c>
      <c r="C6430" t="s">
        <v>578</v>
      </c>
    </row>
    <row r="6431" spans="2:3" x14ac:dyDescent="0.35">
      <c r="B6431" t="s">
        <v>700</v>
      </c>
      <c r="C6431" t="s">
        <v>701</v>
      </c>
    </row>
    <row r="6432" spans="2:3" x14ac:dyDescent="0.35">
      <c r="B6432" t="s">
        <v>662</v>
      </c>
      <c r="C6432" t="s">
        <v>663</v>
      </c>
    </row>
    <row r="6433" spans="2:3" x14ac:dyDescent="0.35">
      <c r="B6433" t="s">
        <v>787</v>
      </c>
      <c r="C6433" t="s">
        <v>788</v>
      </c>
    </row>
    <row r="6434" spans="2:3" x14ac:dyDescent="0.35">
      <c r="B6434" t="s">
        <v>577</v>
      </c>
      <c r="C6434" t="s">
        <v>578</v>
      </c>
    </row>
    <row r="6435" spans="2:3" x14ac:dyDescent="0.35">
      <c r="B6435" t="s">
        <v>694</v>
      </c>
      <c r="C6435" t="s">
        <v>695</v>
      </c>
    </row>
    <row r="6436" spans="2:3" x14ac:dyDescent="0.35">
      <c r="B6436" t="s">
        <v>787</v>
      </c>
      <c r="C6436" t="s">
        <v>788</v>
      </c>
    </row>
    <row r="6437" spans="2:3" x14ac:dyDescent="0.35">
      <c r="B6437" t="s">
        <v>208</v>
      </c>
      <c r="C6437" t="s">
        <v>209</v>
      </c>
    </row>
    <row r="6438" spans="2:3" x14ac:dyDescent="0.35">
      <c r="B6438" t="s">
        <v>537</v>
      </c>
      <c r="C6438" t="s">
        <v>538</v>
      </c>
    </row>
    <row r="6439" spans="2:3" x14ac:dyDescent="0.35">
      <c r="B6439" t="s">
        <v>804</v>
      </c>
      <c r="C6439" t="s">
        <v>805</v>
      </c>
    </row>
    <row r="6440" spans="2:3" x14ac:dyDescent="0.35">
      <c r="B6440" t="s">
        <v>859</v>
      </c>
      <c r="C6440" t="s">
        <v>860</v>
      </c>
    </row>
    <row r="6441" spans="2:3" x14ac:dyDescent="0.35">
      <c r="B6441" t="s">
        <v>128</v>
      </c>
      <c r="C6441" t="s">
        <v>129</v>
      </c>
    </row>
    <row r="6442" spans="2:3" x14ac:dyDescent="0.35">
      <c r="B6442" t="s">
        <v>543</v>
      </c>
      <c r="C6442" t="s">
        <v>544</v>
      </c>
    </row>
    <row r="6443" spans="2:3" x14ac:dyDescent="0.35">
      <c r="B6443" t="s">
        <v>254</v>
      </c>
      <c r="C6443" t="s">
        <v>255</v>
      </c>
    </row>
    <row r="6444" spans="2:3" x14ac:dyDescent="0.35">
      <c r="B6444" t="s">
        <v>202</v>
      </c>
      <c r="C6444" t="s">
        <v>203</v>
      </c>
    </row>
    <row r="6445" spans="2:3" x14ac:dyDescent="0.35">
      <c r="B6445" t="s">
        <v>465</v>
      </c>
      <c r="C6445" t="s">
        <v>466</v>
      </c>
    </row>
    <row r="6446" spans="2:3" x14ac:dyDescent="0.35">
      <c r="B6446" t="s">
        <v>202</v>
      </c>
      <c r="C6446" t="s">
        <v>203</v>
      </c>
    </row>
    <row r="6447" spans="2:3" x14ac:dyDescent="0.35">
      <c r="B6447" t="s">
        <v>577</v>
      </c>
      <c r="C6447" t="s">
        <v>578</v>
      </c>
    </row>
    <row r="6448" spans="2:3" x14ac:dyDescent="0.35">
      <c r="B6448" t="s">
        <v>577</v>
      </c>
      <c r="C6448" t="s">
        <v>578</v>
      </c>
    </row>
    <row r="6449" spans="2:3" x14ac:dyDescent="0.35">
      <c r="B6449" t="s">
        <v>559</v>
      </c>
      <c r="C6449" t="s">
        <v>560</v>
      </c>
    </row>
    <row r="6450" spans="2:3" x14ac:dyDescent="0.35">
      <c r="B6450" t="s">
        <v>868</v>
      </c>
      <c r="C6450" t="s">
        <v>869</v>
      </c>
    </row>
    <row r="6451" spans="2:3" x14ac:dyDescent="0.35">
      <c r="B6451" t="s">
        <v>346</v>
      </c>
      <c r="C6451" t="s">
        <v>347</v>
      </c>
    </row>
    <row r="6452" spans="2:3" x14ac:dyDescent="0.35">
      <c r="B6452" t="s">
        <v>208</v>
      </c>
      <c r="C6452" t="s">
        <v>209</v>
      </c>
    </row>
    <row r="6453" spans="2:3" x14ac:dyDescent="0.35">
      <c r="B6453" t="s">
        <v>208</v>
      </c>
      <c r="C6453" t="s">
        <v>209</v>
      </c>
    </row>
    <row r="6454" spans="2:3" x14ac:dyDescent="0.35">
      <c r="B6454" t="s">
        <v>787</v>
      </c>
      <c r="C6454" t="s">
        <v>788</v>
      </c>
    </row>
    <row r="6455" spans="2:3" x14ac:dyDescent="0.35">
      <c r="B6455" t="s">
        <v>252</v>
      </c>
      <c r="C6455" t="s">
        <v>253</v>
      </c>
    </row>
    <row r="6456" spans="2:3" x14ac:dyDescent="0.35">
      <c r="B6456" t="s">
        <v>787</v>
      </c>
      <c r="C6456" t="s">
        <v>788</v>
      </c>
    </row>
    <row r="6457" spans="2:3" x14ac:dyDescent="0.35">
      <c r="B6457" t="s">
        <v>122</v>
      </c>
      <c r="C6457" t="s">
        <v>123</v>
      </c>
    </row>
    <row r="6458" spans="2:3" x14ac:dyDescent="0.35">
      <c r="B6458" t="s">
        <v>122</v>
      </c>
      <c r="C6458" t="s">
        <v>123</v>
      </c>
    </row>
    <row r="6459" spans="2:3" x14ac:dyDescent="0.35">
      <c r="B6459" t="s">
        <v>202</v>
      </c>
      <c r="C6459" t="s">
        <v>203</v>
      </c>
    </row>
    <row r="6460" spans="2:3" x14ac:dyDescent="0.35">
      <c r="B6460" t="s">
        <v>870</v>
      </c>
      <c r="C6460" t="s">
        <v>871</v>
      </c>
    </row>
    <row r="6461" spans="2:3" x14ac:dyDescent="0.35">
      <c r="B6461" t="s">
        <v>543</v>
      </c>
      <c r="C6461" t="s">
        <v>544</v>
      </c>
    </row>
    <row r="6462" spans="2:3" x14ac:dyDescent="0.35">
      <c r="B6462" t="s">
        <v>230</v>
      </c>
      <c r="C6462" t="s">
        <v>231</v>
      </c>
    </row>
    <row r="6463" spans="2:3" x14ac:dyDescent="0.35">
      <c r="B6463" t="s">
        <v>553</v>
      </c>
      <c r="C6463" t="s">
        <v>554</v>
      </c>
    </row>
    <row r="6464" spans="2:3" x14ac:dyDescent="0.35">
      <c r="B6464" t="s">
        <v>523</v>
      </c>
      <c r="C6464" t="s">
        <v>524</v>
      </c>
    </row>
    <row r="6465" spans="2:3" x14ac:dyDescent="0.35">
      <c r="B6465" t="s">
        <v>662</v>
      </c>
      <c r="C6465" t="s">
        <v>663</v>
      </c>
    </row>
    <row r="6466" spans="2:3" x14ac:dyDescent="0.35">
      <c r="B6466" t="s">
        <v>868</v>
      </c>
      <c r="C6466" t="s">
        <v>869</v>
      </c>
    </row>
    <row r="6467" spans="2:3" x14ac:dyDescent="0.35">
      <c r="B6467" t="s">
        <v>208</v>
      </c>
      <c r="C6467" t="s">
        <v>209</v>
      </c>
    </row>
    <row r="6468" spans="2:3" x14ac:dyDescent="0.35">
      <c r="B6468" t="s">
        <v>787</v>
      </c>
      <c r="C6468" t="s">
        <v>788</v>
      </c>
    </row>
    <row r="6469" spans="2:3" x14ac:dyDescent="0.35">
      <c r="B6469" t="s">
        <v>787</v>
      </c>
      <c r="C6469" t="s">
        <v>788</v>
      </c>
    </row>
    <row r="6470" spans="2:3" x14ac:dyDescent="0.35">
      <c r="B6470" t="s">
        <v>1195</v>
      </c>
      <c r="C6470" t="s">
        <v>1195</v>
      </c>
    </row>
    <row r="6471" spans="2:3" x14ac:dyDescent="0.35">
      <c r="B6471" t="s">
        <v>543</v>
      </c>
      <c r="C6471" t="s">
        <v>544</v>
      </c>
    </row>
    <row r="6472" spans="2:3" x14ac:dyDescent="0.35">
      <c r="B6472" t="s">
        <v>202</v>
      </c>
      <c r="C6472" t="s">
        <v>203</v>
      </c>
    </row>
    <row r="6473" spans="2:3" x14ac:dyDescent="0.35">
      <c r="B6473" t="s">
        <v>507</v>
      </c>
      <c r="C6473" t="s">
        <v>508</v>
      </c>
    </row>
    <row r="6474" spans="2:3" x14ac:dyDescent="0.35">
      <c r="B6474" t="s">
        <v>571</v>
      </c>
      <c r="C6474" t="s">
        <v>572</v>
      </c>
    </row>
    <row r="6475" spans="2:3" x14ac:dyDescent="0.35">
      <c r="B6475" t="s">
        <v>787</v>
      </c>
      <c r="C6475" t="s">
        <v>788</v>
      </c>
    </row>
    <row r="6476" spans="2:3" x14ac:dyDescent="0.35">
      <c r="B6476" t="s">
        <v>573</v>
      </c>
      <c r="C6476" t="s">
        <v>574</v>
      </c>
    </row>
    <row r="6477" spans="2:3" x14ac:dyDescent="0.35">
      <c r="B6477" t="s">
        <v>787</v>
      </c>
      <c r="C6477" t="s">
        <v>788</v>
      </c>
    </row>
    <row r="6478" spans="2:3" x14ac:dyDescent="0.35">
      <c r="B6478" t="s">
        <v>279</v>
      </c>
      <c r="C6478" t="s">
        <v>280</v>
      </c>
    </row>
    <row r="6479" spans="2:3" x14ac:dyDescent="0.35">
      <c r="B6479" t="s">
        <v>787</v>
      </c>
      <c r="C6479" t="s">
        <v>788</v>
      </c>
    </row>
    <row r="6480" spans="2:3" x14ac:dyDescent="0.35">
      <c r="B6480" t="s">
        <v>787</v>
      </c>
      <c r="C6480" t="s">
        <v>788</v>
      </c>
    </row>
    <row r="6481" spans="2:3" x14ac:dyDescent="0.35">
      <c r="B6481" t="s">
        <v>202</v>
      </c>
      <c r="C6481" t="s">
        <v>203</v>
      </c>
    </row>
    <row r="6482" spans="2:3" x14ac:dyDescent="0.35">
      <c r="B6482" t="s">
        <v>543</v>
      </c>
      <c r="C6482" t="s">
        <v>544</v>
      </c>
    </row>
    <row r="6483" spans="2:3" x14ac:dyDescent="0.35">
      <c r="B6483" t="s">
        <v>787</v>
      </c>
      <c r="C6483" t="s">
        <v>788</v>
      </c>
    </row>
    <row r="6484" spans="2:3" x14ac:dyDescent="0.35">
      <c r="B6484" t="s">
        <v>787</v>
      </c>
      <c r="C6484" t="s">
        <v>788</v>
      </c>
    </row>
    <row r="6485" spans="2:3" x14ac:dyDescent="0.35">
      <c r="B6485" t="s">
        <v>182</v>
      </c>
      <c r="C6485" t="s">
        <v>183</v>
      </c>
    </row>
    <row r="6486" spans="2:3" x14ac:dyDescent="0.35">
      <c r="B6486" t="s">
        <v>219</v>
      </c>
      <c r="C6486" t="s">
        <v>220</v>
      </c>
    </row>
    <row r="6487" spans="2:3" x14ac:dyDescent="0.35">
      <c r="B6487" t="s">
        <v>362</v>
      </c>
      <c r="C6487" t="s">
        <v>363</v>
      </c>
    </row>
    <row r="6488" spans="2:3" x14ac:dyDescent="0.35">
      <c r="B6488" t="s">
        <v>236</v>
      </c>
      <c r="C6488" t="s">
        <v>237</v>
      </c>
    </row>
    <row r="6489" spans="2:3" x14ac:dyDescent="0.35">
      <c r="B6489" t="s">
        <v>471</v>
      </c>
      <c r="C6489" t="s">
        <v>472</v>
      </c>
    </row>
    <row r="6490" spans="2:3" x14ac:dyDescent="0.35">
      <c r="B6490" t="s">
        <v>473</v>
      </c>
      <c r="C6490" t="s">
        <v>474</v>
      </c>
    </row>
    <row r="6491" spans="2:3" x14ac:dyDescent="0.35">
      <c r="B6491" t="s">
        <v>234</v>
      </c>
      <c r="C6491" t="s">
        <v>235</v>
      </c>
    </row>
    <row r="6492" spans="2:3" x14ac:dyDescent="0.35">
      <c r="B6492" t="s">
        <v>471</v>
      </c>
      <c r="C6492" t="s">
        <v>472</v>
      </c>
    </row>
    <row r="6493" spans="2:3" x14ac:dyDescent="0.35">
      <c r="B6493" t="s">
        <v>473</v>
      </c>
      <c r="C6493" t="s">
        <v>474</v>
      </c>
    </row>
    <row r="6494" spans="2:3" x14ac:dyDescent="0.35">
      <c r="B6494" t="s">
        <v>471</v>
      </c>
      <c r="C6494" t="s">
        <v>472</v>
      </c>
    </row>
    <row r="6495" spans="2:3" x14ac:dyDescent="0.35">
      <c r="B6495" t="s">
        <v>1195</v>
      </c>
      <c r="C6495" t="s">
        <v>1195</v>
      </c>
    </row>
    <row r="6496" spans="2:3" x14ac:dyDescent="0.35">
      <c r="B6496" t="s">
        <v>234</v>
      </c>
      <c r="C6496" t="s">
        <v>235</v>
      </c>
    </row>
    <row r="6497" spans="2:3" x14ac:dyDescent="0.35">
      <c r="B6497" t="s">
        <v>473</v>
      </c>
      <c r="C6497" t="s">
        <v>474</v>
      </c>
    </row>
    <row r="6498" spans="2:3" x14ac:dyDescent="0.35">
      <c r="B6498" t="s">
        <v>234</v>
      </c>
      <c r="C6498" t="s">
        <v>235</v>
      </c>
    </row>
    <row r="6499" spans="2:3" x14ac:dyDescent="0.35">
      <c r="B6499" t="s">
        <v>222</v>
      </c>
      <c r="C6499" t="s">
        <v>223</v>
      </c>
    </row>
    <row r="6500" spans="2:3" x14ac:dyDescent="0.35">
      <c r="B6500" t="s">
        <v>234</v>
      </c>
      <c r="C6500" t="s">
        <v>235</v>
      </c>
    </row>
    <row r="6501" spans="2:3" x14ac:dyDescent="0.35">
      <c r="B6501" t="s">
        <v>234</v>
      </c>
      <c r="C6501" t="s">
        <v>235</v>
      </c>
    </row>
    <row r="6502" spans="2:3" x14ac:dyDescent="0.35">
      <c r="B6502" t="s">
        <v>234</v>
      </c>
      <c r="C6502" t="s">
        <v>235</v>
      </c>
    </row>
    <row r="6503" spans="2:3" x14ac:dyDescent="0.35">
      <c r="B6503" t="s">
        <v>222</v>
      </c>
      <c r="C6503" t="s">
        <v>223</v>
      </c>
    </row>
    <row r="6504" spans="2:3" x14ac:dyDescent="0.35">
      <c r="B6504" t="s">
        <v>277</v>
      </c>
      <c r="C6504" t="s">
        <v>278</v>
      </c>
    </row>
    <row r="6505" spans="2:3" x14ac:dyDescent="0.35">
      <c r="B6505" t="s">
        <v>234</v>
      </c>
      <c r="C6505" t="s">
        <v>235</v>
      </c>
    </row>
    <row r="6506" spans="2:3" x14ac:dyDescent="0.35">
      <c r="B6506" t="s">
        <v>1195</v>
      </c>
      <c r="C6506" t="s">
        <v>1195</v>
      </c>
    </row>
    <row r="6507" spans="2:3" x14ac:dyDescent="0.35">
      <c r="B6507" t="s">
        <v>1195</v>
      </c>
      <c r="C6507" t="s">
        <v>1195</v>
      </c>
    </row>
    <row r="6508" spans="2:3" x14ac:dyDescent="0.35">
      <c r="B6508" t="s">
        <v>471</v>
      </c>
      <c r="C6508" t="s">
        <v>472</v>
      </c>
    </row>
    <row r="6509" spans="2:3" x14ac:dyDescent="0.35">
      <c r="B6509" t="s">
        <v>1193</v>
      </c>
      <c r="C6509" t="s">
        <v>1194</v>
      </c>
    </row>
    <row r="6510" spans="2:3" x14ac:dyDescent="0.35">
      <c r="B6510" t="s">
        <v>222</v>
      </c>
      <c r="C6510" t="s">
        <v>223</v>
      </c>
    </row>
    <row r="6511" spans="2:3" x14ac:dyDescent="0.35">
      <c r="B6511" t="s">
        <v>222</v>
      </c>
      <c r="C6511" t="s">
        <v>223</v>
      </c>
    </row>
    <row r="6512" spans="2:3" x14ac:dyDescent="0.35">
      <c r="B6512" t="s">
        <v>184</v>
      </c>
      <c r="C6512" t="s">
        <v>185</v>
      </c>
    </row>
    <row r="6513" spans="2:3" x14ac:dyDescent="0.35">
      <c r="B6513" t="s">
        <v>182</v>
      </c>
      <c r="C6513" t="s">
        <v>183</v>
      </c>
    </row>
    <row r="6514" spans="2:3" x14ac:dyDescent="0.35">
      <c r="B6514" t="s">
        <v>234</v>
      </c>
      <c r="C6514" t="s">
        <v>235</v>
      </c>
    </row>
    <row r="6515" spans="2:3" x14ac:dyDescent="0.35">
      <c r="B6515" t="s">
        <v>471</v>
      </c>
      <c r="C6515" t="s">
        <v>472</v>
      </c>
    </row>
    <row r="6516" spans="2:3" x14ac:dyDescent="0.35">
      <c r="B6516" t="s">
        <v>473</v>
      </c>
      <c r="C6516" t="s">
        <v>474</v>
      </c>
    </row>
    <row r="6517" spans="2:3" x14ac:dyDescent="0.35">
      <c r="B6517" t="s">
        <v>182</v>
      </c>
      <c r="C6517" t="s">
        <v>183</v>
      </c>
    </row>
    <row r="6518" spans="2:3" x14ac:dyDescent="0.35">
      <c r="B6518" t="s">
        <v>163</v>
      </c>
      <c r="C6518" t="s">
        <v>164</v>
      </c>
    </row>
    <row r="6519" spans="2:3" x14ac:dyDescent="0.35">
      <c r="B6519" t="s">
        <v>277</v>
      </c>
      <c r="C6519" t="s">
        <v>278</v>
      </c>
    </row>
    <row r="6520" spans="2:3" x14ac:dyDescent="0.35">
      <c r="B6520" t="s">
        <v>277</v>
      </c>
      <c r="C6520" t="s">
        <v>278</v>
      </c>
    </row>
    <row r="6521" spans="2:3" x14ac:dyDescent="0.35">
      <c r="B6521" t="s">
        <v>219</v>
      </c>
      <c r="C6521" t="s">
        <v>220</v>
      </c>
    </row>
    <row r="6522" spans="2:3" x14ac:dyDescent="0.35">
      <c r="B6522" t="s">
        <v>184</v>
      </c>
      <c r="C6522" t="s">
        <v>185</v>
      </c>
    </row>
    <row r="6523" spans="2:3" x14ac:dyDescent="0.35">
      <c r="B6523" t="s">
        <v>471</v>
      </c>
      <c r="C6523" t="s">
        <v>472</v>
      </c>
    </row>
    <row r="6524" spans="2:3" x14ac:dyDescent="0.35">
      <c r="B6524" t="s">
        <v>222</v>
      </c>
      <c r="C6524" t="s">
        <v>223</v>
      </c>
    </row>
    <row r="6525" spans="2:3" x14ac:dyDescent="0.35">
      <c r="B6525" t="s">
        <v>1195</v>
      </c>
      <c r="C6525" t="s">
        <v>1195</v>
      </c>
    </row>
    <row r="6526" spans="2:3" x14ac:dyDescent="0.35">
      <c r="B6526" t="s">
        <v>163</v>
      </c>
      <c r="C6526" t="s">
        <v>164</v>
      </c>
    </row>
    <row r="6527" spans="2:3" x14ac:dyDescent="0.35">
      <c r="B6527" t="s">
        <v>163</v>
      </c>
      <c r="C6527" t="s">
        <v>164</v>
      </c>
    </row>
    <row r="6528" spans="2:3" x14ac:dyDescent="0.35">
      <c r="B6528" t="s">
        <v>437</v>
      </c>
      <c r="C6528" t="s">
        <v>438</v>
      </c>
    </row>
    <row r="6529" spans="2:3" x14ac:dyDescent="0.35">
      <c r="B6529" t="s">
        <v>1195</v>
      </c>
      <c r="C6529" t="s">
        <v>1195</v>
      </c>
    </row>
    <row r="6530" spans="2:3" x14ac:dyDescent="0.35">
      <c r="B6530" t="s">
        <v>163</v>
      </c>
      <c r="C6530" t="s">
        <v>164</v>
      </c>
    </row>
    <row r="6531" spans="2:3" x14ac:dyDescent="0.35">
      <c r="B6531" t="s">
        <v>1195</v>
      </c>
      <c r="C6531" t="s">
        <v>1195</v>
      </c>
    </row>
    <row r="6532" spans="2:3" x14ac:dyDescent="0.35">
      <c r="B6532" t="s">
        <v>182</v>
      </c>
      <c r="C6532" t="s">
        <v>183</v>
      </c>
    </row>
    <row r="6533" spans="2:3" x14ac:dyDescent="0.35">
      <c r="B6533" t="s">
        <v>234</v>
      </c>
      <c r="C6533" t="s">
        <v>235</v>
      </c>
    </row>
    <row r="6534" spans="2:3" x14ac:dyDescent="0.35">
      <c r="B6534" t="s">
        <v>222</v>
      </c>
      <c r="C6534" t="s">
        <v>223</v>
      </c>
    </row>
    <row r="6535" spans="2:3" x14ac:dyDescent="0.35">
      <c r="B6535" t="s">
        <v>1193</v>
      </c>
      <c r="C6535" t="s">
        <v>1194</v>
      </c>
    </row>
    <row r="6536" spans="2:3" x14ac:dyDescent="0.35">
      <c r="B6536" t="s">
        <v>163</v>
      </c>
      <c r="C6536" t="s">
        <v>164</v>
      </c>
    </row>
    <row r="6537" spans="2:3" x14ac:dyDescent="0.35">
      <c r="B6537" t="s">
        <v>219</v>
      </c>
      <c r="C6537" t="s">
        <v>220</v>
      </c>
    </row>
    <row r="6538" spans="2:3" x14ac:dyDescent="0.35">
      <c r="B6538" t="s">
        <v>471</v>
      </c>
      <c r="C6538" t="s">
        <v>472</v>
      </c>
    </row>
    <row r="6539" spans="2:3" x14ac:dyDescent="0.35">
      <c r="B6539" t="s">
        <v>163</v>
      </c>
      <c r="C6539" t="s">
        <v>164</v>
      </c>
    </row>
    <row r="6540" spans="2:3" x14ac:dyDescent="0.35">
      <c r="B6540" t="s">
        <v>473</v>
      </c>
      <c r="C6540" t="s">
        <v>474</v>
      </c>
    </row>
    <row r="6541" spans="2:3" x14ac:dyDescent="0.35">
      <c r="B6541" t="s">
        <v>163</v>
      </c>
      <c r="C6541" t="s">
        <v>164</v>
      </c>
    </row>
    <row r="6542" spans="2:3" x14ac:dyDescent="0.35">
      <c r="B6542" t="s">
        <v>225</v>
      </c>
      <c r="C6542" t="s">
        <v>226</v>
      </c>
    </row>
    <row r="6543" spans="2:3" x14ac:dyDescent="0.35">
      <c r="B6543" t="s">
        <v>184</v>
      </c>
      <c r="C6543" t="s">
        <v>185</v>
      </c>
    </row>
    <row r="6544" spans="2:3" x14ac:dyDescent="0.35">
      <c r="B6544" t="s">
        <v>277</v>
      </c>
      <c r="C6544" t="s">
        <v>278</v>
      </c>
    </row>
    <row r="6545" spans="2:3" x14ac:dyDescent="0.35">
      <c r="B6545" t="s">
        <v>184</v>
      </c>
      <c r="C6545" t="s">
        <v>185</v>
      </c>
    </row>
    <row r="6546" spans="2:3" x14ac:dyDescent="0.35">
      <c r="B6546" t="s">
        <v>1193</v>
      </c>
      <c r="C6546" t="s">
        <v>1194</v>
      </c>
    </row>
    <row r="6547" spans="2:3" x14ac:dyDescent="0.35">
      <c r="B6547" t="s">
        <v>184</v>
      </c>
      <c r="C6547" t="s">
        <v>185</v>
      </c>
    </row>
    <row r="6548" spans="2:3" x14ac:dyDescent="0.35">
      <c r="B6548" t="s">
        <v>163</v>
      </c>
      <c r="C6548" t="s">
        <v>164</v>
      </c>
    </row>
    <row r="6549" spans="2:3" x14ac:dyDescent="0.35">
      <c r="B6549" t="s">
        <v>184</v>
      </c>
      <c r="C6549" t="s">
        <v>185</v>
      </c>
    </row>
    <row r="6550" spans="2:3" x14ac:dyDescent="0.35">
      <c r="B6550" t="s">
        <v>234</v>
      </c>
      <c r="C6550" t="s">
        <v>235</v>
      </c>
    </row>
    <row r="6551" spans="2:3" x14ac:dyDescent="0.35">
      <c r="B6551" t="s">
        <v>1193</v>
      </c>
      <c r="C6551" t="s">
        <v>1194</v>
      </c>
    </row>
    <row r="6552" spans="2:3" x14ac:dyDescent="0.35">
      <c r="B6552" t="s">
        <v>163</v>
      </c>
      <c r="C6552" t="s">
        <v>164</v>
      </c>
    </row>
    <row r="6553" spans="2:3" x14ac:dyDescent="0.35">
      <c r="B6553" t="s">
        <v>163</v>
      </c>
      <c r="C6553" t="s">
        <v>164</v>
      </c>
    </row>
    <row r="6554" spans="2:3" x14ac:dyDescent="0.35">
      <c r="B6554" t="s">
        <v>277</v>
      </c>
      <c r="C6554" t="s">
        <v>278</v>
      </c>
    </row>
    <row r="6555" spans="2:3" x14ac:dyDescent="0.35">
      <c r="B6555" t="s">
        <v>182</v>
      </c>
      <c r="C6555" t="s">
        <v>183</v>
      </c>
    </row>
    <row r="6556" spans="2:3" x14ac:dyDescent="0.35">
      <c r="B6556" t="s">
        <v>1195</v>
      </c>
      <c r="C6556" t="s">
        <v>1195</v>
      </c>
    </row>
    <row r="6557" spans="2:3" x14ac:dyDescent="0.35">
      <c r="B6557" t="s">
        <v>437</v>
      </c>
      <c r="C6557" t="s">
        <v>438</v>
      </c>
    </row>
    <row r="6558" spans="2:3" x14ac:dyDescent="0.35">
      <c r="B6558" t="s">
        <v>277</v>
      </c>
      <c r="C6558" t="s">
        <v>278</v>
      </c>
    </row>
    <row r="6559" spans="2:3" x14ac:dyDescent="0.35">
      <c r="B6559" t="s">
        <v>184</v>
      </c>
      <c r="C6559" t="s">
        <v>185</v>
      </c>
    </row>
    <row r="6560" spans="2:3" x14ac:dyDescent="0.35">
      <c r="B6560" t="s">
        <v>222</v>
      </c>
      <c r="C6560" t="s">
        <v>223</v>
      </c>
    </row>
    <row r="6561" spans="2:3" x14ac:dyDescent="0.35">
      <c r="B6561" t="s">
        <v>182</v>
      </c>
      <c r="C6561" t="s">
        <v>183</v>
      </c>
    </row>
    <row r="6562" spans="2:3" x14ac:dyDescent="0.35">
      <c r="B6562" t="s">
        <v>222</v>
      </c>
      <c r="C6562" t="s">
        <v>223</v>
      </c>
    </row>
    <row r="6563" spans="2:3" x14ac:dyDescent="0.35">
      <c r="B6563" t="s">
        <v>163</v>
      </c>
      <c r="C6563" t="s">
        <v>164</v>
      </c>
    </row>
    <row r="6564" spans="2:3" x14ac:dyDescent="0.35">
      <c r="B6564" t="s">
        <v>225</v>
      </c>
      <c r="C6564" t="s">
        <v>226</v>
      </c>
    </row>
    <row r="6565" spans="2:3" x14ac:dyDescent="0.35">
      <c r="B6565" t="s">
        <v>234</v>
      </c>
      <c r="C6565" t="s">
        <v>235</v>
      </c>
    </row>
    <row r="6566" spans="2:3" x14ac:dyDescent="0.35">
      <c r="B6566" t="s">
        <v>1195</v>
      </c>
      <c r="C6566" t="s">
        <v>1195</v>
      </c>
    </row>
    <row r="6567" spans="2:3" x14ac:dyDescent="0.35">
      <c r="B6567" t="s">
        <v>277</v>
      </c>
      <c r="C6567" t="s">
        <v>278</v>
      </c>
    </row>
    <row r="6568" spans="2:3" x14ac:dyDescent="0.35">
      <c r="B6568" t="s">
        <v>437</v>
      </c>
      <c r="C6568" t="s">
        <v>438</v>
      </c>
    </row>
    <row r="6569" spans="2:3" x14ac:dyDescent="0.35">
      <c r="B6569" t="s">
        <v>184</v>
      </c>
      <c r="C6569" t="s">
        <v>185</v>
      </c>
    </row>
    <row r="6570" spans="2:3" x14ac:dyDescent="0.35">
      <c r="B6570" t="s">
        <v>182</v>
      </c>
      <c r="C6570" t="s">
        <v>183</v>
      </c>
    </row>
    <row r="6571" spans="2:3" x14ac:dyDescent="0.35">
      <c r="B6571" t="s">
        <v>471</v>
      </c>
      <c r="C6571" t="s">
        <v>472</v>
      </c>
    </row>
    <row r="6572" spans="2:3" x14ac:dyDescent="0.35">
      <c r="B6572" t="s">
        <v>234</v>
      </c>
      <c r="C6572" t="s">
        <v>235</v>
      </c>
    </row>
    <row r="6573" spans="2:3" x14ac:dyDescent="0.35">
      <c r="B6573" t="s">
        <v>234</v>
      </c>
      <c r="C6573" t="s">
        <v>235</v>
      </c>
    </row>
    <row r="6574" spans="2:3" x14ac:dyDescent="0.35">
      <c r="B6574" t="s">
        <v>234</v>
      </c>
      <c r="C6574" t="s">
        <v>235</v>
      </c>
    </row>
    <row r="6575" spans="2:3" x14ac:dyDescent="0.35">
      <c r="B6575" t="s">
        <v>640</v>
      </c>
      <c r="C6575" t="s">
        <v>641</v>
      </c>
    </row>
    <row r="6576" spans="2:3" x14ac:dyDescent="0.35">
      <c r="B6576" t="s">
        <v>234</v>
      </c>
      <c r="C6576" t="s">
        <v>235</v>
      </c>
    </row>
    <row r="6577" spans="2:3" x14ac:dyDescent="0.35">
      <c r="B6577" t="s">
        <v>222</v>
      </c>
      <c r="C6577" t="s">
        <v>223</v>
      </c>
    </row>
    <row r="6578" spans="2:3" x14ac:dyDescent="0.35">
      <c r="B6578" t="s">
        <v>1195</v>
      </c>
      <c r="C6578" t="s">
        <v>1195</v>
      </c>
    </row>
    <row r="6579" spans="2:3" x14ac:dyDescent="0.35">
      <c r="B6579" t="s">
        <v>234</v>
      </c>
      <c r="C6579" t="s">
        <v>235</v>
      </c>
    </row>
    <row r="6580" spans="2:3" x14ac:dyDescent="0.35">
      <c r="B6580" t="s">
        <v>277</v>
      </c>
      <c r="C6580" t="s">
        <v>278</v>
      </c>
    </row>
    <row r="6581" spans="2:3" x14ac:dyDescent="0.35">
      <c r="B6581" t="s">
        <v>277</v>
      </c>
      <c r="C6581" t="s">
        <v>278</v>
      </c>
    </row>
    <row r="6582" spans="2:3" x14ac:dyDescent="0.35">
      <c r="B6582" t="s">
        <v>184</v>
      </c>
      <c r="C6582" t="s">
        <v>185</v>
      </c>
    </row>
    <row r="6583" spans="2:3" x14ac:dyDescent="0.35">
      <c r="B6583" t="s">
        <v>163</v>
      </c>
      <c r="C6583" t="s">
        <v>164</v>
      </c>
    </row>
    <row r="6584" spans="2:3" x14ac:dyDescent="0.35">
      <c r="B6584" t="s">
        <v>182</v>
      </c>
      <c r="C6584" t="s">
        <v>183</v>
      </c>
    </row>
    <row r="6585" spans="2:3" x14ac:dyDescent="0.35">
      <c r="B6585" t="s">
        <v>473</v>
      </c>
      <c r="C6585" t="s">
        <v>474</v>
      </c>
    </row>
    <row r="6586" spans="2:3" x14ac:dyDescent="0.35">
      <c r="B6586" t="s">
        <v>163</v>
      </c>
      <c r="C6586" t="s">
        <v>164</v>
      </c>
    </row>
    <row r="6587" spans="2:3" x14ac:dyDescent="0.35">
      <c r="B6587" t="s">
        <v>234</v>
      </c>
      <c r="C6587" t="s">
        <v>235</v>
      </c>
    </row>
    <row r="6588" spans="2:3" x14ac:dyDescent="0.35">
      <c r="B6588" t="s">
        <v>163</v>
      </c>
      <c r="C6588" t="s">
        <v>164</v>
      </c>
    </row>
    <row r="6589" spans="2:3" x14ac:dyDescent="0.35">
      <c r="B6589" t="s">
        <v>473</v>
      </c>
      <c r="C6589" t="s">
        <v>474</v>
      </c>
    </row>
    <row r="6590" spans="2:3" x14ac:dyDescent="0.35">
      <c r="B6590" t="s">
        <v>163</v>
      </c>
      <c r="C6590" t="s">
        <v>164</v>
      </c>
    </row>
    <row r="6591" spans="2:3" x14ac:dyDescent="0.35">
      <c r="B6591" t="s">
        <v>225</v>
      </c>
      <c r="C6591" t="s">
        <v>226</v>
      </c>
    </row>
    <row r="6592" spans="2:3" x14ac:dyDescent="0.35">
      <c r="B6592" t="s">
        <v>234</v>
      </c>
      <c r="C6592" t="s">
        <v>235</v>
      </c>
    </row>
    <row r="6593" spans="2:3" x14ac:dyDescent="0.35">
      <c r="B6593" t="s">
        <v>473</v>
      </c>
      <c r="C6593" t="s">
        <v>474</v>
      </c>
    </row>
    <row r="6594" spans="2:3" x14ac:dyDescent="0.35">
      <c r="B6594" t="s">
        <v>219</v>
      </c>
      <c r="C6594" t="s">
        <v>220</v>
      </c>
    </row>
    <row r="6595" spans="2:3" x14ac:dyDescent="0.35">
      <c r="B6595" t="s">
        <v>184</v>
      </c>
      <c r="C6595" t="s">
        <v>185</v>
      </c>
    </row>
    <row r="6596" spans="2:3" x14ac:dyDescent="0.35">
      <c r="B6596" t="s">
        <v>222</v>
      </c>
      <c r="C6596" t="s">
        <v>223</v>
      </c>
    </row>
    <row r="6597" spans="2:3" x14ac:dyDescent="0.35">
      <c r="B6597" t="s">
        <v>254</v>
      </c>
      <c r="C6597" t="s">
        <v>255</v>
      </c>
    </row>
    <row r="6598" spans="2:3" x14ac:dyDescent="0.35">
      <c r="B6598" t="s">
        <v>471</v>
      </c>
      <c r="C6598" t="s">
        <v>472</v>
      </c>
    </row>
    <row r="6599" spans="2:3" x14ac:dyDescent="0.35">
      <c r="B6599" t="s">
        <v>182</v>
      </c>
      <c r="C6599" t="s">
        <v>183</v>
      </c>
    </row>
    <row r="6600" spans="2:3" x14ac:dyDescent="0.35">
      <c r="B6600" t="s">
        <v>277</v>
      </c>
      <c r="C6600" t="s">
        <v>278</v>
      </c>
    </row>
    <row r="6601" spans="2:3" x14ac:dyDescent="0.35">
      <c r="B6601" t="s">
        <v>182</v>
      </c>
      <c r="C6601" t="s">
        <v>183</v>
      </c>
    </row>
    <row r="6602" spans="2:3" x14ac:dyDescent="0.35">
      <c r="B6602" t="s">
        <v>473</v>
      </c>
      <c r="C6602" t="s">
        <v>474</v>
      </c>
    </row>
    <row r="6603" spans="2:3" x14ac:dyDescent="0.35">
      <c r="B6603" t="s">
        <v>471</v>
      </c>
      <c r="C6603" t="s">
        <v>472</v>
      </c>
    </row>
    <row r="6604" spans="2:3" x14ac:dyDescent="0.35">
      <c r="B6604" t="s">
        <v>184</v>
      </c>
      <c r="C6604" t="s">
        <v>185</v>
      </c>
    </row>
    <row r="6605" spans="2:3" x14ac:dyDescent="0.35">
      <c r="B6605" t="s">
        <v>184</v>
      </c>
      <c r="C6605" t="s">
        <v>185</v>
      </c>
    </row>
    <row r="6606" spans="2:3" x14ac:dyDescent="0.35">
      <c r="B6606" t="s">
        <v>182</v>
      </c>
      <c r="C6606" t="s">
        <v>183</v>
      </c>
    </row>
    <row r="6607" spans="2:3" x14ac:dyDescent="0.35">
      <c r="B6607" t="s">
        <v>471</v>
      </c>
      <c r="C6607" t="s">
        <v>472</v>
      </c>
    </row>
    <row r="6608" spans="2:3" x14ac:dyDescent="0.35">
      <c r="B6608" t="s">
        <v>471</v>
      </c>
      <c r="C6608" t="s">
        <v>472</v>
      </c>
    </row>
    <row r="6609" spans="2:3" x14ac:dyDescent="0.35">
      <c r="B6609" t="s">
        <v>473</v>
      </c>
      <c r="C6609" t="s">
        <v>474</v>
      </c>
    </row>
    <row r="6610" spans="2:3" x14ac:dyDescent="0.35">
      <c r="B6610" t="s">
        <v>163</v>
      </c>
      <c r="C6610" t="s">
        <v>164</v>
      </c>
    </row>
    <row r="6611" spans="2:3" x14ac:dyDescent="0.35">
      <c r="B6611" t="s">
        <v>163</v>
      </c>
      <c r="C6611" t="s">
        <v>164</v>
      </c>
    </row>
    <row r="6612" spans="2:3" x14ac:dyDescent="0.35">
      <c r="B6612" t="s">
        <v>362</v>
      </c>
      <c r="C6612" t="s">
        <v>363</v>
      </c>
    </row>
    <row r="6613" spans="2:3" x14ac:dyDescent="0.35">
      <c r="B6613" t="s">
        <v>471</v>
      </c>
      <c r="C6613" t="s">
        <v>472</v>
      </c>
    </row>
    <row r="6614" spans="2:3" x14ac:dyDescent="0.35">
      <c r="B6614" t="s">
        <v>471</v>
      </c>
      <c r="C6614" t="s">
        <v>472</v>
      </c>
    </row>
    <row r="6615" spans="2:3" x14ac:dyDescent="0.35">
      <c r="B6615" t="s">
        <v>234</v>
      </c>
      <c r="C6615" t="s">
        <v>235</v>
      </c>
    </row>
    <row r="6616" spans="2:3" x14ac:dyDescent="0.35">
      <c r="B6616" t="s">
        <v>234</v>
      </c>
      <c r="C6616" t="s">
        <v>235</v>
      </c>
    </row>
    <row r="6617" spans="2:3" x14ac:dyDescent="0.35">
      <c r="B6617" t="s">
        <v>471</v>
      </c>
      <c r="C6617" t="s">
        <v>472</v>
      </c>
    </row>
    <row r="6618" spans="2:3" x14ac:dyDescent="0.35">
      <c r="B6618" t="s">
        <v>473</v>
      </c>
      <c r="C6618" t="s">
        <v>474</v>
      </c>
    </row>
    <row r="6619" spans="2:3" x14ac:dyDescent="0.35">
      <c r="B6619" t="s">
        <v>222</v>
      </c>
      <c r="C6619" t="s">
        <v>223</v>
      </c>
    </row>
    <row r="6620" spans="2:3" x14ac:dyDescent="0.35">
      <c r="B6620" t="s">
        <v>182</v>
      </c>
      <c r="C6620" t="s">
        <v>183</v>
      </c>
    </row>
    <row r="6621" spans="2:3" x14ac:dyDescent="0.35">
      <c r="B6621" t="s">
        <v>277</v>
      </c>
      <c r="C6621" t="s">
        <v>278</v>
      </c>
    </row>
    <row r="6622" spans="2:3" x14ac:dyDescent="0.35">
      <c r="B6622" t="s">
        <v>471</v>
      </c>
      <c r="C6622" t="s">
        <v>472</v>
      </c>
    </row>
    <row r="6623" spans="2:3" x14ac:dyDescent="0.35">
      <c r="B6623" t="s">
        <v>184</v>
      </c>
      <c r="C6623" t="s">
        <v>185</v>
      </c>
    </row>
    <row r="6624" spans="2:3" x14ac:dyDescent="0.35">
      <c r="B6624" t="s">
        <v>234</v>
      </c>
      <c r="C6624" t="s">
        <v>235</v>
      </c>
    </row>
    <row r="6625" spans="2:3" x14ac:dyDescent="0.35">
      <c r="B6625" t="s">
        <v>234</v>
      </c>
      <c r="C6625" t="s">
        <v>235</v>
      </c>
    </row>
    <row r="6626" spans="2:3" x14ac:dyDescent="0.35">
      <c r="B6626" t="s">
        <v>1195</v>
      </c>
      <c r="C6626" t="s">
        <v>1195</v>
      </c>
    </row>
    <row r="6627" spans="2:3" x14ac:dyDescent="0.35">
      <c r="B6627" t="s">
        <v>1195</v>
      </c>
      <c r="C6627" t="s">
        <v>1195</v>
      </c>
    </row>
    <row r="6628" spans="2:3" x14ac:dyDescent="0.35">
      <c r="B6628" t="s">
        <v>219</v>
      </c>
      <c r="C6628" t="s">
        <v>220</v>
      </c>
    </row>
    <row r="6629" spans="2:3" x14ac:dyDescent="0.35">
      <c r="B6629" t="s">
        <v>471</v>
      </c>
      <c r="C6629" t="s">
        <v>472</v>
      </c>
    </row>
    <row r="6630" spans="2:3" x14ac:dyDescent="0.35">
      <c r="B6630" t="s">
        <v>182</v>
      </c>
      <c r="C6630" t="s">
        <v>183</v>
      </c>
    </row>
    <row r="6631" spans="2:3" x14ac:dyDescent="0.35">
      <c r="B6631" t="s">
        <v>1193</v>
      </c>
      <c r="C6631" t="s">
        <v>1194</v>
      </c>
    </row>
    <row r="6632" spans="2:3" x14ac:dyDescent="0.35">
      <c r="B6632" t="s">
        <v>471</v>
      </c>
      <c r="C6632" t="s">
        <v>472</v>
      </c>
    </row>
    <row r="6633" spans="2:3" x14ac:dyDescent="0.35">
      <c r="B6633" t="s">
        <v>471</v>
      </c>
      <c r="C6633" t="s">
        <v>472</v>
      </c>
    </row>
    <row r="6634" spans="2:3" x14ac:dyDescent="0.35">
      <c r="B6634" t="s">
        <v>234</v>
      </c>
      <c r="C6634" t="s">
        <v>235</v>
      </c>
    </row>
    <row r="6635" spans="2:3" x14ac:dyDescent="0.35">
      <c r="B6635" t="s">
        <v>437</v>
      </c>
      <c r="C6635" t="s">
        <v>438</v>
      </c>
    </row>
    <row r="6636" spans="2:3" x14ac:dyDescent="0.35">
      <c r="B6636" t="s">
        <v>234</v>
      </c>
      <c r="C6636" t="s">
        <v>235</v>
      </c>
    </row>
    <row r="6637" spans="2:3" x14ac:dyDescent="0.35">
      <c r="B6637" t="s">
        <v>473</v>
      </c>
      <c r="C6637" t="s">
        <v>474</v>
      </c>
    </row>
    <row r="6638" spans="2:3" x14ac:dyDescent="0.35">
      <c r="B6638" t="s">
        <v>277</v>
      </c>
      <c r="C6638" t="s">
        <v>278</v>
      </c>
    </row>
    <row r="6639" spans="2:3" x14ac:dyDescent="0.35">
      <c r="B6639" t="s">
        <v>182</v>
      </c>
      <c r="C6639" t="s">
        <v>183</v>
      </c>
    </row>
    <row r="6640" spans="2:3" x14ac:dyDescent="0.35">
      <c r="B6640" t="s">
        <v>222</v>
      </c>
      <c r="C6640" t="s">
        <v>223</v>
      </c>
    </row>
    <row r="6641" spans="2:3" x14ac:dyDescent="0.35">
      <c r="B6641" t="s">
        <v>473</v>
      </c>
      <c r="C6641" t="s">
        <v>474</v>
      </c>
    </row>
    <row r="6642" spans="2:3" x14ac:dyDescent="0.35">
      <c r="B6642" t="s">
        <v>184</v>
      </c>
      <c r="C6642" t="s">
        <v>185</v>
      </c>
    </row>
    <row r="6643" spans="2:3" x14ac:dyDescent="0.35">
      <c r="B6643" t="s">
        <v>163</v>
      </c>
      <c r="C6643" t="s">
        <v>164</v>
      </c>
    </row>
    <row r="6644" spans="2:3" x14ac:dyDescent="0.35">
      <c r="B6644" t="s">
        <v>473</v>
      </c>
      <c r="C6644" t="s">
        <v>474</v>
      </c>
    </row>
    <row r="6645" spans="2:3" x14ac:dyDescent="0.35">
      <c r="B6645" t="s">
        <v>184</v>
      </c>
      <c r="C6645" t="s">
        <v>185</v>
      </c>
    </row>
    <row r="6646" spans="2:3" x14ac:dyDescent="0.35">
      <c r="B6646" t="s">
        <v>234</v>
      </c>
      <c r="C6646" t="s">
        <v>235</v>
      </c>
    </row>
    <row r="6647" spans="2:3" x14ac:dyDescent="0.35">
      <c r="B6647" t="s">
        <v>163</v>
      </c>
      <c r="C6647" t="s">
        <v>164</v>
      </c>
    </row>
    <row r="6648" spans="2:3" x14ac:dyDescent="0.35">
      <c r="B6648" t="s">
        <v>184</v>
      </c>
      <c r="C6648" t="s">
        <v>185</v>
      </c>
    </row>
    <row r="6649" spans="2:3" x14ac:dyDescent="0.35">
      <c r="B6649" t="s">
        <v>234</v>
      </c>
      <c r="C6649" t="s">
        <v>235</v>
      </c>
    </row>
    <row r="6650" spans="2:3" x14ac:dyDescent="0.35">
      <c r="B6650" t="s">
        <v>473</v>
      </c>
      <c r="C6650" t="s">
        <v>474</v>
      </c>
    </row>
    <row r="6651" spans="2:3" x14ac:dyDescent="0.35">
      <c r="B6651" t="s">
        <v>182</v>
      </c>
      <c r="C6651" t="s">
        <v>183</v>
      </c>
    </row>
    <row r="6652" spans="2:3" x14ac:dyDescent="0.35">
      <c r="B6652" t="s">
        <v>163</v>
      </c>
      <c r="C6652" t="s">
        <v>164</v>
      </c>
    </row>
    <row r="6653" spans="2:3" x14ac:dyDescent="0.35">
      <c r="B6653" t="s">
        <v>182</v>
      </c>
      <c r="C6653" t="s">
        <v>183</v>
      </c>
    </row>
    <row r="6654" spans="2:3" x14ac:dyDescent="0.35">
      <c r="B6654" t="s">
        <v>222</v>
      </c>
      <c r="C6654" t="s">
        <v>223</v>
      </c>
    </row>
    <row r="6655" spans="2:3" x14ac:dyDescent="0.35">
      <c r="B6655" t="s">
        <v>473</v>
      </c>
      <c r="C6655" t="s">
        <v>474</v>
      </c>
    </row>
    <row r="6656" spans="2:3" x14ac:dyDescent="0.35">
      <c r="B6656" t="s">
        <v>234</v>
      </c>
      <c r="C6656" t="s">
        <v>235</v>
      </c>
    </row>
    <row r="6657" spans="2:3" x14ac:dyDescent="0.35">
      <c r="B6657" t="s">
        <v>473</v>
      </c>
      <c r="C6657" t="s">
        <v>474</v>
      </c>
    </row>
    <row r="6658" spans="2:3" x14ac:dyDescent="0.35">
      <c r="B6658" t="s">
        <v>234</v>
      </c>
      <c r="C6658" t="s">
        <v>235</v>
      </c>
    </row>
    <row r="6659" spans="2:3" x14ac:dyDescent="0.35">
      <c r="B6659" t="s">
        <v>473</v>
      </c>
      <c r="C6659" t="s">
        <v>474</v>
      </c>
    </row>
    <row r="6660" spans="2:3" x14ac:dyDescent="0.35">
      <c r="B6660" t="s">
        <v>473</v>
      </c>
      <c r="C6660" t="s">
        <v>474</v>
      </c>
    </row>
    <row r="6661" spans="2:3" x14ac:dyDescent="0.35">
      <c r="B6661" t="s">
        <v>234</v>
      </c>
      <c r="C6661" t="s">
        <v>235</v>
      </c>
    </row>
    <row r="6662" spans="2:3" x14ac:dyDescent="0.35">
      <c r="B6662" t="s">
        <v>473</v>
      </c>
      <c r="C6662" t="s">
        <v>474</v>
      </c>
    </row>
    <row r="6663" spans="2:3" x14ac:dyDescent="0.35">
      <c r="B6663" t="s">
        <v>234</v>
      </c>
      <c r="C6663" t="s">
        <v>235</v>
      </c>
    </row>
    <row r="6664" spans="2:3" x14ac:dyDescent="0.35">
      <c r="B6664" t="s">
        <v>471</v>
      </c>
      <c r="C6664" t="s">
        <v>472</v>
      </c>
    </row>
    <row r="6665" spans="2:3" x14ac:dyDescent="0.35">
      <c r="B6665" t="s">
        <v>277</v>
      </c>
      <c r="C6665" t="s">
        <v>278</v>
      </c>
    </row>
    <row r="6666" spans="2:3" x14ac:dyDescent="0.35">
      <c r="B6666" t="s">
        <v>471</v>
      </c>
      <c r="C6666" t="s">
        <v>472</v>
      </c>
    </row>
    <row r="6667" spans="2:3" x14ac:dyDescent="0.35">
      <c r="B6667" t="s">
        <v>277</v>
      </c>
      <c r="C6667" t="s">
        <v>278</v>
      </c>
    </row>
    <row r="6668" spans="2:3" x14ac:dyDescent="0.35">
      <c r="B6668" t="s">
        <v>222</v>
      </c>
      <c r="C6668" t="s">
        <v>223</v>
      </c>
    </row>
    <row r="6669" spans="2:3" x14ac:dyDescent="0.35">
      <c r="B6669" t="s">
        <v>182</v>
      </c>
      <c r="C6669" t="s">
        <v>183</v>
      </c>
    </row>
    <row r="6670" spans="2:3" x14ac:dyDescent="0.35">
      <c r="B6670" t="s">
        <v>163</v>
      </c>
      <c r="C6670" t="s">
        <v>164</v>
      </c>
    </row>
    <row r="6671" spans="2:3" x14ac:dyDescent="0.35">
      <c r="B6671" t="s">
        <v>1193</v>
      </c>
      <c r="C6671" t="s">
        <v>1194</v>
      </c>
    </row>
    <row r="6672" spans="2:3" x14ac:dyDescent="0.35">
      <c r="B6672" t="s">
        <v>986</v>
      </c>
      <c r="C6672" t="s">
        <v>987</v>
      </c>
    </row>
    <row r="6673" spans="2:3" x14ac:dyDescent="0.35">
      <c r="B6673" t="s">
        <v>234</v>
      </c>
      <c r="C6673" t="s">
        <v>235</v>
      </c>
    </row>
    <row r="6674" spans="2:3" x14ac:dyDescent="0.35">
      <c r="B6674" t="s">
        <v>471</v>
      </c>
      <c r="C6674" t="s">
        <v>472</v>
      </c>
    </row>
    <row r="6675" spans="2:3" x14ac:dyDescent="0.35">
      <c r="B6675" t="s">
        <v>182</v>
      </c>
      <c r="C6675" t="s">
        <v>183</v>
      </c>
    </row>
    <row r="6676" spans="2:3" x14ac:dyDescent="0.35">
      <c r="B6676" t="s">
        <v>473</v>
      </c>
      <c r="C6676" t="s">
        <v>474</v>
      </c>
    </row>
    <row r="6677" spans="2:3" x14ac:dyDescent="0.35">
      <c r="B6677" t="s">
        <v>182</v>
      </c>
      <c r="C6677" t="s">
        <v>183</v>
      </c>
    </row>
    <row r="6678" spans="2:3" x14ac:dyDescent="0.35">
      <c r="B6678" t="s">
        <v>471</v>
      </c>
      <c r="C6678" t="s">
        <v>472</v>
      </c>
    </row>
    <row r="6679" spans="2:3" x14ac:dyDescent="0.35">
      <c r="B6679" t="s">
        <v>234</v>
      </c>
      <c r="C6679" t="s">
        <v>235</v>
      </c>
    </row>
    <row r="6680" spans="2:3" x14ac:dyDescent="0.35">
      <c r="B6680" t="s">
        <v>222</v>
      </c>
      <c r="C6680" t="s">
        <v>223</v>
      </c>
    </row>
    <row r="6681" spans="2:3" x14ac:dyDescent="0.35">
      <c r="B6681" t="s">
        <v>471</v>
      </c>
      <c r="C6681" t="s">
        <v>472</v>
      </c>
    </row>
    <row r="6682" spans="2:3" x14ac:dyDescent="0.35">
      <c r="B6682" t="s">
        <v>1193</v>
      </c>
      <c r="C6682" t="s">
        <v>1194</v>
      </c>
    </row>
    <row r="6683" spans="2:3" x14ac:dyDescent="0.35">
      <c r="B6683" t="s">
        <v>182</v>
      </c>
      <c r="C6683" t="s">
        <v>183</v>
      </c>
    </row>
    <row r="6684" spans="2:3" x14ac:dyDescent="0.35">
      <c r="B6684" t="s">
        <v>473</v>
      </c>
      <c r="C6684" t="s">
        <v>474</v>
      </c>
    </row>
    <row r="6685" spans="2:3" x14ac:dyDescent="0.35">
      <c r="B6685" t="s">
        <v>222</v>
      </c>
      <c r="C6685" t="s">
        <v>223</v>
      </c>
    </row>
    <row r="6686" spans="2:3" x14ac:dyDescent="0.35">
      <c r="B6686" t="s">
        <v>234</v>
      </c>
      <c r="C6686" t="s">
        <v>235</v>
      </c>
    </row>
    <row r="6687" spans="2:3" x14ac:dyDescent="0.35">
      <c r="B6687" t="s">
        <v>1193</v>
      </c>
      <c r="C6687" t="s">
        <v>1194</v>
      </c>
    </row>
    <row r="6688" spans="2:3" x14ac:dyDescent="0.35">
      <c r="B6688" t="s">
        <v>163</v>
      </c>
      <c r="C6688" t="s">
        <v>164</v>
      </c>
    </row>
    <row r="6689" spans="2:3" x14ac:dyDescent="0.35">
      <c r="B6689" t="s">
        <v>1193</v>
      </c>
      <c r="C6689" t="s">
        <v>1194</v>
      </c>
    </row>
    <row r="6690" spans="2:3" x14ac:dyDescent="0.35">
      <c r="B6690" t="s">
        <v>163</v>
      </c>
      <c r="C6690" t="s">
        <v>164</v>
      </c>
    </row>
    <row r="6691" spans="2:3" x14ac:dyDescent="0.35">
      <c r="B6691" t="s">
        <v>471</v>
      </c>
      <c r="C6691" t="s">
        <v>472</v>
      </c>
    </row>
    <row r="6692" spans="2:3" x14ac:dyDescent="0.35">
      <c r="B6692" t="s">
        <v>163</v>
      </c>
      <c r="C6692" t="s">
        <v>164</v>
      </c>
    </row>
    <row r="6693" spans="2:3" x14ac:dyDescent="0.35">
      <c r="B6693" t="s">
        <v>234</v>
      </c>
      <c r="C6693" t="s">
        <v>235</v>
      </c>
    </row>
    <row r="6694" spans="2:3" x14ac:dyDescent="0.35">
      <c r="B6694" t="s">
        <v>222</v>
      </c>
      <c r="C6694" t="s">
        <v>223</v>
      </c>
    </row>
    <row r="6695" spans="2:3" x14ac:dyDescent="0.35">
      <c r="B6695" t="s">
        <v>234</v>
      </c>
      <c r="C6695" t="s">
        <v>235</v>
      </c>
    </row>
    <row r="6696" spans="2:3" x14ac:dyDescent="0.35">
      <c r="B6696" t="s">
        <v>277</v>
      </c>
      <c r="C6696" t="s">
        <v>278</v>
      </c>
    </row>
    <row r="6697" spans="2:3" x14ac:dyDescent="0.35">
      <c r="B6697" t="s">
        <v>184</v>
      </c>
      <c r="C6697" t="s">
        <v>185</v>
      </c>
    </row>
    <row r="6698" spans="2:3" x14ac:dyDescent="0.35">
      <c r="B6698" t="s">
        <v>471</v>
      </c>
      <c r="C6698" t="s">
        <v>472</v>
      </c>
    </row>
    <row r="6699" spans="2:3" x14ac:dyDescent="0.35">
      <c r="B6699" t="s">
        <v>471</v>
      </c>
      <c r="C6699" t="s">
        <v>472</v>
      </c>
    </row>
    <row r="6700" spans="2:3" x14ac:dyDescent="0.35">
      <c r="B6700" t="s">
        <v>437</v>
      </c>
      <c r="C6700" t="s">
        <v>438</v>
      </c>
    </row>
    <row r="6701" spans="2:3" x14ac:dyDescent="0.35">
      <c r="B6701" t="s">
        <v>163</v>
      </c>
      <c r="C6701" t="s">
        <v>164</v>
      </c>
    </row>
    <row r="6702" spans="2:3" x14ac:dyDescent="0.35">
      <c r="B6702" t="s">
        <v>277</v>
      </c>
      <c r="C6702" t="s">
        <v>278</v>
      </c>
    </row>
    <row r="6703" spans="2:3" x14ac:dyDescent="0.35">
      <c r="B6703" t="s">
        <v>222</v>
      </c>
      <c r="C6703" t="s">
        <v>223</v>
      </c>
    </row>
    <row r="6704" spans="2:3" x14ac:dyDescent="0.35">
      <c r="B6704" t="s">
        <v>1195</v>
      </c>
      <c r="C6704" t="s">
        <v>1195</v>
      </c>
    </row>
    <row r="6705" spans="2:3" x14ac:dyDescent="0.35">
      <c r="B6705" t="s">
        <v>471</v>
      </c>
      <c r="C6705" t="s">
        <v>472</v>
      </c>
    </row>
    <row r="6706" spans="2:3" x14ac:dyDescent="0.35">
      <c r="B6706" t="s">
        <v>182</v>
      </c>
      <c r="C6706" t="s">
        <v>183</v>
      </c>
    </row>
    <row r="6707" spans="2:3" x14ac:dyDescent="0.35">
      <c r="B6707" t="s">
        <v>222</v>
      </c>
      <c r="C6707" t="s">
        <v>223</v>
      </c>
    </row>
    <row r="6708" spans="2:3" x14ac:dyDescent="0.35">
      <c r="B6708" t="s">
        <v>234</v>
      </c>
      <c r="C6708" t="s">
        <v>235</v>
      </c>
    </row>
    <row r="6709" spans="2:3" x14ac:dyDescent="0.35">
      <c r="B6709" t="s">
        <v>471</v>
      </c>
      <c r="C6709" t="s">
        <v>472</v>
      </c>
    </row>
    <row r="6710" spans="2:3" x14ac:dyDescent="0.35">
      <c r="B6710" t="s">
        <v>163</v>
      </c>
      <c r="C6710" t="s">
        <v>164</v>
      </c>
    </row>
    <row r="6711" spans="2:3" x14ac:dyDescent="0.35">
      <c r="B6711" t="s">
        <v>471</v>
      </c>
      <c r="C6711" t="s">
        <v>472</v>
      </c>
    </row>
    <row r="6712" spans="2:3" x14ac:dyDescent="0.35">
      <c r="B6712" t="s">
        <v>222</v>
      </c>
      <c r="C6712" t="s">
        <v>223</v>
      </c>
    </row>
    <row r="6713" spans="2:3" x14ac:dyDescent="0.35">
      <c r="B6713" t="s">
        <v>234</v>
      </c>
      <c r="C6713" t="s">
        <v>235</v>
      </c>
    </row>
    <row r="6714" spans="2:3" x14ac:dyDescent="0.35">
      <c r="B6714" t="s">
        <v>471</v>
      </c>
      <c r="C6714" t="s">
        <v>472</v>
      </c>
    </row>
    <row r="6715" spans="2:3" x14ac:dyDescent="0.35">
      <c r="B6715" t="s">
        <v>471</v>
      </c>
      <c r="C6715" t="s">
        <v>472</v>
      </c>
    </row>
    <row r="6716" spans="2:3" x14ac:dyDescent="0.35">
      <c r="B6716" t="s">
        <v>1195</v>
      </c>
      <c r="C6716" t="s">
        <v>1195</v>
      </c>
    </row>
    <row r="6717" spans="2:3" x14ac:dyDescent="0.35">
      <c r="B6717" t="s">
        <v>471</v>
      </c>
      <c r="C6717" t="s">
        <v>472</v>
      </c>
    </row>
    <row r="6718" spans="2:3" x14ac:dyDescent="0.35">
      <c r="B6718" t="s">
        <v>473</v>
      </c>
      <c r="C6718" t="s">
        <v>474</v>
      </c>
    </row>
    <row r="6719" spans="2:3" x14ac:dyDescent="0.35">
      <c r="B6719" t="s">
        <v>277</v>
      </c>
      <c r="C6719" t="s">
        <v>278</v>
      </c>
    </row>
    <row r="6720" spans="2:3" x14ac:dyDescent="0.35">
      <c r="B6720" t="s">
        <v>473</v>
      </c>
      <c r="C6720" t="s">
        <v>474</v>
      </c>
    </row>
    <row r="6721" spans="2:3" x14ac:dyDescent="0.35">
      <c r="B6721" t="s">
        <v>182</v>
      </c>
      <c r="C6721" t="s">
        <v>183</v>
      </c>
    </row>
    <row r="6722" spans="2:3" x14ac:dyDescent="0.35">
      <c r="B6722" t="s">
        <v>219</v>
      </c>
      <c r="C6722" t="s">
        <v>220</v>
      </c>
    </row>
    <row r="6723" spans="2:3" x14ac:dyDescent="0.35">
      <c r="B6723" t="s">
        <v>182</v>
      </c>
      <c r="C6723" t="s">
        <v>183</v>
      </c>
    </row>
    <row r="6724" spans="2:3" x14ac:dyDescent="0.35">
      <c r="B6724" t="s">
        <v>222</v>
      </c>
      <c r="C6724" t="s">
        <v>223</v>
      </c>
    </row>
    <row r="6725" spans="2:3" x14ac:dyDescent="0.35">
      <c r="B6725" t="s">
        <v>471</v>
      </c>
      <c r="C6725" t="s">
        <v>472</v>
      </c>
    </row>
    <row r="6726" spans="2:3" x14ac:dyDescent="0.35">
      <c r="B6726" t="s">
        <v>234</v>
      </c>
      <c r="C6726" t="s">
        <v>235</v>
      </c>
    </row>
    <row r="6727" spans="2:3" x14ac:dyDescent="0.35">
      <c r="B6727" t="s">
        <v>277</v>
      </c>
      <c r="C6727" t="s">
        <v>278</v>
      </c>
    </row>
    <row r="6728" spans="2:3" x14ac:dyDescent="0.35">
      <c r="B6728" t="s">
        <v>182</v>
      </c>
      <c r="C6728" t="s">
        <v>183</v>
      </c>
    </row>
    <row r="6729" spans="2:3" x14ac:dyDescent="0.35">
      <c r="B6729" t="s">
        <v>222</v>
      </c>
      <c r="C6729" t="s">
        <v>223</v>
      </c>
    </row>
    <row r="6730" spans="2:3" x14ac:dyDescent="0.35">
      <c r="B6730" t="s">
        <v>163</v>
      </c>
      <c r="C6730" t="s">
        <v>164</v>
      </c>
    </row>
    <row r="6731" spans="2:3" x14ac:dyDescent="0.35">
      <c r="B6731" t="s">
        <v>277</v>
      </c>
      <c r="C6731" t="s">
        <v>278</v>
      </c>
    </row>
    <row r="6732" spans="2:3" x14ac:dyDescent="0.35">
      <c r="B6732" t="s">
        <v>277</v>
      </c>
      <c r="C6732" t="s">
        <v>278</v>
      </c>
    </row>
    <row r="6733" spans="2:3" x14ac:dyDescent="0.35">
      <c r="B6733" t="s">
        <v>184</v>
      </c>
      <c r="C6733" t="s">
        <v>185</v>
      </c>
    </row>
    <row r="6734" spans="2:3" x14ac:dyDescent="0.35">
      <c r="B6734" t="s">
        <v>1193</v>
      </c>
      <c r="C6734" t="s">
        <v>1194</v>
      </c>
    </row>
    <row r="6735" spans="2:3" x14ac:dyDescent="0.35">
      <c r="B6735" t="s">
        <v>222</v>
      </c>
      <c r="C6735" t="s">
        <v>223</v>
      </c>
    </row>
    <row r="6736" spans="2:3" x14ac:dyDescent="0.35">
      <c r="B6736" t="s">
        <v>222</v>
      </c>
      <c r="C6736" t="s">
        <v>223</v>
      </c>
    </row>
    <row r="6737" spans="2:3" x14ac:dyDescent="0.35">
      <c r="B6737" t="s">
        <v>219</v>
      </c>
      <c r="C6737" t="s">
        <v>220</v>
      </c>
    </row>
    <row r="6738" spans="2:3" x14ac:dyDescent="0.35">
      <c r="B6738" t="s">
        <v>222</v>
      </c>
      <c r="C6738" t="s">
        <v>223</v>
      </c>
    </row>
    <row r="6739" spans="2:3" x14ac:dyDescent="0.35">
      <c r="B6739" t="s">
        <v>236</v>
      </c>
      <c r="C6739" t="s">
        <v>237</v>
      </c>
    </row>
    <row r="6740" spans="2:3" x14ac:dyDescent="0.35">
      <c r="B6740" t="s">
        <v>234</v>
      </c>
      <c r="C6740" t="s">
        <v>235</v>
      </c>
    </row>
    <row r="6741" spans="2:3" x14ac:dyDescent="0.35">
      <c r="B6741" t="s">
        <v>184</v>
      </c>
      <c r="C6741" t="s">
        <v>185</v>
      </c>
    </row>
    <row r="6742" spans="2:3" x14ac:dyDescent="0.35">
      <c r="B6742" t="s">
        <v>182</v>
      </c>
      <c r="C6742" t="s">
        <v>183</v>
      </c>
    </row>
    <row r="6743" spans="2:3" x14ac:dyDescent="0.35">
      <c r="B6743" t="s">
        <v>163</v>
      </c>
      <c r="C6743" t="s">
        <v>164</v>
      </c>
    </row>
    <row r="6744" spans="2:3" x14ac:dyDescent="0.35">
      <c r="B6744" t="s">
        <v>222</v>
      </c>
      <c r="C6744" t="s">
        <v>223</v>
      </c>
    </row>
    <row r="6745" spans="2:3" x14ac:dyDescent="0.35">
      <c r="B6745" t="s">
        <v>277</v>
      </c>
      <c r="C6745" t="s">
        <v>278</v>
      </c>
    </row>
    <row r="6746" spans="2:3" x14ac:dyDescent="0.35">
      <c r="B6746" t="s">
        <v>222</v>
      </c>
      <c r="C6746" t="s">
        <v>223</v>
      </c>
    </row>
    <row r="6747" spans="2:3" x14ac:dyDescent="0.35">
      <c r="B6747" t="s">
        <v>703</v>
      </c>
      <c r="C6747" t="s">
        <v>704</v>
      </c>
    </row>
    <row r="6748" spans="2:3" x14ac:dyDescent="0.35">
      <c r="B6748" t="s">
        <v>234</v>
      </c>
      <c r="C6748" t="s">
        <v>235</v>
      </c>
    </row>
    <row r="6749" spans="2:3" x14ac:dyDescent="0.35">
      <c r="B6749" t="s">
        <v>234</v>
      </c>
      <c r="C6749" t="s">
        <v>235</v>
      </c>
    </row>
    <row r="6750" spans="2:3" x14ac:dyDescent="0.35">
      <c r="B6750" t="s">
        <v>473</v>
      </c>
      <c r="C6750" t="s">
        <v>474</v>
      </c>
    </row>
    <row r="6751" spans="2:3" x14ac:dyDescent="0.35">
      <c r="B6751" t="s">
        <v>234</v>
      </c>
      <c r="C6751" t="s">
        <v>235</v>
      </c>
    </row>
    <row r="6752" spans="2:3" x14ac:dyDescent="0.35">
      <c r="B6752" t="s">
        <v>184</v>
      </c>
      <c r="C6752" t="s">
        <v>185</v>
      </c>
    </row>
    <row r="6753" spans="2:3" x14ac:dyDescent="0.35">
      <c r="B6753" t="s">
        <v>581</v>
      </c>
      <c r="C6753" t="s">
        <v>582</v>
      </c>
    </row>
    <row r="6754" spans="2:3" x14ac:dyDescent="0.35">
      <c r="B6754" t="s">
        <v>1195</v>
      </c>
      <c r="C6754" t="s">
        <v>1195</v>
      </c>
    </row>
    <row r="6755" spans="2:3" x14ac:dyDescent="0.35">
      <c r="B6755" t="s">
        <v>473</v>
      </c>
      <c r="C6755" t="s">
        <v>474</v>
      </c>
    </row>
    <row r="6756" spans="2:3" x14ac:dyDescent="0.35">
      <c r="B6756" t="s">
        <v>222</v>
      </c>
      <c r="C6756" t="s">
        <v>223</v>
      </c>
    </row>
    <row r="6757" spans="2:3" x14ac:dyDescent="0.35">
      <c r="B6757" t="s">
        <v>234</v>
      </c>
      <c r="C6757" t="s">
        <v>235</v>
      </c>
    </row>
    <row r="6758" spans="2:3" x14ac:dyDescent="0.35">
      <c r="B6758" t="s">
        <v>163</v>
      </c>
      <c r="C6758" t="s">
        <v>164</v>
      </c>
    </row>
    <row r="6759" spans="2:3" x14ac:dyDescent="0.35">
      <c r="B6759" t="s">
        <v>234</v>
      </c>
      <c r="C6759" t="s">
        <v>235</v>
      </c>
    </row>
    <row r="6760" spans="2:3" x14ac:dyDescent="0.35">
      <c r="B6760" t="s">
        <v>184</v>
      </c>
      <c r="C6760" t="s">
        <v>185</v>
      </c>
    </row>
    <row r="6761" spans="2:3" x14ac:dyDescent="0.35">
      <c r="B6761" t="s">
        <v>473</v>
      </c>
      <c r="C6761" t="s">
        <v>474</v>
      </c>
    </row>
    <row r="6762" spans="2:3" x14ac:dyDescent="0.35">
      <c r="B6762" t="s">
        <v>473</v>
      </c>
      <c r="C6762" t="s">
        <v>474</v>
      </c>
    </row>
    <row r="6763" spans="2:3" x14ac:dyDescent="0.35">
      <c r="B6763" t="s">
        <v>222</v>
      </c>
      <c r="C6763" t="s">
        <v>223</v>
      </c>
    </row>
    <row r="6764" spans="2:3" x14ac:dyDescent="0.35">
      <c r="B6764" t="s">
        <v>471</v>
      </c>
      <c r="C6764" t="s">
        <v>472</v>
      </c>
    </row>
    <row r="6765" spans="2:3" x14ac:dyDescent="0.35">
      <c r="B6765" t="s">
        <v>437</v>
      </c>
      <c r="C6765" t="s">
        <v>438</v>
      </c>
    </row>
    <row r="6766" spans="2:3" x14ac:dyDescent="0.35">
      <c r="B6766" t="s">
        <v>234</v>
      </c>
      <c r="C6766" t="s">
        <v>235</v>
      </c>
    </row>
    <row r="6767" spans="2:3" x14ac:dyDescent="0.35">
      <c r="B6767" t="s">
        <v>234</v>
      </c>
      <c r="C6767" t="s">
        <v>235</v>
      </c>
    </row>
    <row r="6768" spans="2:3" x14ac:dyDescent="0.35">
      <c r="B6768" t="s">
        <v>234</v>
      </c>
      <c r="C6768" t="s">
        <v>235</v>
      </c>
    </row>
    <row r="6769" spans="2:3" x14ac:dyDescent="0.35">
      <c r="B6769" t="s">
        <v>184</v>
      </c>
      <c r="C6769" t="s">
        <v>185</v>
      </c>
    </row>
    <row r="6770" spans="2:3" x14ac:dyDescent="0.35">
      <c r="B6770" t="s">
        <v>234</v>
      </c>
      <c r="C6770" t="s">
        <v>235</v>
      </c>
    </row>
    <row r="6771" spans="2:3" x14ac:dyDescent="0.35">
      <c r="B6771" t="s">
        <v>988</v>
      </c>
      <c r="C6771" t="s">
        <v>989</v>
      </c>
    </row>
    <row r="6772" spans="2:3" x14ac:dyDescent="0.35">
      <c r="B6772" t="s">
        <v>471</v>
      </c>
      <c r="C6772" t="s">
        <v>472</v>
      </c>
    </row>
    <row r="6773" spans="2:3" x14ac:dyDescent="0.35">
      <c r="B6773" t="s">
        <v>1162</v>
      </c>
      <c r="C6773" t="s">
        <v>1163</v>
      </c>
    </row>
    <row r="6774" spans="2:3" x14ac:dyDescent="0.35">
      <c r="B6774" t="s">
        <v>1162</v>
      </c>
      <c r="C6774" t="s">
        <v>1163</v>
      </c>
    </row>
    <row r="6775" spans="2:3" x14ac:dyDescent="0.35">
      <c r="B6775" t="s">
        <v>1162</v>
      </c>
      <c r="C6775" t="s">
        <v>1163</v>
      </c>
    </row>
    <row r="6776" spans="2:3" x14ac:dyDescent="0.35">
      <c r="B6776" t="s">
        <v>1162</v>
      </c>
      <c r="C6776" t="s">
        <v>1163</v>
      </c>
    </row>
    <row r="6777" spans="2:3" x14ac:dyDescent="0.35">
      <c r="B6777" t="s">
        <v>1162</v>
      </c>
      <c r="C6777" t="s">
        <v>1163</v>
      </c>
    </row>
    <row r="6778" spans="2:3" x14ac:dyDescent="0.35">
      <c r="B6778" t="s">
        <v>1162</v>
      </c>
      <c r="C6778" t="s">
        <v>1163</v>
      </c>
    </row>
    <row r="6779" spans="2:3" x14ac:dyDescent="0.35">
      <c r="B6779" t="s">
        <v>1162</v>
      </c>
      <c r="C6779" t="s">
        <v>1163</v>
      </c>
    </row>
    <row r="6780" spans="2:3" x14ac:dyDescent="0.35">
      <c r="B6780" t="s">
        <v>1162</v>
      </c>
      <c r="C6780" t="s">
        <v>1163</v>
      </c>
    </row>
    <row r="6781" spans="2:3" x14ac:dyDescent="0.35">
      <c r="B6781" t="s">
        <v>1168</v>
      </c>
      <c r="C6781" t="s">
        <v>1169</v>
      </c>
    </row>
    <row r="6782" spans="2:3" x14ac:dyDescent="0.35">
      <c r="B6782" t="s">
        <v>1162</v>
      </c>
      <c r="C6782" t="s">
        <v>1163</v>
      </c>
    </row>
    <row r="6783" spans="2:3" x14ac:dyDescent="0.35">
      <c r="B6783" t="s">
        <v>1162</v>
      </c>
      <c r="C6783" t="s">
        <v>1163</v>
      </c>
    </row>
    <row r="6784" spans="2:3" x14ac:dyDescent="0.35">
      <c r="B6784" t="s">
        <v>1168</v>
      </c>
      <c r="C6784" t="s">
        <v>1169</v>
      </c>
    </row>
    <row r="6785" spans="2:3" x14ac:dyDescent="0.35">
      <c r="B6785" t="s">
        <v>1168</v>
      </c>
      <c r="C6785" t="s">
        <v>1169</v>
      </c>
    </row>
    <row r="6786" spans="2:3" x14ac:dyDescent="0.35">
      <c r="B6786" t="s">
        <v>1162</v>
      </c>
      <c r="C6786" t="s">
        <v>1163</v>
      </c>
    </row>
    <row r="6787" spans="2:3" x14ac:dyDescent="0.35">
      <c r="B6787" t="s">
        <v>1162</v>
      </c>
      <c r="C6787" t="s">
        <v>1163</v>
      </c>
    </row>
    <row r="6788" spans="2:3" x14ac:dyDescent="0.35">
      <c r="B6788" t="s">
        <v>1162</v>
      </c>
      <c r="C6788" t="s">
        <v>1163</v>
      </c>
    </row>
    <row r="6789" spans="2:3" x14ac:dyDescent="0.35">
      <c r="B6789" t="s">
        <v>1162</v>
      </c>
      <c r="C6789" t="s">
        <v>1163</v>
      </c>
    </row>
    <row r="6790" spans="2:3" x14ac:dyDescent="0.35">
      <c r="B6790" t="s">
        <v>1162</v>
      </c>
      <c r="C6790" t="s">
        <v>1163</v>
      </c>
    </row>
    <row r="6791" spans="2:3" x14ac:dyDescent="0.35">
      <c r="B6791" t="s">
        <v>1162</v>
      </c>
      <c r="C6791" t="s">
        <v>1163</v>
      </c>
    </row>
    <row r="6792" spans="2:3" x14ac:dyDescent="0.35">
      <c r="B6792" t="s">
        <v>1162</v>
      </c>
      <c r="C6792" t="s">
        <v>1163</v>
      </c>
    </row>
    <row r="6793" spans="2:3" x14ac:dyDescent="0.35">
      <c r="B6793" t="s">
        <v>1162</v>
      </c>
      <c r="C6793" t="s">
        <v>1163</v>
      </c>
    </row>
    <row r="6794" spans="2:3" x14ac:dyDescent="0.35">
      <c r="B6794" t="s">
        <v>1162</v>
      </c>
      <c r="C6794" t="s">
        <v>1163</v>
      </c>
    </row>
    <row r="6795" spans="2:3" x14ac:dyDescent="0.35">
      <c r="B6795" t="s">
        <v>1162</v>
      </c>
      <c r="C6795" t="s">
        <v>1163</v>
      </c>
    </row>
    <row r="6796" spans="2:3" x14ac:dyDescent="0.35">
      <c r="B6796" t="s">
        <v>1168</v>
      </c>
      <c r="C6796" t="s">
        <v>1169</v>
      </c>
    </row>
    <row r="6797" spans="2:3" x14ac:dyDescent="0.35">
      <c r="B6797" t="s">
        <v>1168</v>
      </c>
      <c r="C6797" t="s">
        <v>1169</v>
      </c>
    </row>
    <row r="6798" spans="2:3" x14ac:dyDescent="0.35">
      <c r="B6798" t="s">
        <v>1168</v>
      </c>
      <c r="C6798" t="s">
        <v>1169</v>
      </c>
    </row>
    <row r="6799" spans="2:3" x14ac:dyDescent="0.35">
      <c r="B6799" t="s">
        <v>1162</v>
      </c>
      <c r="C6799" t="s">
        <v>1163</v>
      </c>
    </row>
    <row r="6800" spans="2:3" x14ac:dyDescent="0.35">
      <c r="B6800" t="s">
        <v>1162</v>
      </c>
      <c r="C6800" t="s">
        <v>1163</v>
      </c>
    </row>
    <row r="6801" spans="2:3" x14ac:dyDescent="0.35">
      <c r="B6801" t="s">
        <v>1168</v>
      </c>
      <c r="C6801" t="s">
        <v>1169</v>
      </c>
    </row>
    <row r="6802" spans="2:3" x14ac:dyDescent="0.35">
      <c r="B6802" t="s">
        <v>1162</v>
      </c>
      <c r="C6802" t="s">
        <v>1163</v>
      </c>
    </row>
    <row r="6803" spans="2:3" x14ac:dyDescent="0.35">
      <c r="B6803" t="s">
        <v>1162</v>
      </c>
      <c r="C6803" t="s">
        <v>1163</v>
      </c>
    </row>
    <row r="6804" spans="2:3" x14ac:dyDescent="0.35">
      <c r="B6804" t="s">
        <v>1133</v>
      </c>
      <c r="C6804" t="s">
        <v>1134</v>
      </c>
    </row>
    <row r="6805" spans="2:3" x14ac:dyDescent="0.35">
      <c r="B6805" t="s">
        <v>1168</v>
      </c>
      <c r="C6805" t="s">
        <v>1169</v>
      </c>
    </row>
    <row r="6806" spans="2:3" x14ac:dyDescent="0.35">
      <c r="B6806" t="s">
        <v>1168</v>
      </c>
      <c r="C6806" t="s">
        <v>1169</v>
      </c>
    </row>
    <row r="6807" spans="2:3" x14ac:dyDescent="0.35">
      <c r="B6807" t="s">
        <v>1143</v>
      </c>
      <c r="C6807" t="s">
        <v>1144</v>
      </c>
    </row>
    <row r="6808" spans="2:3" x14ac:dyDescent="0.35">
      <c r="B6808" t="s">
        <v>1168</v>
      </c>
      <c r="C6808" t="s">
        <v>1169</v>
      </c>
    </row>
    <row r="6809" spans="2:3" x14ac:dyDescent="0.35">
      <c r="B6809" t="s">
        <v>787</v>
      </c>
      <c r="C6809" t="s">
        <v>788</v>
      </c>
    </row>
    <row r="6810" spans="2:3" x14ac:dyDescent="0.35">
      <c r="B6810" t="s">
        <v>1195</v>
      </c>
      <c r="C6810" t="s">
        <v>1195</v>
      </c>
    </row>
    <row r="6811" spans="2:3" x14ac:dyDescent="0.35">
      <c r="B6811" t="s">
        <v>1168</v>
      </c>
      <c r="C6811" t="s">
        <v>1169</v>
      </c>
    </row>
    <row r="6812" spans="2:3" x14ac:dyDescent="0.35">
      <c r="B6812" t="s">
        <v>1059</v>
      </c>
      <c r="C6812" t="s">
        <v>1060</v>
      </c>
    </row>
    <row r="6813" spans="2:3" x14ac:dyDescent="0.35">
      <c r="B6813" t="s">
        <v>1168</v>
      </c>
      <c r="C6813" t="s">
        <v>1169</v>
      </c>
    </row>
    <row r="6814" spans="2:3" x14ac:dyDescent="0.35">
      <c r="B6814" t="s">
        <v>1059</v>
      </c>
      <c r="C6814" t="s">
        <v>1060</v>
      </c>
    </row>
    <row r="6815" spans="2:3" x14ac:dyDescent="0.35">
      <c r="B6815" t="s">
        <v>1168</v>
      </c>
      <c r="C6815" t="s">
        <v>1169</v>
      </c>
    </row>
    <row r="6816" spans="2:3" x14ac:dyDescent="0.35">
      <c r="B6816" t="s">
        <v>1125</v>
      </c>
      <c r="C6816" t="s">
        <v>1126</v>
      </c>
    </row>
    <row r="6817" spans="2:3" x14ac:dyDescent="0.35">
      <c r="B6817" t="s">
        <v>1151</v>
      </c>
      <c r="C6817" t="s">
        <v>1152</v>
      </c>
    </row>
    <row r="6818" spans="2:3" x14ac:dyDescent="0.35">
      <c r="B6818" t="s">
        <v>1168</v>
      </c>
      <c r="C6818" t="s">
        <v>1169</v>
      </c>
    </row>
    <row r="6819" spans="2:3" x14ac:dyDescent="0.35">
      <c r="B6819" t="s">
        <v>1168</v>
      </c>
      <c r="C6819" t="s">
        <v>1169</v>
      </c>
    </row>
    <row r="6820" spans="2:3" x14ac:dyDescent="0.35">
      <c r="B6820" t="s">
        <v>1143</v>
      </c>
      <c r="C6820" t="s">
        <v>1144</v>
      </c>
    </row>
    <row r="6821" spans="2:3" x14ac:dyDescent="0.35">
      <c r="B6821" t="s">
        <v>1125</v>
      </c>
      <c r="C6821" t="s">
        <v>1126</v>
      </c>
    </row>
    <row r="6822" spans="2:3" x14ac:dyDescent="0.35">
      <c r="B6822" t="s">
        <v>1168</v>
      </c>
      <c r="C6822" t="s">
        <v>1169</v>
      </c>
    </row>
    <row r="6823" spans="2:3" x14ac:dyDescent="0.35">
      <c r="B6823" t="s">
        <v>1143</v>
      </c>
      <c r="C6823" t="s">
        <v>1144</v>
      </c>
    </row>
    <row r="6824" spans="2:3" x14ac:dyDescent="0.35">
      <c r="B6824" t="s">
        <v>1168</v>
      </c>
      <c r="C6824" t="s">
        <v>1169</v>
      </c>
    </row>
    <row r="6825" spans="2:3" x14ac:dyDescent="0.35">
      <c r="B6825" t="s">
        <v>1168</v>
      </c>
      <c r="C6825" t="s">
        <v>1169</v>
      </c>
    </row>
    <row r="6826" spans="2:3" x14ac:dyDescent="0.35">
      <c r="B6826" t="s">
        <v>1117</v>
      </c>
      <c r="C6826" t="s">
        <v>1118</v>
      </c>
    </row>
    <row r="6827" spans="2:3" x14ac:dyDescent="0.35">
      <c r="B6827" t="s">
        <v>1195</v>
      </c>
      <c r="C6827" t="s">
        <v>1195</v>
      </c>
    </row>
    <row r="6828" spans="2:3" x14ac:dyDescent="0.35">
      <c r="B6828" t="s">
        <v>1168</v>
      </c>
      <c r="C6828" t="s">
        <v>1169</v>
      </c>
    </row>
    <row r="6829" spans="2:3" x14ac:dyDescent="0.35">
      <c r="B6829" t="s">
        <v>1168</v>
      </c>
      <c r="C6829" t="s">
        <v>1169</v>
      </c>
    </row>
    <row r="6830" spans="2:3" x14ac:dyDescent="0.35">
      <c r="B6830" t="s">
        <v>1133</v>
      </c>
      <c r="C6830" t="s">
        <v>1134</v>
      </c>
    </row>
    <row r="6831" spans="2:3" x14ac:dyDescent="0.35">
      <c r="B6831" t="s">
        <v>1210</v>
      </c>
      <c r="C6831" t="s">
        <v>1211</v>
      </c>
    </row>
    <row r="6832" spans="2:3" x14ac:dyDescent="0.35">
      <c r="B6832" t="s">
        <v>1168</v>
      </c>
      <c r="C6832" t="s">
        <v>1169</v>
      </c>
    </row>
    <row r="6833" spans="2:3" x14ac:dyDescent="0.35">
      <c r="B6833" t="s">
        <v>1195</v>
      </c>
      <c r="C6833" t="s">
        <v>1195</v>
      </c>
    </row>
    <row r="6834" spans="2:3" x14ac:dyDescent="0.35">
      <c r="B6834" t="s">
        <v>1133</v>
      </c>
      <c r="C6834" t="s">
        <v>1134</v>
      </c>
    </row>
    <row r="6835" spans="2:3" x14ac:dyDescent="0.35">
      <c r="B6835" t="s">
        <v>1168</v>
      </c>
      <c r="C6835" t="s">
        <v>1169</v>
      </c>
    </row>
    <row r="6836" spans="2:3" x14ac:dyDescent="0.35">
      <c r="B6836" t="s">
        <v>1168</v>
      </c>
      <c r="C6836" t="s">
        <v>1169</v>
      </c>
    </row>
    <row r="6837" spans="2:3" x14ac:dyDescent="0.35">
      <c r="B6837" t="s">
        <v>1168</v>
      </c>
      <c r="C6837" t="s">
        <v>1169</v>
      </c>
    </row>
    <row r="6838" spans="2:3" x14ac:dyDescent="0.35">
      <c r="B6838" t="s">
        <v>1168</v>
      </c>
      <c r="C6838" t="s">
        <v>1169</v>
      </c>
    </row>
    <row r="6839" spans="2:3" x14ac:dyDescent="0.35">
      <c r="B6839" t="s">
        <v>1168</v>
      </c>
      <c r="C6839" t="s">
        <v>1169</v>
      </c>
    </row>
    <row r="6840" spans="2:3" x14ac:dyDescent="0.35">
      <c r="B6840" t="s">
        <v>1106</v>
      </c>
      <c r="C6840" t="s">
        <v>1107</v>
      </c>
    </row>
    <row r="6841" spans="2:3" x14ac:dyDescent="0.35">
      <c r="B6841" t="s">
        <v>1168</v>
      </c>
      <c r="C6841" t="s">
        <v>1169</v>
      </c>
    </row>
    <row r="6842" spans="2:3" x14ac:dyDescent="0.35">
      <c r="B6842" t="s">
        <v>1168</v>
      </c>
      <c r="C6842" t="s">
        <v>1169</v>
      </c>
    </row>
    <row r="6843" spans="2:3" x14ac:dyDescent="0.35">
      <c r="B6843" t="s">
        <v>1195</v>
      </c>
      <c r="C6843" t="s">
        <v>1195</v>
      </c>
    </row>
    <row r="6844" spans="2:3" x14ac:dyDescent="0.35">
      <c r="B6844" t="s">
        <v>1168</v>
      </c>
      <c r="C6844" t="s">
        <v>1169</v>
      </c>
    </row>
    <row r="6845" spans="2:3" x14ac:dyDescent="0.35">
      <c r="B6845" t="s">
        <v>1168</v>
      </c>
      <c r="C6845" t="s">
        <v>1169</v>
      </c>
    </row>
    <row r="6846" spans="2:3" x14ac:dyDescent="0.35">
      <c r="B6846" t="s">
        <v>1168</v>
      </c>
      <c r="C6846" t="s">
        <v>1169</v>
      </c>
    </row>
    <row r="6847" spans="2:3" x14ac:dyDescent="0.35">
      <c r="B6847" t="s">
        <v>1168</v>
      </c>
      <c r="C6847" t="s">
        <v>1169</v>
      </c>
    </row>
    <row r="6848" spans="2:3" x14ac:dyDescent="0.35">
      <c r="B6848" t="s">
        <v>1168</v>
      </c>
      <c r="C6848" t="s">
        <v>1169</v>
      </c>
    </row>
    <row r="6849" spans="2:3" x14ac:dyDescent="0.35">
      <c r="B6849" t="s">
        <v>1168</v>
      </c>
      <c r="C6849" t="s">
        <v>1169</v>
      </c>
    </row>
    <row r="6850" spans="2:3" x14ac:dyDescent="0.35">
      <c r="B6850" t="s">
        <v>1195</v>
      </c>
      <c r="C6850" t="s">
        <v>1195</v>
      </c>
    </row>
    <row r="6851" spans="2:3" x14ac:dyDescent="0.35">
      <c r="B6851" t="s">
        <v>1168</v>
      </c>
      <c r="C6851" t="s">
        <v>1169</v>
      </c>
    </row>
    <row r="6852" spans="2:3" x14ac:dyDescent="0.35">
      <c r="B6852" t="s">
        <v>1195</v>
      </c>
      <c r="C6852" t="s">
        <v>1195</v>
      </c>
    </row>
    <row r="6853" spans="2:3" x14ac:dyDescent="0.35">
      <c r="B6853" t="s">
        <v>1195</v>
      </c>
      <c r="C6853" t="s">
        <v>1195</v>
      </c>
    </row>
    <row r="6854" spans="2:3" x14ac:dyDescent="0.35">
      <c r="B6854" t="s">
        <v>1168</v>
      </c>
      <c r="C6854" t="s">
        <v>1169</v>
      </c>
    </row>
    <row r="6855" spans="2:3" x14ac:dyDescent="0.35">
      <c r="B6855" t="s">
        <v>1168</v>
      </c>
      <c r="C6855" t="s">
        <v>1169</v>
      </c>
    </row>
    <row r="6856" spans="2:3" x14ac:dyDescent="0.35">
      <c r="B6856" t="s">
        <v>1162</v>
      </c>
      <c r="C6856" t="s">
        <v>1163</v>
      </c>
    </row>
    <row r="6857" spans="2:3" x14ac:dyDescent="0.35">
      <c r="B6857" t="s">
        <v>1168</v>
      </c>
      <c r="C6857" t="s">
        <v>1169</v>
      </c>
    </row>
    <row r="6858" spans="2:3" x14ac:dyDescent="0.35">
      <c r="B6858" t="s">
        <v>1168</v>
      </c>
      <c r="C6858" t="s">
        <v>1169</v>
      </c>
    </row>
    <row r="6859" spans="2:3" x14ac:dyDescent="0.35">
      <c r="B6859" t="s">
        <v>1106</v>
      </c>
      <c r="C6859" t="s">
        <v>1107</v>
      </c>
    </row>
    <row r="6860" spans="2:3" x14ac:dyDescent="0.35">
      <c r="B6860" t="s">
        <v>1195</v>
      </c>
      <c r="C6860" t="s">
        <v>1195</v>
      </c>
    </row>
    <row r="6861" spans="2:3" x14ac:dyDescent="0.35">
      <c r="B6861" t="s">
        <v>1195</v>
      </c>
      <c r="C6861" t="s">
        <v>1195</v>
      </c>
    </row>
    <row r="6862" spans="2:3" x14ac:dyDescent="0.35">
      <c r="B6862" t="s">
        <v>787</v>
      </c>
      <c r="C6862" t="s">
        <v>788</v>
      </c>
    </row>
    <row r="6863" spans="2:3" x14ac:dyDescent="0.35">
      <c r="B6863" t="s">
        <v>1168</v>
      </c>
      <c r="C6863" t="s">
        <v>1169</v>
      </c>
    </row>
    <row r="6864" spans="2:3" x14ac:dyDescent="0.35">
      <c r="B6864" t="s">
        <v>1168</v>
      </c>
      <c r="C6864" t="s">
        <v>1169</v>
      </c>
    </row>
    <row r="6865" spans="2:3" x14ac:dyDescent="0.35">
      <c r="B6865" t="s">
        <v>1106</v>
      </c>
      <c r="C6865" t="s">
        <v>1107</v>
      </c>
    </row>
    <row r="6866" spans="2:3" x14ac:dyDescent="0.35">
      <c r="B6866" t="s">
        <v>1117</v>
      </c>
      <c r="C6866" t="s">
        <v>1118</v>
      </c>
    </row>
    <row r="6867" spans="2:3" x14ac:dyDescent="0.35">
      <c r="B6867" t="s">
        <v>1168</v>
      </c>
      <c r="C6867" t="s">
        <v>1169</v>
      </c>
    </row>
    <row r="6868" spans="2:3" x14ac:dyDescent="0.35">
      <c r="B6868" t="s">
        <v>1168</v>
      </c>
      <c r="C6868" t="s">
        <v>1169</v>
      </c>
    </row>
    <row r="6869" spans="2:3" x14ac:dyDescent="0.35">
      <c r="B6869" t="s">
        <v>1133</v>
      </c>
      <c r="C6869" t="s">
        <v>1134</v>
      </c>
    </row>
    <row r="6870" spans="2:3" x14ac:dyDescent="0.35">
      <c r="B6870" t="s">
        <v>1195</v>
      </c>
      <c r="C6870" t="s">
        <v>1195</v>
      </c>
    </row>
    <row r="6871" spans="2:3" x14ac:dyDescent="0.35">
      <c r="B6871" t="s">
        <v>1168</v>
      </c>
      <c r="C6871" t="s">
        <v>1169</v>
      </c>
    </row>
    <row r="6872" spans="2:3" x14ac:dyDescent="0.35">
      <c r="B6872" t="s">
        <v>787</v>
      </c>
      <c r="C6872" t="s">
        <v>788</v>
      </c>
    </row>
    <row r="6873" spans="2:3" x14ac:dyDescent="0.35">
      <c r="B6873" t="s">
        <v>1168</v>
      </c>
      <c r="C6873" t="s">
        <v>1169</v>
      </c>
    </row>
    <row r="6874" spans="2:3" x14ac:dyDescent="0.35">
      <c r="B6874" t="s">
        <v>1125</v>
      </c>
      <c r="C6874" t="s">
        <v>1126</v>
      </c>
    </row>
    <row r="6875" spans="2:3" x14ac:dyDescent="0.35">
      <c r="B6875" t="s">
        <v>1168</v>
      </c>
      <c r="C6875" t="s">
        <v>1169</v>
      </c>
    </row>
    <row r="6876" spans="2:3" x14ac:dyDescent="0.35">
      <c r="B6876" t="s">
        <v>1168</v>
      </c>
      <c r="C6876" t="s">
        <v>1169</v>
      </c>
    </row>
    <row r="6877" spans="2:3" x14ac:dyDescent="0.35">
      <c r="B6877" t="s">
        <v>1168</v>
      </c>
      <c r="C6877" t="s">
        <v>1169</v>
      </c>
    </row>
    <row r="6878" spans="2:3" x14ac:dyDescent="0.35">
      <c r="B6878" t="s">
        <v>1106</v>
      </c>
      <c r="C6878" t="s">
        <v>1107</v>
      </c>
    </row>
    <row r="6879" spans="2:3" x14ac:dyDescent="0.35">
      <c r="B6879" t="s">
        <v>1151</v>
      </c>
      <c r="C6879" t="s">
        <v>1152</v>
      </c>
    </row>
    <row r="6880" spans="2:3" x14ac:dyDescent="0.35">
      <c r="B6880" t="s">
        <v>1168</v>
      </c>
      <c r="C6880" t="s">
        <v>1169</v>
      </c>
    </row>
    <row r="6881" spans="2:3" x14ac:dyDescent="0.35">
      <c r="B6881" t="s">
        <v>1168</v>
      </c>
      <c r="C6881" t="s">
        <v>1169</v>
      </c>
    </row>
    <row r="6882" spans="2:3" x14ac:dyDescent="0.35">
      <c r="B6882" t="s">
        <v>1168</v>
      </c>
      <c r="C6882" t="s">
        <v>1169</v>
      </c>
    </row>
    <row r="6883" spans="2:3" x14ac:dyDescent="0.35">
      <c r="B6883" t="s">
        <v>1168</v>
      </c>
      <c r="C6883" t="s">
        <v>1169</v>
      </c>
    </row>
    <row r="6884" spans="2:3" x14ac:dyDescent="0.35">
      <c r="B6884" t="s">
        <v>1168</v>
      </c>
      <c r="C6884" t="s">
        <v>1169</v>
      </c>
    </row>
    <row r="6885" spans="2:3" x14ac:dyDescent="0.35">
      <c r="B6885" t="s">
        <v>1168</v>
      </c>
      <c r="C6885" t="s">
        <v>1169</v>
      </c>
    </row>
    <row r="6886" spans="2:3" x14ac:dyDescent="0.35">
      <c r="B6886" t="s">
        <v>1106</v>
      </c>
      <c r="C6886" t="s">
        <v>1107</v>
      </c>
    </row>
    <row r="6887" spans="2:3" x14ac:dyDescent="0.35">
      <c r="B6887" t="s">
        <v>1168</v>
      </c>
      <c r="C6887" t="s">
        <v>1169</v>
      </c>
    </row>
    <row r="6888" spans="2:3" x14ac:dyDescent="0.35">
      <c r="B6888" t="s">
        <v>1162</v>
      </c>
      <c r="C6888" t="s">
        <v>1163</v>
      </c>
    </row>
    <row r="6889" spans="2:3" x14ac:dyDescent="0.35">
      <c r="B6889" t="s">
        <v>1168</v>
      </c>
      <c r="C6889" t="s">
        <v>1169</v>
      </c>
    </row>
    <row r="6890" spans="2:3" x14ac:dyDescent="0.35">
      <c r="B6890" t="s">
        <v>1168</v>
      </c>
      <c r="C6890" t="s">
        <v>1169</v>
      </c>
    </row>
    <row r="6891" spans="2:3" x14ac:dyDescent="0.35">
      <c r="B6891" t="s">
        <v>1168</v>
      </c>
      <c r="C6891" t="s">
        <v>1169</v>
      </c>
    </row>
    <row r="6892" spans="2:3" x14ac:dyDescent="0.35">
      <c r="B6892" t="s">
        <v>1168</v>
      </c>
      <c r="C6892" t="s">
        <v>1169</v>
      </c>
    </row>
    <row r="6893" spans="2:3" x14ac:dyDescent="0.35">
      <c r="B6893" t="s">
        <v>1168</v>
      </c>
      <c r="C6893" t="s">
        <v>1169</v>
      </c>
    </row>
    <row r="6894" spans="2:3" x14ac:dyDescent="0.35">
      <c r="B6894" t="s">
        <v>1195</v>
      </c>
      <c r="C6894" t="s">
        <v>1195</v>
      </c>
    </row>
    <row r="6895" spans="2:3" x14ac:dyDescent="0.35">
      <c r="B6895" t="s">
        <v>1195</v>
      </c>
      <c r="C6895" t="s">
        <v>1195</v>
      </c>
    </row>
    <row r="6896" spans="2:3" x14ac:dyDescent="0.35">
      <c r="B6896" t="s">
        <v>1168</v>
      </c>
      <c r="C6896" t="s">
        <v>1169</v>
      </c>
    </row>
    <row r="6897" spans="2:3" x14ac:dyDescent="0.35">
      <c r="B6897" t="s">
        <v>1168</v>
      </c>
      <c r="C6897" t="s">
        <v>1169</v>
      </c>
    </row>
    <row r="6898" spans="2:3" x14ac:dyDescent="0.35">
      <c r="B6898" t="s">
        <v>1168</v>
      </c>
      <c r="C6898" t="s">
        <v>1169</v>
      </c>
    </row>
    <row r="6899" spans="2:3" x14ac:dyDescent="0.35">
      <c r="B6899" t="s">
        <v>787</v>
      </c>
      <c r="C6899" t="s">
        <v>788</v>
      </c>
    </row>
    <row r="6900" spans="2:3" x14ac:dyDescent="0.35">
      <c r="B6900" t="s">
        <v>1168</v>
      </c>
      <c r="C6900" t="s">
        <v>1169</v>
      </c>
    </row>
    <row r="6901" spans="2:3" x14ac:dyDescent="0.35">
      <c r="B6901" t="s">
        <v>1168</v>
      </c>
      <c r="C6901" t="s">
        <v>1169</v>
      </c>
    </row>
    <row r="6902" spans="2:3" x14ac:dyDescent="0.35">
      <c r="B6902" t="s">
        <v>1168</v>
      </c>
      <c r="C6902" t="s">
        <v>1169</v>
      </c>
    </row>
    <row r="6903" spans="2:3" x14ac:dyDescent="0.35">
      <c r="B6903" t="s">
        <v>1094</v>
      </c>
      <c r="C6903" t="s">
        <v>1095</v>
      </c>
    </row>
    <row r="6904" spans="2:3" x14ac:dyDescent="0.35">
      <c r="B6904" t="s">
        <v>1168</v>
      </c>
      <c r="C6904" t="s">
        <v>1169</v>
      </c>
    </row>
    <row r="6905" spans="2:3" x14ac:dyDescent="0.35">
      <c r="B6905" t="s">
        <v>1168</v>
      </c>
      <c r="C6905" t="s">
        <v>1169</v>
      </c>
    </row>
    <row r="6906" spans="2:3" x14ac:dyDescent="0.35">
      <c r="B6906" t="s">
        <v>1151</v>
      </c>
      <c r="C6906" t="s">
        <v>1152</v>
      </c>
    </row>
    <row r="6907" spans="2:3" x14ac:dyDescent="0.35">
      <c r="B6907" t="s">
        <v>1168</v>
      </c>
      <c r="C6907" t="s">
        <v>1169</v>
      </c>
    </row>
    <row r="6908" spans="2:3" x14ac:dyDescent="0.35">
      <c r="B6908" t="s">
        <v>1168</v>
      </c>
      <c r="C6908" t="s">
        <v>1169</v>
      </c>
    </row>
    <row r="6909" spans="2:3" x14ac:dyDescent="0.35">
      <c r="B6909" t="s">
        <v>1125</v>
      </c>
      <c r="C6909" t="s">
        <v>1126</v>
      </c>
    </row>
    <row r="6910" spans="2:3" x14ac:dyDescent="0.35">
      <c r="B6910" t="s">
        <v>1168</v>
      </c>
      <c r="C6910" t="s">
        <v>1169</v>
      </c>
    </row>
    <row r="6911" spans="2:3" x14ac:dyDescent="0.35">
      <c r="B6911" t="s">
        <v>1168</v>
      </c>
      <c r="C6911" t="s">
        <v>1169</v>
      </c>
    </row>
    <row r="6912" spans="2:3" x14ac:dyDescent="0.35">
      <c r="B6912" t="s">
        <v>1168</v>
      </c>
      <c r="C6912" t="s">
        <v>1169</v>
      </c>
    </row>
    <row r="6913" spans="2:3" x14ac:dyDescent="0.35">
      <c r="B6913" t="s">
        <v>1195</v>
      </c>
      <c r="C6913" t="s">
        <v>1195</v>
      </c>
    </row>
    <row r="6914" spans="2:3" x14ac:dyDescent="0.35">
      <c r="B6914" t="s">
        <v>1106</v>
      </c>
      <c r="C6914" t="s">
        <v>1107</v>
      </c>
    </row>
    <row r="6915" spans="2:3" x14ac:dyDescent="0.35">
      <c r="B6915" t="s">
        <v>1195</v>
      </c>
      <c r="C6915" t="s">
        <v>1195</v>
      </c>
    </row>
    <row r="6916" spans="2:3" x14ac:dyDescent="0.35">
      <c r="B6916" t="s">
        <v>1195</v>
      </c>
      <c r="C6916" t="s">
        <v>1195</v>
      </c>
    </row>
    <row r="6917" spans="2:3" x14ac:dyDescent="0.35">
      <c r="B6917" t="s">
        <v>1168</v>
      </c>
      <c r="C6917" t="s">
        <v>1169</v>
      </c>
    </row>
    <row r="6918" spans="2:3" x14ac:dyDescent="0.35">
      <c r="B6918" t="s">
        <v>1168</v>
      </c>
      <c r="C6918" t="s">
        <v>1169</v>
      </c>
    </row>
    <row r="6919" spans="2:3" x14ac:dyDescent="0.35">
      <c r="B6919" t="s">
        <v>1151</v>
      </c>
      <c r="C6919" t="s">
        <v>1152</v>
      </c>
    </row>
    <row r="6920" spans="2:3" x14ac:dyDescent="0.35">
      <c r="B6920" t="s">
        <v>1106</v>
      </c>
      <c r="C6920" t="s">
        <v>1107</v>
      </c>
    </row>
    <row r="6921" spans="2:3" x14ac:dyDescent="0.35">
      <c r="B6921" t="s">
        <v>1143</v>
      </c>
      <c r="C6921" t="s">
        <v>1144</v>
      </c>
    </row>
    <row r="6922" spans="2:3" x14ac:dyDescent="0.35">
      <c r="B6922" t="s">
        <v>1195</v>
      </c>
      <c r="C6922" t="s">
        <v>1195</v>
      </c>
    </row>
    <row r="6923" spans="2:3" x14ac:dyDescent="0.35">
      <c r="B6923" t="s">
        <v>1168</v>
      </c>
      <c r="C6923" t="s">
        <v>1169</v>
      </c>
    </row>
    <row r="6924" spans="2:3" x14ac:dyDescent="0.35">
      <c r="B6924" t="s">
        <v>1168</v>
      </c>
      <c r="C6924" t="s">
        <v>1169</v>
      </c>
    </row>
    <row r="6925" spans="2:3" x14ac:dyDescent="0.35">
      <c r="B6925" t="s">
        <v>1168</v>
      </c>
      <c r="C6925" t="s">
        <v>1169</v>
      </c>
    </row>
    <row r="6926" spans="2:3" x14ac:dyDescent="0.35">
      <c r="B6926" t="s">
        <v>1168</v>
      </c>
      <c r="C6926" t="s">
        <v>1169</v>
      </c>
    </row>
    <row r="6927" spans="2:3" x14ac:dyDescent="0.35">
      <c r="B6927" t="s">
        <v>1195</v>
      </c>
      <c r="C6927" t="s">
        <v>1195</v>
      </c>
    </row>
    <row r="6928" spans="2:3" x14ac:dyDescent="0.35">
      <c r="B6928" t="s">
        <v>1168</v>
      </c>
      <c r="C6928" t="s">
        <v>1169</v>
      </c>
    </row>
    <row r="6929" spans="2:3" x14ac:dyDescent="0.35">
      <c r="B6929" t="s">
        <v>1195</v>
      </c>
      <c r="C6929" t="s">
        <v>1195</v>
      </c>
    </row>
    <row r="6930" spans="2:3" x14ac:dyDescent="0.35">
      <c r="B6930" t="s">
        <v>1168</v>
      </c>
      <c r="C6930" t="s">
        <v>1169</v>
      </c>
    </row>
    <row r="6931" spans="2:3" x14ac:dyDescent="0.35">
      <c r="B6931" t="s">
        <v>1168</v>
      </c>
      <c r="C6931" t="s">
        <v>1169</v>
      </c>
    </row>
    <row r="6932" spans="2:3" x14ac:dyDescent="0.35">
      <c r="B6932" t="s">
        <v>1168</v>
      </c>
      <c r="C6932" t="s">
        <v>1169</v>
      </c>
    </row>
    <row r="6933" spans="2:3" x14ac:dyDescent="0.35">
      <c r="B6933" t="s">
        <v>1195</v>
      </c>
      <c r="C6933" t="s">
        <v>1195</v>
      </c>
    </row>
    <row r="6934" spans="2:3" x14ac:dyDescent="0.35">
      <c r="B6934" t="s">
        <v>1143</v>
      </c>
      <c r="C6934" t="s">
        <v>1144</v>
      </c>
    </row>
    <row r="6935" spans="2:3" x14ac:dyDescent="0.35">
      <c r="B6935" t="s">
        <v>963</v>
      </c>
      <c r="C6935" t="s">
        <v>964</v>
      </c>
    </row>
    <row r="6936" spans="2:3" x14ac:dyDescent="0.35">
      <c r="B6936" t="s">
        <v>1168</v>
      </c>
      <c r="C6936" t="s">
        <v>1169</v>
      </c>
    </row>
    <row r="6937" spans="2:3" x14ac:dyDescent="0.35">
      <c r="B6937" t="s">
        <v>1168</v>
      </c>
      <c r="C6937" t="s">
        <v>1169</v>
      </c>
    </row>
    <row r="6938" spans="2:3" x14ac:dyDescent="0.35">
      <c r="B6938" t="s">
        <v>1168</v>
      </c>
      <c r="C6938" t="s">
        <v>1169</v>
      </c>
    </row>
    <row r="6939" spans="2:3" x14ac:dyDescent="0.35">
      <c r="B6939" t="s">
        <v>1168</v>
      </c>
      <c r="C6939" t="s">
        <v>1169</v>
      </c>
    </row>
    <row r="6940" spans="2:3" x14ac:dyDescent="0.35">
      <c r="B6940" t="s">
        <v>1143</v>
      </c>
      <c r="C6940" t="s">
        <v>1144</v>
      </c>
    </row>
    <row r="6941" spans="2:3" x14ac:dyDescent="0.35">
      <c r="B6941" t="s">
        <v>1168</v>
      </c>
      <c r="C6941" t="s">
        <v>1169</v>
      </c>
    </row>
    <row r="6942" spans="2:3" x14ac:dyDescent="0.35">
      <c r="B6942" t="s">
        <v>1168</v>
      </c>
      <c r="C6942" t="s">
        <v>1169</v>
      </c>
    </row>
    <row r="6943" spans="2:3" x14ac:dyDescent="0.35">
      <c r="B6943" t="s">
        <v>1168</v>
      </c>
      <c r="C6943" t="s">
        <v>1169</v>
      </c>
    </row>
    <row r="6944" spans="2:3" x14ac:dyDescent="0.35">
      <c r="B6944" t="s">
        <v>1106</v>
      </c>
      <c r="C6944" t="s">
        <v>1107</v>
      </c>
    </row>
    <row r="6945" spans="2:3" x14ac:dyDescent="0.35">
      <c r="B6945" t="s">
        <v>1168</v>
      </c>
      <c r="C6945" t="s">
        <v>1169</v>
      </c>
    </row>
    <row r="6946" spans="2:3" x14ac:dyDescent="0.35">
      <c r="B6946" t="s">
        <v>1168</v>
      </c>
      <c r="C6946" t="s">
        <v>1169</v>
      </c>
    </row>
    <row r="6947" spans="2:3" x14ac:dyDescent="0.35">
      <c r="B6947" t="s">
        <v>1195</v>
      </c>
      <c r="C6947" t="s">
        <v>1195</v>
      </c>
    </row>
    <row r="6948" spans="2:3" x14ac:dyDescent="0.35">
      <c r="B6948" t="s">
        <v>1125</v>
      </c>
      <c r="C6948" t="s">
        <v>1126</v>
      </c>
    </row>
    <row r="6949" spans="2:3" x14ac:dyDescent="0.35">
      <c r="B6949" t="s">
        <v>1168</v>
      </c>
      <c r="C6949" t="s">
        <v>1169</v>
      </c>
    </row>
    <row r="6950" spans="2:3" x14ac:dyDescent="0.35">
      <c r="B6950" t="s">
        <v>1168</v>
      </c>
      <c r="C6950" t="s">
        <v>1169</v>
      </c>
    </row>
    <row r="6951" spans="2:3" x14ac:dyDescent="0.35">
      <c r="B6951" t="s">
        <v>728</v>
      </c>
      <c r="C6951" t="s">
        <v>729</v>
      </c>
    </row>
    <row r="6952" spans="2:3" x14ac:dyDescent="0.35">
      <c r="B6952" t="s">
        <v>1195</v>
      </c>
      <c r="C6952" t="s">
        <v>1195</v>
      </c>
    </row>
    <row r="6953" spans="2:3" x14ac:dyDescent="0.35">
      <c r="B6953" t="s">
        <v>1168</v>
      </c>
      <c r="C6953" t="s">
        <v>1169</v>
      </c>
    </row>
    <row r="6954" spans="2:3" x14ac:dyDescent="0.35">
      <c r="B6954" t="s">
        <v>1168</v>
      </c>
      <c r="C6954" t="s">
        <v>1169</v>
      </c>
    </row>
    <row r="6955" spans="2:3" x14ac:dyDescent="0.35">
      <c r="B6955" t="s">
        <v>1168</v>
      </c>
      <c r="C6955" t="s">
        <v>1169</v>
      </c>
    </row>
    <row r="6956" spans="2:3" x14ac:dyDescent="0.35">
      <c r="B6956" t="s">
        <v>1195</v>
      </c>
      <c r="C6956" t="s">
        <v>1195</v>
      </c>
    </row>
    <row r="6957" spans="2:3" x14ac:dyDescent="0.35">
      <c r="B6957" t="s">
        <v>1168</v>
      </c>
      <c r="C6957" t="s">
        <v>1169</v>
      </c>
    </row>
    <row r="6958" spans="2:3" x14ac:dyDescent="0.35">
      <c r="B6958" t="s">
        <v>1168</v>
      </c>
      <c r="C6958" t="s">
        <v>1169</v>
      </c>
    </row>
    <row r="6959" spans="2:3" x14ac:dyDescent="0.35">
      <c r="B6959" t="s">
        <v>1133</v>
      </c>
      <c r="C6959" t="s">
        <v>1134</v>
      </c>
    </row>
    <row r="6960" spans="2:3" x14ac:dyDescent="0.35">
      <c r="B6960" t="s">
        <v>1168</v>
      </c>
      <c r="C6960" t="s">
        <v>1169</v>
      </c>
    </row>
    <row r="6961" spans="2:3" x14ac:dyDescent="0.35">
      <c r="B6961" t="s">
        <v>1133</v>
      </c>
      <c r="C6961" t="s">
        <v>1134</v>
      </c>
    </row>
    <row r="6962" spans="2:3" x14ac:dyDescent="0.35">
      <c r="B6962" t="s">
        <v>1168</v>
      </c>
      <c r="C6962" t="s">
        <v>1169</v>
      </c>
    </row>
    <row r="6963" spans="2:3" x14ac:dyDescent="0.35">
      <c r="B6963" t="s">
        <v>1151</v>
      </c>
      <c r="C6963" t="s">
        <v>1152</v>
      </c>
    </row>
    <row r="6964" spans="2:3" x14ac:dyDescent="0.35">
      <c r="B6964" t="s">
        <v>1168</v>
      </c>
      <c r="C6964" t="s">
        <v>1169</v>
      </c>
    </row>
    <row r="6965" spans="2:3" x14ac:dyDescent="0.35">
      <c r="B6965" t="s">
        <v>1168</v>
      </c>
      <c r="C6965" t="s">
        <v>1169</v>
      </c>
    </row>
    <row r="6966" spans="2:3" x14ac:dyDescent="0.35">
      <c r="B6966" t="s">
        <v>1195</v>
      </c>
      <c r="C6966" t="s">
        <v>1195</v>
      </c>
    </row>
    <row r="6967" spans="2:3" x14ac:dyDescent="0.35">
      <c r="B6967" t="s">
        <v>1168</v>
      </c>
      <c r="C6967" t="s">
        <v>1169</v>
      </c>
    </row>
    <row r="6968" spans="2:3" x14ac:dyDescent="0.35">
      <c r="B6968" t="s">
        <v>1168</v>
      </c>
      <c r="C6968" t="s">
        <v>1169</v>
      </c>
    </row>
    <row r="6969" spans="2:3" x14ac:dyDescent="0.35">
      <c r="B6969" t="s">
        <v>1195</v>
      </c>
      <c r="C6969" t="s">
        <v>1195</v>
      </c>
    </row>
    <row r="6970" spans="2:3" x14ac:dyDescent="0.35">
      <c r="B6970" t="s">
        <v>1143</v>
      </c>
      <c r="C6970" t="s">
        <v>1144</v>
      </c>
    </row>
    <row r="6971" spans="2:3" x14ac:dyDescent="0.35">
      <c r="B6971" t="s">
        <v>1168</v>
      </c>
      <c r="C6971" t="s">
        <v>1169</v>
      </c>
    </row>
    <row r="6972" spans="2:3" x14ac:dyDescent="0.35">
      <c r="B6972" t="s">
        <v>1195</v>
      </c>
      <c r="C6972" t="s">
        <v>1195</v>
      </c>
    </row>
    <row r="6973" spans="2:3" x14ac:dyDescent="0.35">
      <c r="B6973" t="s">
        <v>1168</v>
      </c>
      <c r="C6973" t="s">
        <v>1169</v>
      </c>
    </row>
    <row r="6974" spans="2:3" x14ac:dyDescent="0.35">
      <c r="B6974" t="s">
        <v>1168</v>
      </c>
      <c r="C6974" t="s">
        <v>1169</v>
      </c>
    </row>
    <row r="6975" spans="2:3" x14ac:dyDescent="0.35">
      <c r="B6975" t="s">
        <v>1168</v>
      </c>
      <c r="C6975" t="s">
        <v>1169</v>
      </c>
    </row>
    <row r="6976" spans="2:3" x14ac:dyDescent="0.35">
      <c r="B6976" t="s">
        <v>1195</v>
      </c>
      <c r="C6976" t="s">
        <v>1195</v>
      </c>
    </row>
    <row r="6977" spans="2:3" x14ac:dyDescent="0.35">
      <c r="B6977" t="s">
        <v>1106</v>
      </c>
      <c r="C6977" t="s">
        <v>1107</v>
      </c>
    </row>
    <row r="6978" spans="2:3" x14ac:dyDescent="0.35">
      <c r="B6978" t="s">
        <v>1195</v>
      </c>
      <c r="C6978" t="s">
        <v>1195</v>
      </c>
    </row>
    <row r="6979" spans="2:3" x14ac:dyDescent="0.35">
      <c r="B6979" t="s">
        <v>1168</v>
      </c>
      <c r="C6979" t="s">
        <v>1169</v>
      </c>
    </row>
    <row r="6980" spans="2:3" x14ac:dyDescent="0.35">
      <c r="B6980" t="s">
        <v>1094</v>
      </c>
      <c r="C6980" t="s">
        <v>1095</v>
      </c>
    </row>
    <row r="6981" spans="2:3" x14ac:dyDescent="0.35">
      <c r="B6981" t="s">
        <v>1168</v>
      </c>
      <c r="C6981" t="s">
        <v>1169</v>
      </c>
    </row>
    <row r="6982" spans="2:3" x14ac:dyDescent="0.35">
      <c r="B6982" t="s">
        <v>1168</v>
      </c>
      <c r="C6982" t="s">
        <v>1169</v>
      </c>
    </row>
    <row r="6983" spans="2:3" x14ac:dyDescent="0.35">
      <c r="B6983" t="s">
        <v>1168</v>
      </c>
      <c r="C6983" t="s">
        <v>1169</v>
      </c>
    </row>
    <row r="6984" spans="2:3" x14ac:dyDescent="0.35">
      <c r="B6984" t="s">
        <v>1168</v>
      </c>
      <c r="C6984" t="s">
        <v>1169</v>
      </c>
    </row>
    <row r="6985" spans="2:3" x14ac:dyDescent="0.35">
      <c r="B6985" t="s">
        <v>1195</v>
      </c>
      <c r="C6985" t="s">
        <v>1195</v>
      </c>
    </row>
    <row r="6986" spans="2:3" x14ac:dyDescent="0.35">
      <c r="B6986" t="s">
        <v>1168</v>
      </c>
      <c r="C6986" t="s">
        <v>1169</v>
      </c>
    </row>
    <row r="6987" spans="2:3" x14ac:dyDescent="0.35">
      <c r="B6987" t="s">
        <v>1168</v>
      </c>
      <c r="C6987" t="s">
        <v>1169</v>
      </c>
    </row>
    <row r="6988" spans="2:3" x14ac:dyDescent="0.35">
      <c r="B6988" t="s">
        <v>1168</v>
      </c>
      <c r="C6988" t="s">
        <v>1169</v>
      </c>
    </row>
    <row r="6989" spans="2:3" x14ac:dyDescent="0.35">
      <c r="B6989" t="s">
        <v>1094</v>
      </c>
      <c r="C6989" t="s">
        <v>1095</v>
      </c>
    </row>
    <row r="6990" spans="2:3" x14ac:dyDescent="0.35">
      <c r="B6990" t="s">
        <v>1195</v>
      </c>
      <c r="C6990" t="s">
        <v>1195</v>
      </c>
    </row>
    <row r="6991" spans="2:3" x14ac:dyDescent="0.35">
      <c r="B6991" t="s">
        <v>1168</v>
      </c>
      <c r="C6991" t="s">
        <v>1169</v>
      </c>
    </row>
    <row r="6992" spans="2:3" x14ac:dyDescent="0.35">
      <c r="B6992" t="s">
        <v>1168</v>
      </c>
      <c r="C6992" t="s">
        <v>1169</v>
      </c>
    </row>
    <row r="6993" spans="2:3" x14ac:dyDescent="0.35">
      <c r="B6993" t="s">
        <v>1133</v>
      </c>
      <c r="C6993" t="s">
        <v>1134</v>
      </c>
    </row>
    <row r="6994" spans="2:3" x14ac:dyDescent="0.35">
      <c r="B6994" t="s">
        <v>1125</v>
      </c>
      <c r="C6994" t="s">
        <v>1126</v>
      </c>
    </row>
    <row r="6995" spans="2:3" x14ac:dyDescent="0.35">
      <c r="B6995" t="s">
        <v>1151</v>
      </c>
      <c r="C6995" t="s">
        <v>1152</v>
      </c>
    </row>
    <row r="6996" spans="2:3" x14ac:dyDescent="0.35">
      <c r="B6996" t="s">
        <v>1168</v>
      </c>
      <c r="C6996" t="s">
        <v>1169</v>
      </c>
    </row>
    <row r="6997" spans="2:3" x14ac:dyDescent="0.35">
      <c r="B6997" t="s">
        <v>1162</v>
      </c>
      <c r="C6997" t="s">
        <v>1163</v>
      </c>
    </row>
    <row r="6998" spans="2:3" x14ac:dyDescent="0.35">
      <c r="B6998" t="s">
        <v>1168</v>
      </c>
      <c r="C6998" t="s">
        <v>1169</v>
      </c>
    </row>
    <row r="6999" spans="2:3" x14ac:dyDescent="0.35">
      <c r="B6999" t="s">
        <v>1168</v>
      </c>
      <c r="C6999" t="s">
        <v>1169</v>
      </c>
    </row>
    <row r="7000" spans="2:3" x14ac:dyDescent="0.35">
      <c r="B7000" t="s">
        <v>1151</v>
      </c>
      <c r="C7000" t="s">
        <v>1152</v>
      </c>
    </row>
    <row r="7001" spans="2:3" x14ac:dyDescent="0.35">
      <c r="B7001" t="s">
        <v>1168</v>
      </c>
      <c r="C7001" t="s">
        <v>1169</v>
      </c>
    </row>
    <row r="7002" spans="2:3" x14ac:dyDescent="0.35">
      <c r="B7002" t="s">
        <v>1168</v>
      </c>
      <c r="C7002" t="s">
        <v>1169</v>
      </c>
    </row>
    <row r="7003" spans="2:3" x14ac:dyDescent="0.35">
      <c r="B7003" t="s">
        <v>1106</v>
      </c>
      <c r="C7003" t="s">
        <v>1107</v>
      </c>
    </row>
    <row r="7004" spans="2:3" x14ac:dyDescent="0.35">
      <c r="B7004" t="s">
        <v>1168</v>
      </c>
      <c r="C7004" t="s">
        <v>1169</v>
      </c>
    </row>
    <row r="7005" spans="2:3" x14ac:dyDescent="0.35">
      <c r="B7005" t="s">
        <v>1168</v>
      </c>
      <c r="C7005" t="s">
        <v>1169</v>
      </c>
    </row>
    <row r="7006" spans="2:3" x14ac:dyDescent="0.35">
      <c r="B7006" t="s">
        <v>1195</v>
      </c>
      <c r="C7006" t="s">
        <v>1195</v>
      </c>
    </row>
    <row r="7007" spans="2:3" x14ac:dyDescent="0.35">
      <c r="B7007" t="s">
        <v>1168</v>
      </c>
      <c r="C7007" t="s">
        <v>1169</v>
      </c>
    </row>
    <row r="7008" spans="2:3" x14ac:dyDescent="0.35">
      <c r="B7008" t="s">
        <v>1168</v>
      </c>
      <c r="C7008" t="s">
        <v>1169</v>
      </c>
    </row>
    <row r="7009" spans="2:3" x14ac:dyDescent="0.35">
      <c r="B7009" t="s">
        <v>1168</v>
      </c>
      <c r="C7009" t="s">
        <v>1169</v>
      </c>
    </row>
    <row r="7010" spans="2:3" x14ac:dyDescent="0.35">
      <c r="B7010" t="s">
        <v>1195</v>
      </c>
      <c r="C7010" t="s">
        <v>1195</v>
      </c>
    </row>
    <row r="7011" spans="2:3" x14ac:dyDescent="0.35">
      <c r="B7011" t="s">
        <v>1162</v>
      </c>
      <c r="C7011" t="s">
        <v>1163</v>
      </c>
    </row>
    <row r="7012" spans="2:3" x14ac:dyDescent="0.35">
      <c r="B7012" t="s">
        <v>1168</v>
      </c>
      <c r="C7012" t="s">
        <v>1169</v>
      </c>
    </row>
    <row r="7013" spans="2:3" x14ac:dyDescent="0.35">
      <c r="B7013" t="s">
        <v>1168</v>
      </c>
      <c r="C7013" t="s">
        <v>1169</v>
      </c>
    </row>
    <row r="7014" spans="2:3" x14ac:dyDescent="0.35">
      <c r="B7014" t="s">
        <v>1168</v>
      </c>
      <c r="C7014" t="s">
        <v>1169</v>
      </c>
    </row>
    <row r="7015" spans="2:3" x14ac:dyDescent="0.35">
      <c r="B7015" t="s">
        <v>1195</v>
      </c>
      <c r="C7015" t="s">
        <v>1195</v>
      </c>
    </row>
    <row r="7016" spans="2:3" x14ac:dyDescent="0.35">
      <c r="B7016" t="s">
        <v>1168</v>
      </c>
      <c r="C7016" t="s">
        <v>1169</v>
      </c>
    </row>
    <row r="7017" spans="2:3" x14ac:dyDescent="0.35">
      <c r="B7017" t="s">
        <v>1168</v>
      </c>
      <c r="C7017" t="s">
        <v>1169</v>
      </c>
    </row>
    <row r="7018" spans="2:3" x14ac:dyDescent="0.35">
      <c r="B7018" t="s">
        <v>1143</v>
      </c>
      <c r="C7018" t="s">
        <v>1144</v>
      </c>
    </row>
    <row r="7019" spans="2:3" x14ac:dyDescent="0.35">
      <c r="B7019" t="s">
        <v>1168</v>
      </c>
      <c r="C7019" t="s">
        <v>1169</v>
      </c>
    </row>
    <row r="7020" spans="2:3" x14ac:dyDescent="0.35">
      <c r="B7020" t="s">
        <v>1168</v>
      </c>
      <c r="C7020" t="s">
        <v>1169</v>
      </c>
    </row>
    <row r="7021" spans="2:3" x14ac:dyDescent="0.35">
      <c r="B7021" t="s">
        <v>1059</v>
      </c>
      <c r="C7021" t="s">
        <v>1060</v>
      </c>
    </row>
    <row r="7022" spans="2:3" x14ac:dyDescent="0.35">
      <c r="B7022" t="s">
        <v>1106</v>
      </c>
      <c r="C7022" t="s">
        <v>1107</v>
      </c>
    </row>
    <row r="7023" spans="2:3" x14ac:dyDescent="0.35">
      <c r="B7023" t="s">
        <v>1168</v>
      </c>
      <c r="C7023" t="s">
        <v>1169</v>
      </c>
    </row>
    <row r="7024" spans="2:3" x14ac:dyDescent="0.35">
      <c r="B7024" t="s">
        <v>1168</v>
      </c>
      <c r="C7024" t="s">
        <v>1169</v>
      </c>
    </row>
    <row r="7025" spans="2:3" x14ac:dyDescent="0.35">
      <c r="B7025" t="s">
        <v>1143</v>
      </c>
      <c r="C7025" t="s">
        <v>1144</v>
      </c>
    </row>
    <row r="7026" spans="2:3" x14ac:dyDescent="0.35">
      <c r="B7026" t="s">
        <v>1168</v>
      </c>
      <c r="C7026" t="s">
        <v>1169</v>
      </c>
    </row>
    <row r="7027" spans="2:3" x14ac:dyDescent="0.35">
      <c r="B7027" t="s">
        <v>1168</v>
      </c>
      <c r="C7027" t="s">
        <v>1169</v>
      </c>
    </row>
    <row r="7028" spans="2:3" x14ac:dyDescent="0.35">
      <c r="B7028" t="s">
        <v>1094</v>
      </c>
      <c r="C7028" t="s">
        <v>1095</v>
      </c>
    </row>
    <row r="7029" spans="2:3" x14ac:dyDescent="0.35">
      <c r="B7029" t="s">
        <v>1195</v>
      </c>
      <c r="C7029" t="s">
        <v>1195</v>
      </c>
    </row>
    <row r="7030" spans="2:3" x14ac:dyDescent="0.35">
      <c r="B7030" t="s">
        <v>1168</v>
      </c>
      <c r="C7030" t="s">
        <v>1169</v>
      </c>
    </row>
    <row r="7031" spans="2:3" x14ac:dyDescent="0.35">
      <c r="B7031" t="s">
        <v>1168</v>
      </c>
      <c r="C7031" t="s">
        <v>1169</v>
      </c>
    </row>
    <row r="7032" spans="2:3" x14ac:dyDescent="0.35">
      <c r="B7032" t="s">
        <v>1168</v>
      </c>
      <c r="C7032" t="s">
        <v>1169</v>
      </c>
    </row>
    <row r="7033" spans="2:3" x14ac:dyDescent="0.35">
      <c r="B7033" t="s">
        <v>1168</v>
      </c>
      <c r="C7033" t="s">
        <v>1169</v>
      </c>
    </row>
    <row r="7034" spans="2:3" x14ac:dyDescent="0.35">
      <c r="B7034" t="s">
        <v>1168</v>
      </c>
      <c r="C7034" t="s">
        <v>1169</v>
      </c>
    </row>
    <row r="7035" spans="2:3" x14ac:dyDescent="0.35">
      <c r="B7035" t="s">
        <v>1106</v>
      </c>
      <c r="C7035" t="s">
        <v>1107</v>
      </c>
    </row>
    <row r="7036" spans="2:3" x14ac:dyDescent="0.35">
      <c r="B7036" t="s">
        <v>1168</v>
      </c>
      <c r="C7036" t="s">
        <v>1169</v>
      </c>
    </row>
    <row r="7037" spans="2:3" x14ac:dyDescent="0.35">
      <c r="B7037" t="s">
        <v>1168</v>
      </c>
      <c r="C7037" t="s">
        <v>1169</v>
      </c>
    </row>
    <row r="7038" spans="2:3" x14ac:dyDescent="0.35">
      <c r="B7038" t="s">
        <v>1168</v>
      </c>
      <c r="C7038" t="s">
        <v>1169</v>
      </c>
    </row>
    <row r="7039" spans="2:3" x14ac:dyDescent="0.35">
      <c r="B7039" t="s">
        <v>1168</v>
      </c>
      <c r="C7039" t="s">
        <v>1169</v>
      </c>
    </row>
    <row r="7040" spans="2:3" x14ac:dyDescent="0.35">
      <c r="B7040" t="s">
        <v>1195</v>
      </c>
      <c r="C7040" t="s">
        <v>1195</v>
      </c>
    </row>
    <row r="7041" spans="2:3" x14ac:dyDescent="0.35">
      <c r="B7041" t="s">
        <v>1168</v>
      </c>
      <c r="C7041" t="s">
        <v>1169</v>
      </c>
    </row>
    <row r="7042" spans="2:3" x14ac:dyDescent="0.35">
      <c r="B7042" t="s">
        <v>1168</v>
      </c>
      <c r="C7042" t="s">
        <v>1169</v>
      </c>
    </row>
    <row r="7043" spans="2:3" x14ac:dyDescent="0.35">
      <c r="B7043" t="s">
        <v>1168</v>
      </c>
      <c r="C7043" t="s">
        <v>1169</v>
      </c>
    </row>
    <row r="7044" spans="2:3" x14ac:dyDescent="0.35">
      <c r="B7044" t="s">
        <v>1168</v>
      </c>
      <c r="C7044" t="s">
        <v>1169</v>
      </c>
    </row>
    <row r="7045" spans="2:3" x14ac:dyDescent="0.35">
      <c r="B7045" t="s">
        <v>1168</v>
      </c>
      <c r="C7045" t="s">
        <v>1169</v>
      </c>
    </row>
    <row r="7046" spans="2:3" x14ac:dyDescent="0.35">
      <c r="B7046" t="s">
        <v>1094</v>
      </c>
      <c r="C7046" t="s">
        <v>1095</v>
      </c>
    </row>
    <row r="7047" spans="2:3" x14ac:dyDescent="0.35">
      <c r="B7047" t="s">
        <v>787</v>
      </c>
      <c r="C7047" t="s">
        <v>788</v>
      </c>
    </row>
    <row r="7048" spans="2:3" x14ac:dyDescent="0.35">
      <c r="B7048" t="s">
        <v>1195</v>
      </c>
      <c r="C7048" t="s">
        <v>1195</v>
      </c>
    </row>
    <row r="7049" spans="2:3" x14ac:dyDescent="0.35">
      <c r="B7049" t="s">
        <v>1168</v>
      </c>
      <c r="C7049" t="s">
        <v>1169</v>
      </c>
    </row>
    <row r="7050" spans="2:3" x14ac:dyDescent="0.35">
      <c r="B7050" t="s">
        <v>1168</v>
      </c>
      <c r="C7050" t="s">
        <v>1169</v>
      </c>
    </row>
    <row r="7051" spans="2:3" x14ac:dyDescent="0.35">
      <c r="B7051" t="s">
        <v>1125</v>
      </c>
      <c r="C7051" t="s">
        <v>1126</v>
      </c>
    </row>
    <row r="7052" spans="2:3" x14ac:dyDescent="0.35">
      <c r="B7052" t="s">
        <v>1168</v>
      </c>
      <c r="C7052" t="s">
        <v>1169</v>
      </c>
    </row>
    <row r="7053" spans="2:3" x14ac:dyDescent="0.35">
      <c r="B7053" t="s">
        <v>1168</v>
      </c>
      <c r="C7053" t="s">
        <v>1169</v>
      </c>
    </row>
    <row r="7054" spans="2:3" x14ac:dyDescent="0.35">
      <c r="B7054" t="s">
        <v>1195</v>
      </c>
      <c r="C7054" t="s">
        <v>1195</v>
      </c>
    </row>
    <row r="7055" spans="2:3" x14ac:dyDescent="0.35">
      <c r="B7055" t="s">
        <v>1162</v>
      </c>
      <c r="C7055" t="s">
        <v>1163</v>
      </c>
    </row>
    <row r="7056" spans="2:3" x14ac:dyDescent="0.35">
      <c r="B7056" t="s">
        <v>1168</v>
      </c>
      <c r="C7056" t="s">
        <v>1169</v>
      </c>
    </row>
    <row r="7057" spans="2:3" x14ac:dyDescent="0.35">
      <c r="B7057" t="s">
        <v>1059</v>
      </c>
      <c r="C7057" t="s">
        <v>1060</v>
      </c>
    </row>
    <row r="7058" spans="2:3" x14ac:dyDescent="0.35">
      <c r="B7058" t="s">
        <v>1168</v>
      </c>
      <c r="C7058" t="s">
        <v>1169</v>
      </c>
    </row>
    <row r="7059" spans="2:3" x14ac:dyDescent="0.35">
      <c r="B7059" t="s">
        <v>1168</v>
      </c>
      <c r="C7059" t="s">
        <v>1169</v>
      </c>
    </row>
    <row r="7060" spans="2:3" x14ac:dyDescent="0.35">
      <c r="B7060" t="s">
        <v>1143</v>
      </c>
      <c r="C7060" t="s">
        <v>1144</v>
      </c>
    </row>
    <row r="7061" spans="2:3" x14ac:dyDescent="0.35">
      <c r="B7061" t="s">
        <v>787</v>
      </c>
      <c r="C7061" t="s">
        <v>788</v>
      </c>
    </row>
    <row r="7062" spans="2:3" x14ac:dyDescent="0.35">
      <c r="B7062" t="s">
        <v>1168</v>
      </c>
      <c r="C7062" t="s">
        <v>1169</v>
      </c>
    </row>
    <row r="7063" spans="2:3" x14ac:dyDescent="0.35">
      <c r="B7063" t="s">
        <v>1168</v>
      </c>
      <c r="C7063" t="s">
        <v>1169</v>
      </c>
    </row>
    <row r="7064" spans="2:3" x14ac:dyDescent="0.35">
      <c r="B7064" t="s">
        <v>1168</v>
      </c>
      <c r="C7064" t="s">
        <v>1169</v>
      </c>
    </row>
    <row r="7065" spans="2:3" x14ac:dyDescent="0.35">
      <c r="B7065" t="s">
        <v>1195</v>
      </c>
      <c r="C7065" t="s">
        <v>1195</v>
      </c>
    </row>
    <row r="7066" spans="2:3" x14ac:dyDescent="0.35">
      <c r="B7066" t="s">
        <v>1168</v>
      </c>
      <c r="C7066" t="s">
        <v>1169</v>
      </c>
    </row>
    <row r="7067" spans="2:3" x14ac:dyDescent="0.35">
      <c r="B7067" t="s">
        <v>1125</v>
      </c>
      <c r="C7067" t="s">
        <v>1126</v>
      </c>
    </row>
    <row r="7068" spans="2:3" x14ac:dyDescent="0.35">
      <c r="B7068" t="s">
        <v>1151</v>
      </c>
      <c r="C7068" t="s">
        <v>1152</v>
      </c>
    </row>
    <row r="7069" spans="2:3" x14ac:dyDescent="0.35">
      <c r="B7069" t="s">
        <v>1168</v>
      </c>
      <c r="C7069" t="s">
        <v>1169</v>
      </c>
    </row>
    <row r="7070" spans="2:3" x14ac:dyDescent="0.35">
      <c r="B7070" t="s">
        <v>1168</v>
      </c>
      <c r="C7070" t="s">
        <v>1169</v>
      </c>
    </row>
    <row r="7071" spans="2:3" x14ac:dyDescent="0.35">
      <c r="B7071" t="s">
        <v>1100</v>
      </c>
      <c r="C7071" t="s">
        <v>1101</v>
      </c>
    </row>
    <row r="7072" spans="2:3" x14ac:dyDescent="0.35">
      <c r="B7072" t="s">
        <v>1168</v>
      </c>
      <c r="C7072" t="s">
        <v>1169</v>
      </c>
    </row>
    <row r="7073" spans="2:3" x14ac:dyDescent="0.35">
      <c r="B7073" t="s">
        <v>1195</v>
      </c>
      <c r="C7073" t="s">
        <v>1195</v>
      </c>
    </row>
    <row r="7074" spans="2:3" x14ac:dyDescent="0.35">
      <c r="B7074" t="s">
        <v>1195</v>
      </c>
      <c r="C7074" t="s">
        <v>1195</v>
      </c>
    </row>
    <row r="7075" spans="2:3" x14ac:dyDescent="0.35">
      <c r="B7075" t="s">
        <v>1168</v>
      </c>
      <c r="C7075" t="s">
        <v>1169</v>
      </c>
    </row>
    <row r="7076" spans="2:3" x14ac:dyDescent="0.35">
      <c r="B7076" t="s">
        <v>1168</v>
      </c>
      <c r="C7076" t="s">
        <v>1169</v>
      </c>
    </row>
    <row r="7077" spans="2:3" x14ac:dyDescent="0.35">
      <c r="B7077" t="s">
        <v>1168</v>
      </c>
      <c r="C7077" t="s">
        <v>1169</v>
      </c>
    </row>
    <row r="7078" spans="2:3" x14ac:dyDescent="0.35">
      <c r="B7078" t="s">
        <v>1195</v>
      </c>
      <c r="C7078" t="s">
        <v>1195</v>
      </c>
    </row>
    <row r="7079" spans="2:3" x14ac:dyDescent="0.35">
      <c r="B7079" t="s">
        <v>1210</v>
      </c>
      <c r="C7079" t="s">
        <v>1211</v>
      </c>
    </row>
    <row r="7080" spans="2:3" x14ac:dyDescent="0.35">
      <c r="B7080" t="s">
        <v>1168</v>
      </c>
      <c r="C7080" t="s">
        <v>1169</v>
      </c>
    </row>
    <row r="7081" spans="2:3" x14ac:dyDescent="0.35">
      <c r="B7081" t="s">
        <v>1094</v>
      </c>
      <c r="C7081" t="s">
        <v>1095</v>
      </c>
    </row>
    <row r="7082" spans="2:3" x14ac:dyDescent="0.35">
      <c r="B7082" t="s">
        <v>1168</v>
      </c>
      <c r="C7082" t="s">
        <v>1169</v>
      </c>
    </row>
    <row r="7083" spans="2:3" x14ac:dyDescent="0.35">
      <c r="B7083" t="s">
        <v>1168</v>
      </c>
      <c r="C7083" t="s">
        <v>1169</v>
      </c>
    </row>
    <row r="7084" spans="2:3" x14ac:dyDescent="0.35">
      <c r="B7084" t="s">
        <v>1168</v>
      </c>
      <c r="C7084" t="s">
        <v>1169</v>
      </c>
    </row>
    <row r="7085" spans="2:3" x14ac:dyDescent="0.35">
      <c r="B7085" t="s">
        <v>1168</v>
      </c>
      <c r="C7085" t="s">
        <v>1169</v>
      </c>
    </row>
    <row r="7086" spans="2:3" x14ac:dyDescent="0.35">
      <c r="B7086" t="s">
        <v>1168</v>
      </c>
      <c r="C7086" t="s">
        <v>1169</v>
      </c>
    </row>
    <row r="7087" spans="2:3" x14ac:dyDescent="0.35">
      <c r="B7087" t="s">
        <v>1094</v>
      </c>
      <c r="C7087" t="s">
        <v>1095</v>
      </c>
    </row>
    <row r="7088" spans="2:3" x14ac:dyDescent="0.35">
      <c r="B7088" t="s">
        <v>1168</v>
      </c>
      <c r="C7088" t="s">
        <v>1169</v>
      </c>
    </row>
    <row r="7089" spans="2:3" x14ac:dyDescent="0.35">
      <c r="B7089" t="s">
        <v>1168</v>
      </c>
      <c r="C7089" t="s">
        <v>1169</v>
      </c>
    </row>
    <row r="7090" spans="2:3" x14ac:dyDescent="0.35">
      <c r="B7090" t="s">
        <v>1168</v>
      </c>
      <c r="C7090" t="s">
        <v>1169</v>
      </c>
    </row>
    <row r="7091" spans="2:3" x14ac:dyDescent="0.35">
      <c r="B7091" t="s">
        <v>1125</v>
      </c>
      <c r="C7091" t="s">
        <v>1126</v>
      </c>
    </row>
    <row r="7092" spans="2:3" x14ac:dyDescent="0.35">
      <c r="B7092" t="s">
        <v>787</v>
      </c>
      <c r="C7092" t="s">
        <v>788</v>
      </c>
    </row>
    <row r="7093" spans="2:3" x14ac:dyDescent="0.35">
      <c r="B7093" t="s">
        <v>787</v>
      </c>
      <c r="C7093" t="s">
        <v>788</v>
      </c>
    </row>
    <row r="7094" spans="2:3" x14ac:dyDescent="0.35">
      <c r="B7094" t="s">
        <v>1195</v>
      </c>
      <c r="C7094" t="s">
        <v>1195</v>
      </c>
    </row>
    <row r="7095" spans="2:3" x14ac:dyDescent="0.35">
      <c r="B7095" t="s">
        <v>1155</v>
      </c>
      <c r="C7095" t="s">
        <v>1156</v>
      </c>
    </row>
    <row r="7096" spans="2:3" x14ac:dyDescent="0.35">
      <c r="B7096" t="s">
        <v>787</v>
      </c>
      <c r="C7096" t="s">
        <v>788</v>
      </c>
    </row>
    <row r="7097" spans="2:3" x14ac:dyDescent="0.35">
      <c r="B7097" t="s">
        <v>804</v>
      </c>
      <c r="C7097" t="s">
        <v>805</v>
      </c>
    </row>
    <row r="7098" spans="2:3" x14ac:dyDescent="0.35">
      <c r="B7098" t="s">
        <v>1155</v>
      </c>
      <c r="C7098" t="s">
        <v>1156</v>
      </c>
    </row>
    <row r="7099" spans="2:3" x14ac:dyDescent="0.35">
      <c r="B7099" t="s">
        <v>1098</v>
      </c>
      <c r="C7099" t="s">
        <v>1099</v>
      </c>
    </row>
    <row r="7100" spans="2:3" x14ac:dyDescent="0.35">
      <c r="B7100" t="s">
        <v>787</v>
      </c>
      <c r="C7100" t="s">
        <v>788</v>
      </c>
    </row>
    <row r="7101" spans="2:3" x14ac:dyDescent="0.35">
      <c r="B7101" t="s">
        <v>787</v>
      </c>
      <c r="C7101" t="s">
        <v>788</v>
      </c>
    </row>
    <row r="7102" spans="2:3" x14ac:dyDescent="0.35">
      <c r="B7102" t="s">
        <v>787</v>
      </c>
      <c r="C7102" t="s">
        <v>788</v>
      </c>
    </row>
    <row r="7103" spans="2:3" x14ac:dyDescent="0.35">
      <c r="B7103" t="s">
        <v>1155</v>
      </c>
      <c r="C7103" t="s">
        <v>1156</v>
      </c>
    </row>
    <row r="7104" spans="2:3" x14ac:dyDescent="0.35">
      <c r="B7104" t="s">
        <v>787</v>
      </c>
      <c r="C7104" t="s">
        <v>788</v>
      </c>
    </row>
    <row r="7105" spans="2:3" x14ac:dyDescent="0.35">
      <c r="B7105" t="s">
        <v>1155</v>
      </c>
      <c r="C7105" t="s">
        <v>1156</v>
      </c>
    </row>
    <row r="7106" spans="2:3" x14ac:dyDescent="0.35">
      <c r="B7106" t="s">
        <v>804</v>
      </c>
      <c r="C7106" t="s">
        <v>805</v>
      </c>
    </row>
    <row r="7107" spans="2:3" x14ac:dyDescent="0.35">
      <c r="B7107" t="s">
        <v>1191</v>
      </c>
      <c r="C7107" t="s">
        <v>1192</v>
      </c>
    </row>
    <row r="7108" spans="2:3" x14ac:dyDescent="0.35">
      <c r="B7108" t="s">
        <v>1079</v>
      </c>
      <c r="C7108" t="s">
        <v>1080</v>
      </c>
    </row>
    <row r="7109" spans="2:3" x14ac:dyDescent="0.35">
      <c r="B7109" t="s">
        <v>1147</v>
      </c>
      <c r="C7109" t="s">
        <v>1148</v>
      </c>
    </row>
    <row r="7110" spans="2:3" x14ac:dyDescent="0.35">
      <c r="B7110" t="s">
        <v>1155</v>
      </c>
      <c r="C7110" t="s">
        <v>1156</v>
      </c>
    </row>
    <row r="7111" spans="2:3" x14ac:dyDescent="0.35">
      <c r="B7111" t="s">
        <v>787</v>
      </c>
      <c r="C7111" t="s">
        <v>788</v>
      </c>
    </row>
    <row r="7112" spans="2:3" x14ac:dyDescent="0.35">
      <c r="B7112" t="s">
        <v>1098</v>
      </c>
      <c r="C7112" t="s">
        <v>1099</v>
      </c>
    </row>
    <row r="7113" spans="2:3" x14ac:dyDescent="0.35">
      <c r="B7113" t="s">
        <v>787</v>
      </c>
      <c r="C7113" t="s">
        <v>788</v>
      </c>
    </row>
    <row r="7114" spans="2:3" x14ac:dyDescent="0.35">
      <c r="B7114" t="s">
        <v>1121</v>
      </c>
      <c r="C7114" t="s">
        <v>1122</v>
      </c>
    </row>
    <row r="7115" spans="2:3" x14ac:dyDescent="0.35">
      <c r="B7115" t="s">
        <v>804</v>
      </c>
      <c r="C7115" t="s">
        <v>805</v>
      </c>
    </row>
    <row r="7116" spans="2:3" x14ac:dyDescent="0.35">
      <c r="B7116" t="s">
        <v>1121</v>
      </c>
      <c r="C7116" t="s">
        <v>1122</v>
      </c>
    </row>
    <row r="7117" spans="2:3" x14ac:dyDescent="0.35">
      <c r="B7117" t="s">
        <v>1061</v>
      </c>
      <c r="C7117" t="s">
        <v>1062</v>
      </c>
    </row>
    <row r="7118" spans="2:3" x14ac:dyDescent="0.35">
      <c r="B7118" t="s">
        <v>787</v>
      </c>
      <c r="C7118" t="s">
        <v>788</v>
      </c>
    </row>
    <row r="7119" spans="2:3" x14ac:dyDescent="0.35">
      <c r="B7119" t="s">
        <v>1147</v>
      </c>
      <c r="C7119" t="s">
        <v>1148</v>
      </c>
    </row>
    <row r="7120" spans="2:3" x14ac:dyDescent="0.35">
      <c r="B7120" t="s">
        <v>1195</v>
      </c>
      <c r="C7120" t="s">
        <v>1195</v>
      </c>
    </row>
    <row r="7121" spans="2:3" x14ac:dyDescent="0.35">
      <c r="B7121" t="s">
        <v>1195</v>
      </c>
      <c r="C7121" t="s">
        <v>1195</v>
      </c>
    </row>
    <row r="7122" spans="2:3" x14ac:dyDescent="0.35">
      <c r="B7122" t="s">
        <v>1098</v>
      </c>
      <c r="C7122" t="s">
        <v>1099</v>
      </c>
    </row>
    <row r="7123" spans="2:3" x14ac:dyDescent="0.35">
      <c r="B7123" t="s">
        <v>1147</v>
      </c>
      <c r="C7123" t="s">
        <v>1148</v>
      </c>
    </row>
    <row r="7124" spans="2:3" x14ac:dyDescent="0.35">
      <c r="B7124" t="s">
        <v>787</v>
      </c>
      <c r="C7124" t="s">
        <v>788</v>
      </c>
    </row>
    <row r="7125" spans="2:3" x14ac:dyDescent="0.35">
      <c r="B7125" t="s">
        <v>1195</v>
      </c>
      <c r="C7125" t="s">
        <v>1195</v>
      </c>
    </row>
    <row r="7126" spans="2:3" x14ac:dyDescent="0.35">
      <c r="B7126" t="s">
        <v>1110</v>
      </c>
      <c r="C7126" t="s">
        <v>1111</v>
      </c>
    </row>
    <row r="7127" spans="2:3" x14ac:dyDescent="0.35">
      <c r="B7127" t="s">
        <v>1110</v>
      </c>
      <c r="C7127" t="s">
        <v>1111</v>
      </c>
    </row>
    <row r="7128" spans="2:3" x14ac:dyDescent="0.35">
      <c r="B7128" t="s">
        <v>804</v>
      </c>
      <c r="C7128" t="s">
        <v>805</v>
      </c>
    </row>
    <row r="7129" spans="2:3" x14ac:dyDescent="0.35">
      <c r="B7129" t="s">
        <v>787</v>
      </c>
      <c r="C7129" t="s">
        <v>788</v>
      </c>
    </row>
    <row r="7130" spans="2:3" x14ac:dyDescent="0.35">
      <c r="B7130" t="s">
        <v>1172</v>
      </c>
      <c r="C7130" t="s">
        <v>1173</v>
      </c>
    </row>
    <row r="7131" spans="2:3" x14ac:dyDescent="0.35">
      <c r="B7131" t="s">
        <v>787</v>
      </c>
      <c r="C7131" t="s">
        <v>788</v>
      </c>
    </row>
    <row r="7132" spans="2:3" x14ac:dyDescent="0.35">
      <c r="B7132" t="s">
        <v>1094</v>
      </c>
      <c r="C7132" t="s">
        <v>1095</v>
      </c>
    </row>
    <row r="7133" spans="2:3" x14ac:dyDescent="0.35">
      <c r="B7133" t="s">
        <v>1098</v>
      </c>
      <c r="C7133" t="s">
        <v>1099</v>
      </c>
    </row>
    <row r="7134" spans="2:3" x14ac:dyDescent="0.35">
      <c r="B7134" t="s">
        <v>787</v>
      </c>
      <c r="C7134" t="s">
        <v>788</v>
      </c>
    </row>
    <row r="7135" spans="2:3" x14ac:dyDescent="0.35">
      <c r="B7135" t="s">
        <v>1110</v>
      </c>
      <c r="C7135" t="s">
        <v>1111</v>
      </c>
    </row>
    <row r="7136" spans="2:3" x14ac:dyDescent="0.35">
      <c r="B7136" t="s">
        <v>1137</v>
      </c>
      <c r="C7136" t="s">
        <v>1138</v>
      </c>
    </row>
    <row r="7137" spans="2:3" x14ac:dyDescent="0.35">
      <c r="B7137" t="s">
        <v>787</v>
      </c>
      <c r="C7137" t="s">
        <v>788</v>
      </c>
    </row>
    <row r="7138" spans="2:3" x14ac:dyDescent="0.35">
      <c r="B7138" t="s">
        <v>1061</v>
      </c>
      <c r="C7138" t="s">
        <v>1062</v>
      </c>
    </row>
    <row r="7139" spans="2:3" x14ac:dyDescent="0.35">
      <c r="B7139" t="s">
        <v>531</v>
      </c>
      <c r="C7139" t="s">
        <v>532</v>
      </c>
    </row>
    <row r="7140" spans="2:3" x14ac:dyDescent="0.35">
      <c r="B7140" t="s">
        <v>176</v>
      </c>
      <c r="C7140" t="s">
        <v>177</v>
      </c>
    </row>
    <row r="7141" spans="2:3" x14ac:dyDescent="0.35">
      <c r="B7141" t="s">
        <v>1137</v>
      </c>
      <c r="C7141" t="s">
        <v>1138</v>
      </c>
    </row>
    <row r="7142" spans="2:3" x14ac:dyDescent="0.35">
      <c r="B7142" t="s">
        <v>787</v>
      </c>
      <c r="C7142" t="s">
        <v>788</v>
      </c>
    </row>
    <row r="7143" spans="2:3" x14ac:dyDescent="0.35">
      <c r="B7143" t="s">
        <v>1061</v>
      </c>
      <c r="C7143" t="s">
        <v>1062</v>
      </c>
    </row>
    <row r="7144" spans="2:3" x14ac:dyDescent="0.35">
      <c r="B7144" t="s">
        <v>787</v>
      </c>
      <c r="C7144" t="s">
        <v>788</v>
      </c>
    </row>
    <row r="7145" spans="2:3" x14ac:dyDescent="0.35">
      <c r="B7145" t="s">
        <v>1061</v>
      </c>
      <c r="C7145" t="s">
        <v>1062</v>
      </c>
    </row>
    <row r="7146" spans="2:3" x14ac:dyDescent="0.35">
      <c r="B7146" t="s">
        <v>787</v>
      </c>
      <c r="C7146" t="s">
        <v>788</v>
      </c>
    </row>
    <row r="7147" spans="2:3" x14ac:dyDescent="0.35">
      <c r="B7147" t="s">
        <v>787</v>
      </c>
      <c r="C7147" t="s">
        <v>788</v>
      </c>
    </row>
    <row r="7148" spans="2:3" x14ac:dyDescent="0.35">
      <c r="B7148" t="s">
        <v>1172</v>
      </c>
      <c r="C7148" t="s">
        <v>1173</v>
      </c>
    </row>
    <row r="7149" spans="2:3" x14ac:dyDescent="0.35">
      <c r="B7149" t="s">
        <v>1195</v>
      </c>
      <c r="C7149" t="s">
        <v>1195</v>
      </c>
    </row>
    <row r="7150" spans="2:3" x14ac:dyDescent="0.35">
      <c r="B7150" t="s">
        <v>1110</v>
      </c>
      <c r="C7150" t="s">
        <v>1111</v>
      </c>
    </row>
    <row r="7151" spans="2:3" x14ac:dyDescent="0.35">
      <c r="B7151" t="s">
        <v>1061</v>
      </c>
      <c r="C7151" t="s">
        <v>1062</v>
      </c>
    </row>
    <row r="7152" spans="2:3" x14ac:dyDescent="0.35">
      <c r="B7152" t="s">
        <v>1191</v>
      </c>
      <c r="C7152" t="s">
        <v>1192</v>
      </c>
    </row>
    <row r="7153" spans="2:3" x14ac:dyDescent="0.35">
      <c r="B7153" t="s">
        <v>1137</v>
      </c>
      <c r="C7153" t="s">
        <v>1138</v>
      </c>
    </row>
    <row r="7154" spans="2:3" x14ac:dyDescent="0.35">
      <c r="B7154" t="s">
        <v>1110</v>
      </c>
      <c r="C7154" t="s">
        <v>1111</v>
      </c>
    </row>
    <row r="7155" spans="2:3" x14ac:dyDescent="0.35">
      <c r="B7155" t="s">
        <v>322</v>
      </c>
      <c r="C7155" t="s">
        <v>323</v>
      </c>
    </row>
    <row r="7156" spans="2:3" x14ac:dyDescent="0.35">
      <c r="B7156" t="s">
        <v>1121</v>
      </c>
      <c r="C7156" t="s">
        <v>1122</v>
      </c>
    </row>
    <row r="7157" spans="2:3" x14ac:dyDescent="0.35">
      <c r="B7157" t="s">
        <v>787</v>
      </c>
      <c r="C7157" t="s">
        <v>788</v>
      </c>
    </row>
    <row r="7158" spans="2:3" x14ac:dyDescent="0.35">
      <c r="B7158" t="s">
        <v>1155</v>
      </c>
      <c r="C7158" t="s">
        <v>1156</v>
      </c>
    </row>
    <row r="7159" spans="2:3" x14ac:dyDescent="0.35">
      <c r="B7159" t="s">
        <v>1110</v>
      </c>
      <c r="C7159" t="s">
        <v>1111</v>
      </c>
    </row>
    <row r="7160" spans="2:3" x14ac:dyDescent="0.35">
      <c r="B7160" t="s">
        <v>804</v>
      </c>
      <c r="C7160" t="s">
        <v>805</v>
      </c>
    </row>
    <row r="7161" spans="2:3" x14ac:dyDescent="0.35">
      <c r="B7161" t="s">
        <v>1137</v>
      </c>
      <c r="C7161" t="s">
        <v>1138</v>
      </c>
    </row>
    <row r="7162" spans="2:3" x14ac:dyDescent="0.35">
      <c r="B7162" t="s">
        <v>1110</v>
      </c>
      <c r="C7162" t="s">
        <v>1111</v>
      </c>
    </row>
    <row r="7163" spans="2:3" x14ac:dyDescent="0.35">
      <c r="B7163" t="s">
        <v>787</v>
      </c>
      <c r="C7163" t="s">
        <v>788</v>
      </c>
    </row>
    <row r="7164" spans="2:3" x14ac:dyDescent="0.35">
      <c r="B7164" t="s">
        <v>1110</v>
      </c>
      <c r="C7164" t="s">
        <v>1111</v>
      </c>
    </row>
    <row r="7165" spans="2:3" x14ac:dyDescent="0.35">
      <c r="B7165" t="s">
        <v>1137</v>
      </c>
      <c r="C7165" t="s">
        <v>1138</v>
      </c>
    </row>
    <row r="7166" spans="2:3" x14ac:dyDescent="0.35">
      <c r="B7166" t="s">
        <v>1098</v>
      </c>
      <c r="C7166" t="s">
        <v>1099</v>
      </c>
    </row>
    <row r="7167" spans="2:3" x14ac:dyDescent="0.35">
      <c r="B7167" t="s">
        <v>804</v>
      </c>
      <c r="C7167" t="s">
        <v>805</v>
      </c>
    </row>
    <row r="7168" spans="2:3" x14ac:dyDescent="0.35">
      <c r="B7168" t="s">
        <v>1061</v>
      </c>
      <c r="C7168" t="s">
        <v>1062</v>
      </c>
    </row>
    <row r="7169" spans="2:3" x14ac:dyDescent="0.35">
      <c r="B7169" t="s">
        <v>787</v>
      </c>
      <c r="C7169" t="s">
        <v>788</v>
      </c>
    </row>
    <row r="7170" spans="2:3" x14ac:dyDescent="0.35">
      <c r="B7170" t="s">
        <v>1079</v>
      </c>
      <c r="C7170" t="s">
        <v>1080</v>
      </c>
    </row>
    <row r="7171" spans="2:3" x14ac:dyDescent="0.35">
      <c r="B7171" t="s">
        <v>1110</v>
      </c>
      <c r="C7171" t="s">
        <v>1111</v>
      </c>
    </row>
    <row r="7172" spans="2:3" x14ac:dyDescent="0.35">
      <c r="B7172" t="s">
        <v>1121</v>
      </c>
      <c r="C7172" t="s">
        <v>1122</v>
      </c>
    </row>
    <row r="7173" spans="2:3" x14ac:dyDescent="0.35">
      <c r="B7173" t="s">
        <v>787</v>
      </c>
      <c r="C7173" t="s">
        <v>788</v>
      </c>
    </row>
    <row r="7174" spans="2:3" x14ac:dyDescent="0.35">
      <c r="B7174" t="s">
        <v>1121</v>
      </c>
      <c r="C7174" t="s">
        <v>1122</v>
      </c>
    </row>
    <row r="7175" spans="2:3" x14ac:dyDescent="0.35">
      <c r="B7175" t="s">
        <v>804</v>
      </c>
      <c r="C7175" t="s">
        <v>805</v>
      </c>
    </row>
    <row r="7176" spans="2:3" x14ac:dyDescent="0.35">
      <c r="B7176" t="s">
        <v>1147</v>
      </c>
      <c r="C7176" t="s">
        <v>1148</v>
      </c>
    </row>
    <row r="7177" spans="2:3" x14ac:dyDescent="0.35">
      <c r="B7177" t="s">
        <v>787</v>
      </c>
      <c r="C7177" t="s">
        <v>788</v>
      </c>
    </row>
    <row r="7178" spans="2:3" x14ac:dyDescent="0.35">
      <c r="B7178" t="s">
        <v>787</v>
      </c>
      <c r="C7178" t="s">
        <v>788</v>
      </c>
    </row>
    <row r="7179" spans="2:3" x14ac:dyDescent="0.35">
      <c r="B7179" t="s">
        <v>1155</v>
      </c>
      <c r="C7179" t="s">
        <v>1156</v>
      </c>
    </row>
    <row r="7180" spans="2:3" x14ac:dyDescent="0.35">
      <c r="B7180" t="s">
        <v>1110</v>
      </c>
      <c r="C7180" t="s">
        <v>1111</v>
      </c>
    </row>
    <row r="7181" spans="2:3" x14ac:dyDescent="0.35">
      <c r="B7181" t="s">
        <v>787</v>
      </c>
      <c r="C7181" t="s">
        <v>788</v>
      </c>
    </row>
    <row r="7182" spans="2:3" x14ac:dyDescent="0.35">
      <c r="B7182" t="s">
        <v>1061</v>
      </c>
      <c r="C7182" t="s">
        <v>1062</v>
      </c>
    </row>
    <row r="7183" spans="2:3" x14ac:dyDescent="0.35">
      <c r="B7183" t="s">
        <v>1110</v>
      </c>
      <c r="C7183" t="s">
        <v>1111</v>
      </c>
    </row>
    <row r="7184" spans="2:3" x14ac:dyDescent="0.35">
      <c r="B7184" t="s">
        <v>1110</v>
      </c>
      <c r="C7184" t="s">
        <v>1111</v>
      </c>
    </row>
    <row r="7185" spans="2:3" x14ac:dyDescent="0.35">
      <c r="B7185" t="s">
        <v>1137</v>
      </c>
      <c r="C7185" t="s">
        <v>1138</v>
      </c>
    </row>
    <row r="7186" spans="2:3" x14ac:dyDescent="0.35">
      <c r="B7186" t="s">
        <v>1172</v>
      </c>
      <c r="C7186" t="s">
        <v>1173</v>
      </c>
    </row>
    <row r="7187" spans="2:3" x14ac:dyDescent="0.35">
      <c r="B7187" t="s">
        <v>1155</v>
      </c>
      <c r="C7187" t="s">
        <v>1156</v>
      </c>
    </row>
    <row r="7188" spans="2:3" x14ac:dyDescent="0.35">
      <c r="B7188" t="s">
        <v>787</v>
      </c>
      <c r="C7188" t="s">
        <v>788</v>
      </c>
    </row>
    <row r="7189" spans="2:3" x14ac:dyDescent="0.35">
      <c r="B7189" t="s">
        <v>787</v>
      </c>
      <c r="C7189" t="s">
        <v>788</v>
      </c>
    </row>
    <row r="7190" spans="2:3" x14ac:dyDescent="0.35">
      <c r="B7190" t="s">
        <v>1137</v>
      </c>
      <c r="C7190" t="s">
        <v>1138</v>
      </c>
    </row>
    <row r="7191" spans="2:3" x14ac:dyDescent="0.35">
      <c r="B7191" t="s">
        <v>1155</v>
      </c>
      <c r="C7191" t="s">
        <v>1156</v>
      </c>
    </row>
    <row r="7192" spans="2:3" x14ac:dyDescent="0.35">
      <c r="B7192" t="s">
        <v>1121</v>
      </c>
      <c r="C7192" t="s">
        <v>1122</v>
      </c>
    </row>
    <row r="7193" spans="2:3" x14ac:dyDescent="0.35">
      <c r="B7193" t="s">
        <v>1191</v>
      </c>
      <c r="C7193" t="s">
        <v>1192</v>
      </c>
    </row>
    <row r="7194" spans="2:3" x14ac:dyDescent="0.35">
      <c r="B7194" t="s">
        <v>787</v>
      </c>
      <c r="C7194" t="s">
        <v>788</v>
      </c>
    </row>
    <row r="7195" spans="2:3" x14ac:dyDescent="0.35">
      <c r="B7195" t="s">
        <v>728</v>
      </c>
      <c r="C7195" t="s">
        <v>729</v>
      </c>
    </row>
    <row r="7196" spans="2:3" x14ac:dyDescent="0.35">
      <c r="B7196" t="s">
        <v>607</v>
      </c>
      <c r="C7196" t="s">
        <v>608</v>
      </c>
    </row>
    <row r="7197" spans="2:3" x14ac:dyDescent="0.35">
      <c r="B7197" t="s">
        <v>787</v>
      </c>
      <c r="C7197" t="s">
        <v>788</v>
      </c>
    </row>
    <row r="7198" spans="2:3" x14ac:dyDescent="0.35">
      <c r="B7198" t="s">
        <v>1137</v>
      </c>
      <c r="C7198" t="s">
        <v>1138</v>
      </c>
    </row>
    <row r="7199" spans="2:3" x14ac:dyDescent="0.35">
      <c r="B7199" t="s">
        <v>787</v>
      </c>
      <c r="C7199" t="s">
        <v>788</v>
      </c>
    </row>
    <row r="7200" spans="2:3" x14ac:dyDescent="0.35">
      <c r="B7200" t="s">
        <v>787</v>
      </c>
      <c r="C7200" t="s">
        <v>788</v>
      </c>
    </row>
    <row r="7201" spans="2:3" x14ac:dyDescent="0.35">
      <c r="B7201" t="s">
        <v>1155</v>
      </c>
      <c r="C7201" t="s">
        <v>1156</v>
      </c>
    </row>
    <row r="7202" spans="2:3" x14ac:dyDescent="0.35">
      <c r="B7202" t="s">
        <v>1061</v>
      </c>
      <c r="C7202" t="s">
        <v>1062</v>
      </c>
    </row>
    <row r="7203" spans="2:3" x14ac:dyDescent="0.35">
      <c r="B7203" t="s">
        <v>384</v>
      </c>
      <c r="C7203" t="s">
        <v>385</v>
      </c>
    </row>
    <row r="7204" spans="2:3" x14ac:dyDescent="0.35">
      <c r="B7204" t="s">
        <v>1121</v>
      </c>
      <c r="C7204" t="s">
        <v>1122</v>
      </c>
    </row>
    <row r="7205" spans="2:3" x14ac:dyDescent="0.35">
      <c r="B7205" t="s">
        <v>1137</v>
      </c>
      <c r="C7205" t="s">
        <v>1138</v>
      </c>
    </row>
    <row r="7206" spans="2:3" x14ac:dyDescent="0.35">
      <c r="B7206" t="s">
        <v>1098</v>
      </c>
      <c r="C7206" t="s">
        <v>1099</v>
      </c>
    </row>
    <row r="7207" spans="2:3" x14ac:dyDescent="0.35">
      <c r="B7207" t="s">
        <v>384</v>
      </c>
      <c r="C7207" t="s">
        <v>385</v>
      </c>
    </row>
    <row r="7208" spans="2:3" x14ac:dyDescent="0.35">
      <c r="B7208" t="s">
        <v>1098</v>
      </c>
      <c r="C7208" t="s">
        <v>1099</v>
      </c>
    </row>
    <row r="7209" spans="2:3" x14ac:dyDescent="0.35">
      <c r="B7209" t="s">
        <v>958</v>
      </c>
      <c r="C7209" t="s">
        <v>959</v>
      </c>
    </row>
    <row r="7210" spans="2:3" x14ac:dyDescent="0.35">
      <c r="B7210" t="s">
        <v>1195</v>
      </c>
      <c r="C7210" t="s">
        <v>1195</v>
      </c>
    </row>
    <row r="7211" spans="2:3" x14ac:dyDescent="0.35">
      <c r="B7211" t="s">
        <v>1110</v>
      </c>
      <c r="C7211" t="s">
        <v>1111</v>
      </c>
    </row>
    <row r="7212" spans="2:3" x14ac:dyDescent="0.35">
      <c r="B7212" t="s">
        <v>958</v>
      </c>
      <c r="C7212" t="s">
        <v>959</v>
      </c>
    </row>
    <row r="7213" spans="2:3" x14ac:dyDescent="0.35">
      <c r="B7213" t="s">
        <v>648</v>
      </c>
      <c r="C7213" t="s">
        <v>649</v>
      </c>
    </row>
    <row r="7214" spans="2:3" x14ac:dyDescent="0.35">
      <c r="B7214" t="s">
        <v>1155</v>
      </c>
      <c r="C7214" t="s">
        <v>1156</v>
      </c>
    </row>
    <row r="7215" spans="2:3" x14ac:dyDescent="0.35">
      <c r="B7215" t="s">
        <v>322</v>
      </c>
      <c r="C7215" t="s">
        <v>323</v>
      </c>
    </row>
    <row r="7216" spans="2:3" x14ac:dyDescent="0.35">
      <c r="B7216" t="s">
        <v>337</v>
      </c>
      <c r="C7216" t="s">
        <v>338</v>
      </c>
    </row>
    <row r="7217" spans="2:3" x14ac:dyDescent="0.35">
      <c r="B7217" t="s">
        <v>787</v>
      </c>
      <c r="C7217" t="s">
        <v>788</v>
      </c>
    </row>
    <row r="7218" spans="2:3" x14ac:dyDescent="0.35">
      <c r="B7218" t="s">
        <v>1079</v>
      </c>
      <c r="C7218" t="s">
        <v>1080</v>
      </c>
    </row>
    <row r="7219" spans="2:3" x14ac:dyDescent="0.35">
      <c r="B7219" t="s">
        <v>787</v>
      </c>
      <c r="C7219" t="s">
        <v>788</v>
      </c>
    </row>
    <row r="7220" spans="2:3" x14ac:dyDescent="0.35">
      <c r="B7220" t="s">
        <v>1155</v>
      </c>
      <c r="C7220" t="s">
        <v>1156</v>
      </c>
    </row>
    <row r="7221" spans="2:3" x14ac:dyDescent="0.35">
      <c r="B7221" t="s">
        <v>787</v>
      </c>
      <c r="C7221" t="s">
        <v>788</v>
      </c>
    </row>
    <row r="7222" spans="2:3" x14ac:dyDescent="0.35">
      <c r="B7222" t="s">
        <v>1137</v>
      </c>
      <c r="C7222" t="s">
        <v>1138</v>
      </c>
    </row>
    <row r="7223" spans="2:3" x14ac:dyDescent="0.35">
      <c r="B7223" t="s">
        <v>787</v>
      </c>
      <c r="C7223" t="s">
        <v>788</v>
      </c>
    </row>
    <row r="7224" spans="2:3" x14ac:dyDescent="0.35">
      <c r="B7224" t="s">
        <v>1110</v>
      </c>
      <c r="C7224" t="s">
        <v>1111</v>
      </c>
    </row>
    <row r="7225" spans="2:3" x14ac:dyDescent="0.35">
      <c r="B7225" t="s">
        <v>1195</v>
      </c>
      <c r="C7225" t="s">
        <v>1195</v>
      </c>
    </row>
    <row r="7226" spans="2:3" x14ac:dyDescent="0.35">
      <c r="B7226" t="s">
        <v>1121</v>
      </c>
      <c r="C7226" t="s">
        <v>1122</v>
      </c>
    </row>
    <row r="7227" spans="2:3" x14ac:dyDescent="0.35">
      <c r="B7227" t="s">
        <v>1191</v>
      </c>
      <c r="C7227" t="s">
        <v>1192</v>
      </c>
    </row>
    <row r="7228" spans="2:3" x14ac:dyDescent="0.35">
      <c r="B7228" t="s">
        <v>1098</v>
      </c>
      <c r="C7228" t="s">
        <v>1099</v>
      </c>
    </row>
    <row r="7229" spans="2:3" x14ac:dyDescent="0.35">
      <c r="B7229" t="s">
        <v>573</v>
      </c>
      <c r="C7229" t="s">
        <v>574</v>
      </c>
    </row>
    <row r="7230" spans="2:3" x14ac:dyDescent="0.35">
      <c r="B7230" t="s">
        <v>1098</v>
      </c>
      <c r="C7230" t="s">
        <v>1099</v>
      </c>
    </row>
    <row r="7231" spans="2:3" x14ac:dyDescent="0.35">
      <c r="B7231" t="s">
        <v>1172</v>
      </c>
      <c r="C7231" t="s">
        <v>1173</v>
      </c>
    </row>
    <row r="7232" spans="2:3" x14ac:dyDescent="0.35">
      <c r="B7232" t="s">
        <v>1121</v>
      </c>
      <c r="C7232" t="s">
        <v>1122</v>
      </c>
    </row>
    <row r="7233" spans="2:3" x14ac:dyDescent="0.35">
      <c r="B7233" t="s">
        <v>1195</v>
      </c>
      <c r="C7233" t="s">
        <v>1195</v>
      </c>
    </row>
    <row r="7234" spans="2:3" x14ac:dyDescent="0.35">
      <c r="B7234" t="s">
        <v>1098</v>
      </c>
      <c r="C7234" t="s">
        <v>1099</v>
      </c>
    </row>
    <row r="7235" spans="2:3" x14ac:dyDescent="0.35">
      <c r="B7235" t="s">
        <v>1110</v>
      </c>
      <c r="C7235" t="s">
        <v>1111</v>
      </c>
    </row>
    <row r="7236" spans="2:3" x14ac:dyDescent="0.35">
      <c r="B7236" t="s">
        <v>1137</v>
      </c>
      <c r="C7236" t="s">
        <v>1138</v>
      </c>
    </row>
    <row r="7237" spans="2:3" x14ac:dyDescent="0.35">
      <c r="B7237" t="s">
        <v>1121</v>
      </c>
      <c r="C7237" t="s">
        <v>1122</v>
      </c>
    </row>
    <row r="7238" spans="2:3" x14ac:dyDescent="0.35">
      <c r="B7238" t="s">
        <v>1155</v>
      </c>
      <c r="C7238" t="s">
        <v>1156</v>
      </c>
    </row>
    <row r="7239" spans="2:3" x14ac:dyDescent="0.35">
      <c r="B7239" t="s">
        <v>1098</v>
      </c>
      <c r="C7239" t="s">
        <v>1099</v>
      </c>
    </row>
    <row r="7240" spans="2:3" x14ac:dyDescent="0.35">
      <c r="B7240" t="s">
        <v>787</v>
      </c>
      <c r="C7240" t="s">
        <v>788</v>
      </c>
    </row>
    <row r="7241" spans="2:3" x14ac:dyDescent="0.35">
      <c r="B7241" t="s">
        <v>1061</v>
      </c>
      <c r="C7241" t="s">
        <v>1062</v>
      </c>
    </row>
    <row r="7242" spans="2:3" x14ac:dyDescent="0.35">
      <c r="B7242" t="s">
        <v>1061</v>
      </c>
      <c r="C7242" t="s">
        <v>1062</v>
      </c>
    </row>
    <row r="7243" spans="2:3" x14ac:dyDescent="0.35">
      <c r="B7243" t="s">
        <v>1155</v>
      </c>
      <c r="C7243" t="s">
        <v>1156</v>
      </c>
    </row>
    <row r="7244" spans="2:3" x14ac:dyDescent="0.35">
      <c r="B7244" t="s">
        <v>1155</v>
      </c>
      <c r="C7244" t="s">
        <v>1156</v>
      </c>
    </row>
    <row r="7245" spans="2:3" x14ac:dyDescent="0.35">
      <c r="B7245" t="s">
        <v>1155</v>
      </c>
      <c r="C7245" t="s">
        <v>1156</v>
      </c>
    </row>
    <row r="7246" spans="2:3" x14ac:dyDescent="0.35">
      <c r="B7246" t="s">
        <v>787</v>
      </c>
      <c r="C7246" t="s">
        <v>788</v>
      </c>
    </row>
    <row r="7247" spans="2:3" x14ac:dyDescent="0.35">
      <c r="B7247" t="s">
        <v>787</v>
      </c>
      <c r="C7247" t="s">
        <v>788</v>
      </c>
    </row>
    <row r="7248" spans="2:3" x14ac:dyDescent="0.35">
      <c r="B7248" t="s">
        <v>1172</v>
      </c>
      <c r="C7248" t="s">
        <v>1173</v>
      </c>
    </row>
    <row r="7249" spans="2:3" x14ac:dyDescent="0.35">
      <c r="B7249" t="s">
        <v>1191</v>
      </c>
      <c r="C7249" t="s">
        <v>1192</v>
      </c>
    </row>
    <row r="7250" spans="2:3" x14ac:dyDescent="0.35">
      <c r="B7250" t="s">
        <v>1098</v>
      </c>
      <c r="C7250" t="s">
        <v>1099</v>
      </c>
    </row>
    <row r="7251" spans="2:3" x14ac:dyDescent="0.35">
      <c r="B7251" t="s">
        <v>337</v>
      </c>
      <c r="C7251" t="s">
        <v>338</v>
      </c>
    </row>
    <row r="7252" spans="2:3" x14ac:dyDescent="0.35">
      <c r="B7252" t="s">
        <v>1195</v>
      </c>
      <c r="C7252" t="s">
        <v>1195</v>
      </c>
    </row>
    <row r="7253" spans="2:3" x14ac:dyDescent="0.35">
      <c r="B7253" t="s">
        <v>1137</v>
      </c>
      <c r="C7253" t="s">
        <v>1138</v>
      </c>
    </row>
    <row r="7254" spans="2:3" x14ac:dyDescent="0.35">
      <c r="B7254" t="s">
        <v>1155</v>
      </c>
      <c r="C7254" t="s">
        <v>1156</v>
      </c>
    </row>
    <row r="7255" spans="2:3" x14ac:dyDescent="0.35">
      <c r="B7255" t="s">
        <v>1061</v>
      </c>
      <c r="C7255" t="s">
        <v>1062</v>
      </c>
    </row>
    <row r="7256" spans="2:3" x14ac:dyDescent="0.35">
      <c r="B7256" t="s">
        <v>1137</v>
      </c>
      <c r="C7256" t="s">
        <v>1138</v>
      </c>
    </row>
    <row r="7257" spans="2:3" x14ac:dyDescent="0.35">
      <c r="B7257" t="s">
        <v>1061</v>
      </c>
      <c r="C7257" t="s">
        <v>1062</v>
      </c>
    </row>
    <row r="7258" spans="2:3" x14ac:dyDescent="0.35">
      <c r="B7258" t="s">
        <v>1110</v>
      </c>
      <c r="C7258" t="s">
        <v>1111</v>
      </c>
    </row>
    <row r="7259" spans="2:3" x14ac:dyDescent="0.35">
      <c r="B7259" t="s">
        <v>787</v>
      </c>
      <c r="C7259" t="s">
        <v>788</v>
      </c>
    </row>
    <row r="7260" spans="2:3" x14ac:dyDescent="0.35">
      <c r="B7260" t="s">
        <v>1098</v>
      </c>
      <c r="C7260" t="s">
        <v>1099</v>
      </c>
    </row>
    <row r="7261" spans="2:3" x14ac:dyDescent="0.35">
      <c r="B7261" t="s">
        <v>787</v>
      </c>
      <c r="C7261" t="s">
        <v>788</v>
      </c>
    </row>
    <row r="7262" spans="2:3" x14ac:dyDescent="0.35">
      <c r="B7262" t="s">
        <v>787</v>
      </c>
      <c r="C7262" t="s">
        <v>788</v>
      </c>
    </row>
    <row r="7263" spans="2:3" x14ac:dyDescent="0.35">
      <c r="B7263" t="s">
        <v>1172</v>
      </c>
      <c r="C7263" t="s">
        <v>1173</v>
      </c>
    </row>
    <row r="7264" spans="2:3" x14ac:dyDescent="0.35">
      <c r="B7264" t="s">
        <v>1098</v>
      </c>
      <c r="C7264" t="s">
        <v>1099</v>
      </c>
    </row>
    <row r="7265" spans="2:3" x14ac:dyDescent="0.35">
      <c r="B7265" t="s">
        <v>787</v>
      </c>
      <c r="C7265" t="s">
        <v>788</v>
      </c>
    </row>
    <row r="7266" spans="2:3" x14ac:dyDescent="0.35">
      <c r="B7266" t="s">
        <v>1147</v>
      </c>
      <c r="C7266" t="s">
        <v>1148</v>
      </c>
    </row>
    <row r="7267" spans="2:3" x14ac:dyDescent="0.35">
      <c r="B7267" t="s">
        <v>787</v>
      </c>
      <c r="C7267" t="s">
        <v>788</v>
      </c>
    </row>
    <row r="7268" spans="2:3" x14ac:dyDescent="0.35">
      <c r="B7268" t="s">
        <v>804</v>
      </c>
      <c r="C7268" t="s">
        <v>805</v>
      </c>
    </row>
    <row r="7269" spans="2:3" x14ac:dyDescent="0.35">
      <c r="B7269" t="s">
        <v>1110</v>
      </c>
      <c r="C7269" t="s">
        <v>1111</v>
      </c>
    </row>
    <row r="7270" spans="2:3" x14ac:dyDescent="0.35">
      <c r="B7270" t="s">
        <v>1155</v>
      </c>
      <c r="C7270" t="s">
        <v>1156</v>
      </c>
    </row>
    <row r="7271" spans="2:3" x14ac:dyDescent="0.35">
      <c r="B7271" t="s">
        <v>787</v>
      </c>
      <c r="C7271" t="s">
        <v>788</v>
      </c>
    </row>
    <row r="7272" spans="2:3" x14ac:dyDescent="0.35">
      <c r="B7272" t="s">
        <v>1110</v>
      </c>
      <c r="C7272" t="s">
        <v>1111</v>
      </c>
    </row>
    <row r="7273" spans="2:3" x14ac:dyDescent="0.35">
      <c r="B7273" t="s">
        <v>1121</v>
      </c>
      <c r="C7273" t="s">
        <v>1122</v>
      </c>
    </row>
    <row r="7274" spans="2:3" x14ac:dyDescent="0.35">
      <c r="B7274" t="s">
        <v>1121</v>
      </c>
      <c r="C7274" t="s">
        <v>1122</v>
      </c>
    </row>
    <row r="7275" spans="2:3" x14ac:dyDescent="0.35">
      <c r="B7275" t="s">
        <v>787</v>
      </c>
      <c r="C7275" t="s">
        <v>788</v>
      </c>
    </row>
    <row r="7276" spans="2:3" x14ac:dyDescent="0.35">
      <c r="B7276" t="s">
        <v>1098</v>
      </c>
      <c r="C7276" t="s">
        <v>1099</v>
      </c>
    </row>
    <row r="7277" spans="2:3" x14ac:dyDescent="0.35">
      <c r="B7277" t="s">
        <v>958</v>
      </c>
      <c r="C7277" t="s">
        <v>959</v>
      </c>
    </row>
    <row r="7278" spans="2:3" x14ac:dyDescent="0.35">
      <c r="B7278" t="s">
        <v>1191</v>
      </c>
      <c r="C7278" t="s">
        <v>1192</v>
      </c>
    </row>
    <row r="7279" spans="2:3" x14ac:dyDescent="0.35">
      <c r="B7279" t="s">
        <v>337</v>
      </c>
      <c r="C7279" t="s">
        <v>338</v>
      </c>
    </row>
    <row r="7280" spans="2:3" x14ac:dyDescent="0.35">
      <c r="B7280" t="s">
        <v>787</v>
      </c>
      <c r="C7280" t="s">
        <v>788</v>
      </c>
    </row>
    <row r="7281" spans="2:3" x14ac:dyDescent="0.35">
      <c r="B7281" t="s">
        <v>787</v>
      </c>
      <c r="C7281" t="s">
        <v>788</v>
      </c>
    </row>
    <row r="7282" spans="2:3" x14ac:dyDescent="0.35">
      <c r="B7282" t="s">
        <v>787</v>
      </c>
      <c r="C7282" t="s">
        <v>788</v>
      </c>
    </row>
    <row r="7283" spans="2:3" x14ac:dyDescent="0.35">
      <c r="B7283" t="s">
        <v>1137</v>
      </c>
      <c r="C7283" t="s">
        <v>1138</v>
      </c>
    </row>
    <row r="7284" spans="2:3" x14ac:dyDescent="0.35">
      <c r="B7284" t="s">
        <v>787</v>
      </c>
      <c r="C7284" t="s">
        <v>788</v>
      </c>
    </row>
    <row r="7285" spans="2:3" x14ac:dyDescent="0.35">
      <c r="B7285" t="s">
        <v>1098</v>
      </c>
      <c r="C7285" t="s">
        <v>1099</v>
      </c>
    </row>
    <row r="7286" spans="2:3" x14ac:dyDescent="0.35">
      <c r="B7286" t="s">
        <v>1121</v>
      </c>
      <c r="C7286" t="s">
        <v>1122</v>
      </c>
    </row>
    <row r="7287" spans="2:3" x14ac:dyDescent="0.35">
      <c r="B7287" t="s">
        <v>787</v>
      </c>
      <c r="C7287" t="s">
        <v>788</v>
      </c>
    </row>
    <row r="7288" spans="2:3" x14ac:dyDescent="0.35">
      <c r="B7288" t="s">
        <v>1110</v>
      </c>
      <c r="C7288" t="s">
        <v>1111</v>
      </c>
    </row>
    <row r="7289" spans="2:3" x14ac:dyDescent="0.35">
      <c r="B7289" t="s">
        <v>1191</v>
      </c>
      <c r="C7289" t="s">
        <v>1192</v>
      </c>
    </row>
    <row r="7290" spans="2:3" x14ac:dyDescent="0.35">
      <c r="B7290" t="s">
        <v>1155</v>
      </c>
      <c r="C7290" t="s">
        <v>1156</v>
      </c>
    </row>
    <row r="7291" spans="2:3" x14ac:dyDescent="0.35">
      <c r="B7291" t="s">
        <v>1121</v>
      </c>
      <c r="C7291" t="s">
        <v>1122</v>
      </c>
    </row>
    <row r="7292" spans="2:3" x14ac:dyDescent="0.35">
      <c r="B7292" t="s">
        <v>804</v>
      </c>
      <c r="C7292" t="s">
        <v>805</v>
      </c>
    </row>
    <row r="7293" spans="2:3" x14ac:dyDescent="0.35">
      <c r="B7293" t="s">
        <v>1121</v>
      </c>
      <c r="C7293" t="s">
        <v>1122</v>
      </c>
    </row>
    <row r="7294" spans="2:3" x14ac:dyDescent="0.35">
      <c r="B7294" t="s">
        <v>1172</v>
      </c>
      <c r="C7294" t="s">
        <v>1173</v>
      </c>
    </row>
    <row r="7295" spans="2:3" x14ac:dyDescent="0.35">
      <c r="B7295" t="s">
        <v>1137</v>
      </c>
      <c r="C7295" t="s">
        <v>1138</v>
      </c>
    </row>
    <row r="7296" spans="2:3" x14ac:dyDescent="0.35">
      <c r="B7296" t="s">
        <v>787</v>
      </c>
      <c r="C7296" t="s">
        <v>788</v>
      </c>
    </row>
    <row r="7297" spans="2:3" x14ac:dyDescent="0.35">
      <c r="B7297" t="s">
        <v>787</v>
      </c>
      <c r="C7297" t="s">
        <v>788</v>
      </c>
    </row>
    <row r="7298" spans="2:3" x14ac:dyDescent="0.35">
      <c r="B7298" t="s">
        <v>1098</v>
      </c>
      <c r="C7298" t="s">
        <v>1099</v>
      </c>
    </row>
    <row r="7299" spans="2:3" x14ac:dyDescent="0.35">
      <c r="B7299" t="s">
        <v>1121</v>
      </c>
      <c r="C7299" t="s">
        <v>1122</v>
      </c>
    </row>
    <row r="7300" spans="2:3" x14ac:dyDescent="0.35">
      <c r="B7300" t="s">
        <v>1098</v>
      </c>
      <c r="C7300" t="s">
        <v>1099</v>
      </c>
    </row>
    <row r="7301" spans="2:3" x14ac:dyDescent="0.35">
      <c r="B7301" t="s">
        <v>1137</v>
      </c>
      <c r="C7301" t="s">
        <v>1138</v>
      </c>
    </row>
    <row r="7302" spans="2:3" x14ac:dyDescent="0.35">
      <c r="B7302" t="s">
        <v>1098</v>
      </c>
      <c r="C7302" t="s">
        <v>1099</v>
      </c>
    </row>
    <row r="7303" spans="2:3" x14ac:dyDescent="0.35">
      <c r="B7303" t="s">
        <v>787</v>
      </c>
      <c r="C7303" t="s">
        <v>788</v>
      </c>
    </row>
    <row r="7304" spans="2:3" x14ac:dyDescent="0.35">
      <c r="B7304" t="s">
        <v>1191</v>
      </c>
      <c r="C7304" t="s">
        <v>1192</v>
      </c>
    </row>
    <row r="7305" spans="2:3" x14ac:dyDescent="0.35">
      <c r="B7305" t="s">
        <v>874</v>
      </c>
      <c r="C7305" t="s">
        <v>875</v>
      </c>
    </row>
    <row r="7306" spans="2:3" x14ac:dyDescent="0.35">
      <c r="B7306" t="s">
        <v>1098</v>
      </c>
      <c r="C7306" t="s">
        <v>1099</v>
      </c>
    </row>
    <row r="7307" spans="2:3" x14ac:dyDescent="0.35">
      <c r="B7307" t="s">
        <v>1110</v>
      </c>
      <c r="C7307" t="s">
        <v>1111</v>
      </c>
    </row>
    <row r="7308" spans="2:3" x14ac:dyDescent="0.35">
      <c r="B7308" t="s">
        <v>787</v>
      </c>
      <c r="C7308" t="s">
        <v>788</v>
      </c>
    </row>
    <row r="7309" spans="2:3" x14ac:dyDescent="0.35">
      <c r="B7309" t="s">
        <v>787</v>
      </c>
      <c r="C7309" t="s">
        <v>788</v>
      </c>
    </row>
    <row r="7310" spans="2:3" x14ac:dyDescent="0.35">
      <c r="B7310" t="s">
        <v>1098</v>
      </c>
      <c r="C7310" t="s">
        <v>1099</v>
      </c>
    </row>
    <row r="7311" spans="2:3" x14ac:dyDescent="0.35">
      <c r="B7311" t="s">
        <v>804</v>
      </c>
      <c r="C7311" t="s">
        <v>805</v>
      </c>
    </row>
    <row r="7312" spans="2:3" x14ac:dyDescent="0.35">
      <c r="B7312" t="s">
        <v>787</v>
      </c>
      <c r="C7312" t="s">
        <v>788</v>
      </c>
    </row>
    <row r="7313" spans="2:3" x14ac:dyDescent="0.35">
      <c r="B7313" t="s">
        <v>1121</v>
      </c>
      <c r="C7313" t="s">
        <v>1122</v>
      </c>
    </row>
    <row r="7314" spans="2:3" x14ac:dyDescent="0.35">
      <c r="B7314" t="s">
        <v>1061</v>
      </c>
      <c r="C7314" t="s">
        <v>1062</v>
      </c>
    </row>
    <row r="7315" spans="2:3" x14ac:dyDescent="0.35">
      <c r="B7315" t="s">
        <v>1137</v>
      </c>
      <c r="C7315" t="s">
        <v>1138</v>
      </c>
    </row>
    <row r="7316" spans="2:3" x14ac:dyDescent="0.35">
      <c r="B7316" t="s">
        <v>1121</v>
      </c>
      <c r="C7316" t="s">
        <v>1122</v>
      </c>
    </row>
    <row r="7317" spans="2:3" x14ac:dyDescent="0.35">
      <c r="B7317" t="s">
        <v>1121</v>
      </c>
      <c r="C7317" t="s">
        <v>1122</v>
      </c>
    </row>
    <row r="7318" spans="2:3" x14ac:dyDescent="0.35">
      <c r="B7318" t="s">
        <v>1137</v>
      </c>
      <c r="C7318" t="s">
        <v>1138</v>
      </c>
    </row>
    <row r="7319" spans="2:3" x14ac:dyDescent="0.35">
      <c r="B7319" t="s">
        <v>1137</v>
      </c>
      <c r="C7319" t="s">
        <v>1138</v>
      </c>
    </row>
    <row r="7320" spans="2:3" x14ac:dyDescent="0.35">
      <c r="B7320" t="s">
        <v>1191</v>
      </c>
      <c r="C7320" t="s">
        <v>1192</v>
      </c>
    </row>
    <row r="7321" spans="2:3" x14ac:dyDescent="0.35">
      <c r="B7321" t="s">
        <v>787</v>
      </c>
      <c r="C7321" t="s">
        <v>788</v>
      </c>
    </row>
    <row r="7322" spans="2:3" x14ac:dyDescent="0.35">
      <c r="B7322" t="s">
        <v>1121</v>
      </c>
      <c r="C7322" t="s">
        <v>1122</v>
      </c>
    </row>
    <row r="7323" spans="2:3" x14ac:dyDescent="0.35">
      <c r="B7323" t="s">
        <v>1172</v>
      </c>
      <c r="C7323" t="s">
        <v>1173</v>
      </c>
    </row>
    <row r="7324" spans="2:3" x14ac:dyDescent="0.35">
      <c r="B7324" t="s">
        <v>787</v>
      </c>
      <c r="C7324" t="s">
        <v>788</v>
      </c>
    </row>
    <row r="7325" spans="2:3" x14ac:dyDescent="0.35">
      <c r="B7325" t="s">
        <v>1155</v>
      </c>
      <c r="C7325" t="s">
        <v>1156</v>
      </c>
    </row>
    <row r="7326" spans="2:3" x14ac:dyDescent="0.35">
      <c r="B7326" t="s">
        <v>1121</v>
      </c>
      <c r="C7326" t="s">
        <v>1122</v>
      </c>
    </row>
    <row r="7327" spans="2:3" x14ac:dyDescent="0.35">
      <c r="B7327" t="s">
        <v>1195</v>
      </c>
      <c r="C7327" t="s">
        <v>1195</v>
      </c>
    </row>
    <row r="7328" spans="2:3" x14ac:dyDescent="0.35">
      <c r="B7328" t="s">
        <v>787</v>
      </c>
      <c r="C7328" t="s">
        <v>788</v>
      </c>
    </row>
    <row r="7329" spans="2:3" x14ac:dyDescent="0.35">
      <c r="B7329" t="s">
        <v>787</v>
      </c>
      <c r="C7329" t="s">
        <v>788</v>
      </c>
    </row>
    <row r="7330" spans="2:3" x14ac:dyDescent="0.35">
      <c r="B7330" t="s">
        <v>1155</v>
      </c>
      <c r="C7330" t="s">
        <v>1156</v>
      </c>
    </row>
    <row r="7331" spans="2:3" x14ac:dyDescent="0.35">
      <c r="B7331" t="s">
        <v>787</v>
      </c>
      <c r="C7331" t="s">
        <v>788</v>
      </c>
    </row>
    <row r="7332" spans="2:3" x14ac:dyDescent="0.35">
      <c r="B7332" t="s">
        <v>1172</v>
      </c>
      <c r="C7332" t="s">
        <v>1173</v>
      </c>
    </row>
    <row r="7333" spans="2:3" x14ac:dyDescent="0.35">
      <c r="B7333" t="s">
        <v>1195</v>
      </c>
      <c r="C7333" t="s">
        <v>1195</v>
      </c>
    </row>
    <row r="7334" spans="2:3" x14ac:dyDescent="0.35">
      <c r="B7334" t="s">
        <v>1121</v>
      </c>
      <c r="C7334" t="s">
        <v>1122</v>
      </c>
    </row>
    <row r="7335" spans="2:3" x14ac:dyDescent="0.35">
      <c r="B7335" t="s">
        <v>787</v>
      </c>
      <c r="C7335" t="s">
        <v>788</v>
      </c>
    </row>
    <row r="7336" spans="2:3" x14ac:dyDescent="0.35">
      <c r="B7336" t="s">
        <v>804</v>
      </c>
      <c r="C7336" t="s">
        <v>805</v>
      </c>
    </row>
    <row r="7337" spans="2:3" x14ac:dyDescent="0.35">
      <c r="B7337" t="s">
        <v>1147</v>
      </c>
      <c r="C7337" t="s">
        <v>1148</v>
      </c>
    </row>
    <row r="7338" spans="2:3" x14ac:dyDescent="0.35">
      <c r="B7338" t="s">
        <v>802</v>
      </c>
      <c r="C7338" t="s">
        <v>803</v>
      </c>
    </row>
    <row r="7339" spans="2:3" x14ac:dyDescent="0.35">
      <c r="B7339" t="s">
        <v>1155</v>
      </c>
      <c r="C7339" t="s">
        <v>1156</v>
      </c>
    </row>
    <row r="7340" spans="2:3" x14ac:dyDescent="0.35">
      <c r="B7340" t="s">
        <v>1137</v>
      </c>
      <c r="C7340" t="s">
        <v>1138</v>
      </c>
    </row>
    <row r="7341" spans="2:3" x14ac:dyDescent="0.35">
      <c r="B7341" t="s">
        <v>787</v>
      </c>
      <c r="C7341" t="s">
        <v>788</v>
      </c>
    </row>
    <row r="7342" spans="2:3" x14ac:dyDescent="0.35">
      <c r="B7342" t="s">
        <v>1110</v>
      </c>
      <c r="C7342" t="s">
        <v>1111</v>
      </c>
    </row>
    <row r="7343" spans="2:3" x14ac:dyDescent="0.35">
      <c r="B7343" t="s">
        <v>1137</v>
      </c>
      <c r="C7343" t="s">
        <v>1138</v>
      </c>
    </row>
    <row r="7344" spans="2:3" x14ac:dyDescent="0.35">
      <c r="B7344" t="s">
        <v>154</v>
      </c>
      <c r="C7344" t="s">
        <v>155</v>
      </c>
    </row>
    <row r="7345" spans="2:3" x14ac:dyDescent="0.35">
      <c r="B7345" t="s">
        <v>1191</v>
      </c>
      <c r="C7345" t="s">
        <v>1192</v>
      </c>
    </row>
    <row r="7346" spans="2:3" x14ac:dyDescent="0.35">
      <c r="B7346" t="s">
        <v>154</v>
      </c>
      <c r="C7346" t="s">
        <v>155</v>
      </c>
    </row>
    <row r="7347" spans="2:3" x14ac:dyDescent="0.35">
      <c r="B7347" t="s">
        <v>1137</v>
      </c>
      <c r="C7347" t="s">
        <v>1138</v>
      </c>
    </row>
    <row r="7348" spans="2:3" x14ac:dyDescent="0.35">
      <c r="B7348" t="s">
        <v>1191</v>
      </c>
      <c r="C7348" t="s">
        <v>1192</v>
      </c>
    </row>
    <row r="7349" spans="2:3" x14ac:dyDescent="0.35">
      <c r="B7349" t="s">
        <v>787</v>
      </c>
      <c r="C7349" t="s">
        <v>788</v>
      </c>
    </row>
    <row r="7350" spans="2:3" x14ac:dyDescent="0.35">
      <c r="B7350" t="s">
        <v>1147</v>
      </c>
      <c r="C7350" t="s">
        <v>1148</v>
      </c>
    </row>
    <row r="7351" spans="2:3" x14ac:dyDescent="0.35">
      <c r="B7351" t="s">
        <v>1110</v>
      </c>
      <c r="C7351" t="s">
        <v>1111</v>
      </c>
    </row>
    <row r="7352" spans="2:3" x14ac:dyDescent="0.35">
      <c r="B7352" t="s">
        <v>804</v>
      </c>
      <c r="C7352" t="s">
        <v>805</v>
      </c>
    </row>
    <row r="7353" spans="2:3" x14ac:dyDescent="0.35">
      <c r="B7353" t="s">
        <v>787</v>
      </c>
      <c r="C7353" t="s">
        <v>788</v>
      </c>
    </row>
    <row r="7354" spans="2:3" x14ac:dyDescent="0.35">
      <c r="B7354" t="s">
        <v>1137</v>
      </c>
      <c r="C7354" t="s">
        <v>1138</v>
      </c>
    </row>
    <row r="7355" spans="2:3" x14ac:dyDescent="0.35">
      <c r="B7355" t="s">
        <v>1098</v>
      </c>
      <c r="C7355" t="s">
        <v>1099</v>
      </c>
    </row>
    <row r="7356" spans="2:3" x14ac:dyDescent="0.35">
      <c r="B7356" t="s">
        <v>804</v>
      </c>
      <c r="C7356" t="s">
        <v>805</v>
      </c>
    </row>
    <row r="7357" spans="2:3" x14ac:dyDescent="0.35">
      <c r="B7357" t="s">
        <v>1110</v>
      </c>
      <c r="C7357" t="s">
        <v>1111</v>
      </c>
    </row>
    <row r="7358" spans="2:3" x14ac:dyDescent="0.35">
      <c r="B7358" t="s">
        <v>1061</v>
      </c>
      <c r="C7358" t="s">
        <v>1062</v>
      </c>
    </row>
    <row r="7359" spans="2:3" x14ac:dyDescent="0.35">
      <c r="B7359" t="s">
        <v>1061</v>
      </c>
      <c r="C7359" t="s">
        <v>1062</v>
      </c>
    </row>
    <row r="7360" spans="2:3" x14ac:dyDescent="0.35">
      <c r="B7360" t="s">
        <v>1137</v>
      </c>
      <c r="C7360" t="s">
        <v>1138</v>
      </c>
    </row>
    <row r="7361" spans="2:3" x14ac:dyDescent="0.35">
      <c r="B7361" t="s">
        <v>1110</v>
      </c>
      <c r="C7361" t="s">
        <v>1111</v>
      </c>
    </row>
    <row r="7362" spans="2:3" x14ac:dyDescent="0.35">
      <c r="B7362" t="s">
        <v>1098</v>
      </c>
      <c r="C7362" t="s">
        <v>1099</v>
      </c>
    </row>
    <row r="7363" spans="2:3" x14ac:dyDescent="0.35">
      <c r="B7363" t="s">
        <v>1155</v>
      </c>
      <c r="C7363" t="s">
        <v>1156</v>
      </c>
    </row>
    <row r="7364" spans="2:3" x14ac:dyDescent="0.35">
      <c r="B7364" t="s">
        <v>1098</v>
      </c>
      <c r="C7364" t="s">
        <v>1099</v>
      </c>
    </row>
    <row r="7365" spans="2:3" x14ac:dyDescent="0.35">
      <c r="B7365" t="s">
        <v>1098</v>
      </c>
      <c r="C7365" t="s">
        <v>1099</v>
      </c>
    </row>
    <row r="7366" spans="2:3" x14ac:dyDescent="0.35">
      <c r="B7366" t="s">
        <v>1110</v>
      </c>
      <c r="C7366" t="s">
        <v>1111</v>
      </c>
    </row>
    <row r="7367" spans="2:3" x14ac:dyDescent="0.35">
      <c r="B7367" t="s">
        <v>1172</v>
      </c>
      <c r="C7367" t="s">
        <v>1173</v>
      </c>
    </row>
    <row r="7368" spans="2:3" x14ac:dyDescent="0.35">
      <c r="B7368" t="s">
        <v>1195</v>
      </c>
      <c r="C7368" t="s">
        <v>1195</v>
      </c>
    </row>
    <row r="7369" spans="2:3" x14ac:dyDescent="0.35">
      <c r="B7369" t="s">
        <v>1147</v>
      </c>
      <c r="C7369" t="s">
        <v>1148</v>
      </c>
    </row>
    <row r="7370" spans="2:3" x14ac:dyDescent="0.35">
      <c r="B7370" t="s">
        <v>787</v>
      </c>
      <c r="C7370" t="s">
        <v>788</v>
      </c>
    </row>
    <row r="7371" spans="2:3" x14ac:dyDescent="0.35">
      <c r="B7371" t="s">
        <v>451</v>
      </c>
      <c r="C7371" t="s">
        <v>452</v>
      </c>
    </row>
    <row r="7372" spans="2:3" x14ac:dyDescent="0.35">
      <c r="B7372" t="s">
        <v>1098</v>
      </c>
      <c r="C7372" t="s">
        <v>1099</v>
      </c>
    </row>
    <row r="7373" spans="2:3" x14ac:dyDescent="0.35">
      <c r="B7373" t="s">
        <v>1172</v>
      </c>
      <c r="C7373" t="s">
        <v>1173</v>
      </c>
    </row>
    <row r="7374" spans="2:3" x14ac:dyDescent="0.35">
      <c r="B7374" t="s">
        <v>1147</v>
      </c>
      <c r="C7374" t="s">
        <v>1148</v>
      </c>
    </row>
    <row r="7375" spans="2:3" x14ac:dyDescent="0.35">
      <c r="B7375" t="s">
        <v>1110</v>
      </c>
      <c r="C7375" t="s">
        <v>1111</v>
      </c>
    </row>
    <row r="7376" spans="2:3" x14ac:dyDescent="0.35">
      <c r="B7376" t="s">
        <v>1098</v>
      </c>
      <c r="C7376" t="s">
        <v>1099</v>
      </c>
    </row>
    <row r="7377" spans="2:3" x14ac:dyDescent="0.35">
      <c r="B7377" t="s">
        <v>1191</v>
      </c>
      <c r="C7377" t="s">
        <v>1192</v>
      </c>
    </row>
    <row r="7378" spans="2:3" x14ac:dyDescent="0.35">
      <c r="B7378" t="s">
        <v>1172</v>
      </c>
      <c r="C7378" t="s">
        <v>1173</v>
      </c>
    </row>
    <row r="7379" spans="2:3" x14ac:dyDescent="0.35">
      <c r="B7379" t="s">
        <v>787</v>
      </c>
      <c r="C7379" t="s">
        <v>788</v>
      </c>
    </row>
    <row r="7380" spans="2:3" x14ac:dyDescent="0.35">
      <c r="B7380" t="s">
        <v>1121</v>
      </c>
      <c r="C7380" t="s">
        <v>1122</v>
      </c>
    </row>
    <row r="7381" spans="2:3" x14ac:dyDescent="0.35">
      <c r="B7381" t="s">
        <v>648</v>
      </c>
      <c r="C7381" t="s">
        <v>649</v>
      </c>
    </row>
    <row r="7382" spans="2:3" x14ac:dyDescent="0.35">
      <c r="B7382" t="s">
        <v>1172</v>
      </c>
      <c r="C7382" t="s">
        <v>1173</v>
      </c>
    </row>
    <row r="7383" spans="2:3" x14ac:dyDescent="0.35">
      <c r="B7383" t="s">
        <v>1155</v>
      </c>
      <c r="C7383" t="s">
        <v>1156</v>
      </c>
    </row>
    <row r="7384" spans="2:3" x14ac:dyDescent="0.35">
      <c r="B7384" t="s">
        <v>1110</v>
      </c>
      <c r="C7384" t="s">
        <v>1111</v>
      </c>
    </row>
    <row r="7385" spans="2:3" x14ac:dyDescent="0.35">
      <c r="B7385" t="s">
        <v>787</v>
      </c>
      <c r="C7385" t="s">
        <v>788</v>
      </c>
    </row>
    <row r="7386" spans="2:3" x14ac:dyDescent="0.35">
      <c r="B7386" t="s">
        <v>1155</v>
      </c>
      <c r="C7386" t="s">
        <v>1156</v>
      </c>
    </row>
    <row r="7387" spans="2:3" x14ac:dyDescent="0.35">
      <c r="B7387" t="s">
        <v>1098</v>
      </c>
      <c r="C7387" t="s">
        <v>1099</v>
      </c>
    </row>
    <row r="7388" spans="2:3" x14ac:dyDescent="0.35">
      <c r="B7388" t="s">
        <v>804</v>
      </c>
      <c r="C7388" t="s">
        <v>805</v>
      </c>
    </row>
    <row r="7389" spans="2:3" x14ac:dyDescent="0.35">
      <c r="B7389" t="s">
        <v>1110</v>
      </c>
      <c r="C7389" t="s">
        <v>1111</v>
      </c>
    </row>
    <row r="7390" spans="2:3" x14ac:dyDescent="0.35">
      <c r="B7390" t="s">
        <v>1061</v>
      </c>
      <c r="C7390" t="s">
        <v>1062</v>
      </c>
    </row>
    <row r="7391" spans="2:3" x14ac:dyDescent="0.35">
      <c r="B7391" t="s">
        <v>1121</v>
      </c>
      <c r="C7391" t="s">
        <v>1122</v>
      </c>
    </row>
    <row r="7392" spans="2:3" x14ac:dyDescent="0.35">
      <c r="B7392" t="s">
        <v>1110</v>
      </c>
      <c r="C7392" t="s">
        <v>1111</v>
      </c>
    </row>
    <row r="7393" spans="2:3" x14ac:dyDescent="0.35">
      <c r="B7393" t="s">
        <v>1098</v>
      </c>
      <c r="C7393" t="s">
        <v>1099</v>
      </c>
    </row>
    <row r="7394" spans="2:3" x14ac:dyDescent="0.35">
      <c r="B7394" t="s">
        <v>1098</v>
      </c>
      <c r="C7394" t="s">
        <v>1099</v>
      </c>
    </row>
    <row r="7395" spans="2:3" x14ac:dyDescent="0.35">
      <c r="B7395" t="s">
        <v>1137</v>
      </c>
      <c r="C7395" t="s">
        <v>1138</v>
      </c>
    </row>
    <row r="7396" spans="2:3" x14ac:dyDescent="0.35">
      <c r="B7396" t="s">
        <v>1137</v>
      </c>
      <c r="C7396" t="s">
        <v>1138</v>
      </c>
    </row>
    <row r="7397" spans="2:3" x14ac:dyDescent="0.35">
      <c r="B7397" t="s">
        <v>1121</v>
      </c>
      <c r="C7397" t="s">
        <v>1122</v>
      </c>
    </row>
    <row r="7398" spans="2:3" x14ac:dyDescent="0.35">
      <c r="B7398" t="s">
        <v>1110</v>
      </c>
      <c r="C7398" t="s">
        <v>1111</v>
      </c>
    </row>
    <row r="7399" spans="2:3" x14ac:dyDescent="0.35">
      <c r="B7399" t="s">
        <v>467</v>
      </c>
      <c r="C7399" t="s">
        <v>468</v>
      </c>
    </row>
    <row r="7400" spans="2:3" x14ac:dyDescent="0.35">
      <c r="B7400" t="s">
        <v>1098</v>
      </c>
      <c r="C7400" t="s">
        <v>1099</v>
      </c>
    </row>
    <row r="7401" spans="2:3" x14ac:dyDescent="0.35">
      <c r="B7401" t="s">
        <v>1121</v>
      </c>
      <c r="C7401" t="s">
        <v>1122</v>
      </c>
    </row>
    <row r="7402" spans="2:3" x14ac:dyDescent="0.35">
      <c r="B7402" t="s">
        <v>1155</v>
      </c>
      <c r="C7402" t="s">
        <v>1156</v>
      </c>
    </row>
    <row r="7403" spans="2:3" x14ac:dyDescent="0.35">
      <c r="B7403" t="s">
        <v>1172</v>
      </c>
      <c r="C7403" t="s">
        <v>1173</v>
      </c>
    </row>
    <row r="7404" spans="2:3" x14ac:dyDescent="0.35">
      <c r="B7404" t="s">
        <v>787</v>
      </c>
      <c r="C7404" t="s">
        <v>788</v>
      </c>
    </row>
    <row r="7405" spans="2:3" x14ac:dyDescent="0.35">
      <c r="B7405" t="s">
        <v>1155</v>
      </c>
      <c r="C7405" t="s">
        <v>1156</v>
      </c>
    </row>
    <row r="7406" spans="2:3" x14ac:dyDescent="0.35">
      <c r="B7406" t="s">
        <v>787</v>
      </c>
      <c r="C7406" t="s">
        <v>788</v>
      </c>
    </row>
    <row r="7407" spans="2:3" x14ac:dyDescent="0.35">
      <c r="B7407" t="s">
        <v>1098</v>
      </c>
      <c r="C7407" t="s">
        <v>1099</v>
      </c>
    </row>
    <row r="7408" spans="2:3" x14ac:dyDescent="0.35">
      <c r="B7408" t="s">
        <v>1110</v>
      </c>
      <c r="C7408" t="s">
        <v>1111</v>
      </c>
    </row>
    <row r="7409" spans="2:3" x14ac:dyDescent="0.35">
      <c r="B7409" t="s">
        <v>787</v>
      </c>
      <c r="C7409" t="s">
        <v>788</v>
      </c>
    </row>
    <row r="7410" spans="2:3" x14ac:dyDescent="0.35">
      <c r="B7410" t="s">
        <v>787</v>
      </c>
      <c r="C7410" t="s">
        <v>788</v>
      </c>
    </row>
    <row r="7411" spans="2:3" x14ac:dyDescent="0.35">
      <c r="B7411" t="s">
        <v>1195</v>
      </c>
      <c r="C7411" t="s">
        <v>1195</v>
      </c>
    </row>
    <row r="7412" spans="2:3" x14ac:dyDescent="0.35">
      <c r="B7412" t="s">
        <v>1110</v>
      </c>
      <c r="C7412" t="s">
        <v>1111</v>
      </c>
    </row>
    <row r="7413" spans="2:3" x14ac:dyDescent="0.35">
      <c r="B7413" t="s">
        <v>1137</v>
      </c>
      <c r="C7413" t="s">
        <v>1138</v>
      </c>
    </row>
    <row r="7414" spans="2:3" x14ac:dyDescent="0.35">
      <c r="B7414" t="s">
        <v>1121</v>
      </c>
      <c r="C7414" t="s">
        <v>1122</v>
      </c>
    </row>
    <row r="7415" spans="2:3" x14ac:dyDescent="0.35">
      <c r="B7415" t="s">
        <v>1155</v>
      </c>
      <c r="C7415" t="s">
        <v>1156</v>
      </c>
    </row>
    <row r="7416" spans="2:3" x14ac:dyDescent="0.35">
      <c r="B7416" t="s">
        <v>1121</v>
      </c>
      <c r="C7416" t="s">
        <v>1122</v>
      </c>
    </row>
    <row r="7417" spans="2:3" x14ac:dyDescent="0.35">
      <c r="B7417" t="s">
        <v>787</v>
      </c>
      <c r="C7417" t="s">
        <v>788</v>
      </c>
    </row>
    <row r="7418" spans="2:3" x14ac:dyDescent="0.35">
      <c r="B7418" t="s">
        <v>1155</v>
      </c>
      <c r="C7418" t="s">
        <v>1156</v>
      </c>
    </row>
    <row r="7419" spans="2:3" x14ac:dyDescent="0.35">
      <c r="B7419" t="s">
        <v>1121</v>
      </c>
      <c r="C7419" t="s">
        <v>1122</v>
      </c>
    </row>
    <row r="7420" spans="2:3" x14ac:dyDescent="0.35">
      <c r="B7420" t="s">
        <v>1155</v>
      </c>
      <c r="C7420" t="s">
        <v>1156</v>
      </c>
    </row>
    <row r="7421" spans="2:3" x14ac:dyDescent="0.35">
      <c r="B7421" t="s">
        <v>787</v>
      </c>
      <c r="C7421" t="s">
        <v>788</v>
      </c>
    </row>
    <row r="7422" spans="2:3" x14ac:dyDescent="0.35">
      <c r="B7422" t="s">
        <v>787</v>
      </c>
      <c r="C7422" t="s">
        <v>788</v>
      </c>
    </row>
    <row r="7423" spans="2:3" x14ac:dyDescent="0.35">
      <c r="B7423" t="s">
        <v>1110</v>
      </c>
      <c r="C7423" t="s">
        <v>1111</v>
      </c>
    </row>
    <row r="7424" spans="2:3" x14ac:dyDescent="0.35">
      <c r="B7424" t="s">
        <v>1110</v>
      </c>
      <c r="C7424" t="s">
        <v>1111</v>
      </c>
    </row>
    <row r="7425" spans="2:3" x14ac:dyDescent="0.35">
      <c r="B7425" t="s">
        <v>1121</v>
      </c>
      <c r="C7425" t="s">
        <v>1122</v>
      </c>
    </row>
    <row r="7426" spans="2:3" x14ac:dyDescent="0.35">
      <c r="B7426" t="s">
        <v>787</v>
      </c>
      <c r="C7426" t="s">
        <v>788</v>
      </c>
    </row>
    <row r="7427" spans="2:3" x14ac:dyDescent="0.35">
      <c r="B7427" t="s">
        <v>700</v>
      </c>
      <c r="C7427" t="s">
        <v>701</v>
      </c>
    </row>
    <row r="7428" spans="2:3" x14ac:dyDescent="0.35">
      <c r="B7428" t="s">
        <v>874</v>
      </c>
      <c r="C7428" t="s">
        <v>875</v>
      </c>
    </row>
    <row r="7429" spans="2:3" x14ac:dyDescent="0.35">
      <c r="B7429" t="s">
        <v>1155</v>
      </c>
      <c r="C7429" t="s">
        <v>1156</v>
      </c>
    </row>
    <row r="7430" spans="2:3" x14ac:dyDescent="0.35">
      <c r="B7430" t="s">
        <v>802</v>
      </c>
      <c r="C7430" t="s">
        <v>803</v>
      </c>
    </row>
    <row r="7431" spans="2:3" x14ac:dyDescent="0.35">
      <c r="B7431" t="s">
        <v>154</v>
      </c>
      <c r="C7431" t="s">
        <v>155</v>
      </c>
    </row>
    <row r="7432" spans="2:3" x14ac:dyDescent="0.35">
      <c r="B7432" t="s">
        <v>1110</v>
      </c>
      <c r="C7432" t="s">
        <v>1111</v>
      </c>
    </row>
    <row r="7433" spans="2:3" x14ac:dyDescent="0.35">
      <c r="B7433" t="s">
        <v>787</v>
      </c>
      <c r="C7433" t="s">
        <v>788</v>
      </c>
    </row>
    <row r="7434" spans="2:3" x14ac:dyDescent="0.35">
      <c r="B7434" t="s">
        <v>1137</v>
      </c>
      <c r="C7434" t="s">
        <v>1138</v>
      </c>
    </row>
    <row r="7435" spans="2:3" x14ac:dyDescent="0.35">
      <c r="B7435" t="s">
        <v>1155</v>
      </c>
      <c r="C7435" t="s">
        <v>1156</v>
      </c>
    </row>
    <row r="7436" spans="2:3" x14ac:dyDescent="0.35">
      <c r="B7436" t="s">
        <v>787</v>
      </c>
      <c r="C7436" t="s">
        <v>788</v>
      </c>
    </row>
    <row r="7437" spans="2:3" x14ac:dyDescent="0.35">
      <c r="B7437" t="s">
        <v>1110</v>
      </c>
      <c r="C7437" t="s">
        <v>1111</v>
      </c>
    </row>
    <row r="7438" spans="2:3" x14ac:dyDescent="0.35">
      <c r="B7438" t="s">
        <v>1137</v>
      </c>
      <c r="C7438" t="s">
        <v>1138</v>
      </c>
    </row>
    <row r="7439" spans="2:3" x14ac:dyDescent="0.35">
      <c r="B7439" t="s">
        <v>1195</v>
      </c>
      <c r="C7439" t="s">
        <v>1195</v>
      </c>
    </row>
    <row r="7440" spans="2:3" x14ac:dyDescent="0.35">
      <c r="B7440" t="s">
        <v>1102</v>
      </c>
      <c r="C7440" t="s">
        <v>1103</v>
      </c>
    </row>
    <row r="7441" spans="2:3" x14ac:dyDescent="0.35">
      <c r="B7441" t="s">
        <v>1098</v>
      </c>
      <c r="C7441" t="s">
        <v>1099</v>
      </c>
    </row>
    <row r="7442" spans="2:3" x14ac:dyDescent="0.35">
      <c r="B7442" t="s">
        <v>1155</v>
      </c>
      <c r="C7442" t="s">
        <v>1156</v>
      </c>
    </row>
    <row r="7443" spans="2:3" x14ac:dyDescent="0.35">
      <c r="B7443" t="s">
        <v>445</v>
      </c>
      <c r="C7443" t="s">
        <v>446</v>
      </c>
    </row>
    <row r="7444" spans="2:3" x14ac:dyDescent="0.35">
      <c r="B7444" t="s">
        <v>1121</v>
      </c>
      <c r="C7444" t="s">
        <v>1122</v>
      </c>
    </row>
    <row r="7445" spans="2:3" x14ac:dyDescent="0.35">
      <c r="B7445" t="s">
        <v>802</v>
      </c>
      <c r="C7445" t="s">
        <v>803</v>
      </c>
    </row>
    <row r="7446" spans="2:3" x14ac:dyDescent="0.35">
      <c r="B7446" t="s">
        <v>804</v>
      </c>
      <c r="C7446" t="s">
        <v>805</v>
      </c>
    </row>
    <row r="7447" spans="2:3" x14ac:dyDescent="0.35">
      <c r="B7447" t="s">
        <v>787</v>
      </c>
      <c r="C7447" t="s">
        <v>788</v>
      </c>
    </row>
    <row r="7448" spans="2:3" x14ac:dyDescent="0.35">
      <c r="B7448" t="s">
        <v>1098</v>
      </c>
      <c r="C7448" t="s">
        <v>1099</v>
      </c>
    </row>
    <row r="7449" spans="2:3" x14ac:dyDescent="0.35">
      <c r="B7449" t="s">
        <v>1137</v>
      </c>
      <c r="C7449" t="s">
        <v>1138</v>
      </c>
    </row>
    <row r="7450" spans="2:3" x14ac:dyDescent="0.35">
      <c r="B7450" t="s">
        <v>1195</v>
      </c>
      <c r="C7450" t="s">
        <v>1195</v>
      </c>
    </row>
    <row r="7451" spans="2:3" x14ac:dyDescent="0.35">
      <c r="B7451" t="s">
        <v>1098</v>
      </c>
      <c r="C7451" t="s">
        <v>1099</v>
      </c>
    </row>
    <row r="7452" spans="2:3" x14ac:dyDescent="0.35">
      <c r="B7452" t="s">
        <v>1168</v>
      </c>
      <c r="C7452" t="s">
        <v>1169</v>
      </c>
    </row>
    <row r="7453" spans="2:3" x14ac:dyDescent="0.35">
      <c r="B7453" t="s">
        <v>1155</v>
      </c>
      <c r="C7453" t="s">
        <v>1156</v>
      </c>
    </row>
    <row r="7454" spans="2:3" x14ac:dyDescent="0.35">
      <c r="B7454" t="s">
        <v>1147</v>
      </c>
      <c r="C7454" t="s">
        <v>1148</v>
      </c>
    </row>
    <row r="7455" spans="2:3" x14ac:dyDescent="0.35">
      <c r="B7455" t="s">
        <v>353</v>
      </c>
      <c r="C7455" t="s">
        <v>354</v>
      </c>
    </row>
    <row r="7456" spans="2:3" x14ac:dyDescent="0.35">
      <c r="B7456" t="s">
        <v>787</v>
      </c>
      <c r="C7456" t="s">
        <v>788</v>
      </c>
    </row>
    <row r="7457" spans="2:3" x14ac:dyDescent="0.35">
      <c r="B7457" t="s">
        <v>1155</v>
      </c>
      <c r="C7457" t="s">
        <v>1156</v>
      </c>
    </row>
    <row r="7458" spans="2:3" x14ac:dyDescent="0.35">
      <c r="B7458" t="s">
        <v>804</v>
      </c>
      <c r="C7458" t="s">
        <v>805</v>
      </c>
    </row>
    <row r="7459" spans="2:3" x14ac:dyDescent="0.35">
      <c r="B7459" t="s">
        <v>1098</v>
      </c>
      <c r="C7459" t="s">
        <v>1099</v>
      </c>
    </row>
    <row r="7460" spans="2:3" x14ac:dyDescent="0.35">
      <c r="B7460" t="s">
        <v>1110</v>
      </c>
      <c r="C7460" t="s">
        <v>1111</v>
      </c>
    </row>
    <row r="7461" spans="2:3" x14ac:dyDescent="0.35">
      <c r="B7461" t="s">
        <v>1137</v>
      </c>
      <c r="C7461" t="s">
        <v>1138</v>
      </c>
    </row>
    <row r="7462" spans="2:3" x14ac:dyDescent="0.35">
      <c r="B7462" t="s">
        <v>787</v>
      </c>
      <c r="C7462" t="s">
        <v>788</v>
      </c>
    </row>
    <row r="7463" spans="2:3" x14ac:dyDescent="0.35">
      <c r="B7463" t="s">
        <v>1121</v>
      </c>
      <c r="C7463" t="s">
        <v>1122</v>
      </c>
    </row>
    <row r="7464" spans="2:3" x14ac:dyDescent="0.35">
      <c r="B7464" t="s">
        <v>1121</v>
      </c>
      <c r="C7464" t="s">
        <v>1122</v>
      </c>
    </row>
    <row r="7465" spans="2:3" x14ac:dyDescent="0.35">
      <c r="B7465" t="s">
        <v>787</v>
      </c>
      <c r="C7465" t="s">
        <v>788</v>
      </c>
    </row>
    <row r="7466" spans="2:3" x14ac:dyDescent="0.35">
      <c r="B7466" t="s">
        <v>1110</v>
      </c>
      <c r="C7466" t="s">
        <v>1111</v>
      </c>
    </row>
    <row r="7467" spans="2:3" x14ac:dyDescent="0.35">
      <c r="B7467" t="s">
        <v>1155</v>
      </c>
      <c r="C7467" t="s">
        <v>1156</v>
      </c>
    </row>
    <row r="7468" spans="2:3" x14ac:dyDescent="0.35">
      <c r="B7468" t="s">
        <v>1155</v>
      </c>
      <c r="C7468" t="s">
        <v>1156</v>
      </c>
    </row>
    <row r="7469" spans="2:3" x14ac:dyDescent="0.35">
      <c r="B7469" t="s">
        <v>1147</v>
      </c>
      <c r="C7469" t="s">
        <v>1148</v>
      </c>
    </row>
    <row r="7470" spans="2:3" x14ac:dyDescent="0.35">
      <c r="B7470" t="s">
        <v>1155</v>
      </c>
      <c r="C7470" t="s">
        <v>1156</v>
      </c>
    </row>
    <row r="7471" spans="2:3" x14ac:dyDescent="0.35">
      <c r="B7471" t="s">
        <v>1098</v>
      </c>
      <c r="C7471" t="s">
        <v>1099</v>
      </c>
    </row>
    <row r="7472" spans="2:3" x14ac:dyDescent="0.35">
      <c r="B7472" t="s">
        <v>945</v>
      </c>
      <c r="C7472" t="s">
        <v>946</v>
      </c>
    </row>
    <row r="7473" spans="2:3" x14ac:dyDescent="0.35">
      <c r="B7473" t="s">
        <v>1137</v>
      </c>
      <c r="C7473" t="s">
        <v>1138</v>
      </c>
    </row>
    <row r="7474" spans="2:3" x14ac:dyDescent="0.35">
      <c r="B7474" t="s">
        <v>1137</v>
      </c>
      <c r="C7474" t="s">
        <v>1138</v>
      </c>
    </row>
    <row r="7475" spans="2:3" x14ac:dyDescent="0.35">
      <c r="B7475" t="s">
        <v>1098</v>
      </c>
      <c r="C7475" t="s">
        <v>1099</v>
      </c>
    </row>
    <row r="7476" spans="2:3" x14ac:dyDescent="0.35">
      <c r="B7476" t="s">
        <v>1155</v>
      </c>
      <c r="C7476" t="s">
        <v>1156</v>
      </c>
    </row>
    <row r="7477" spans="2:3" x14ac:dyDescent="0.35">
      <c r="B7477" t="s">
        <v>234</v>
      </c>
      <c r="C7477" t="s">
        <v>235</v>
      </c>
    </row>
    <row r="7478" spans="2:3" x14ac:dyDescent="0.35">
      <c r="B7478" t="s">
        <v>234</v>
      </c>
      <c r="C7478" t="s">
        <v>235</v>
      </c>
    </row>
    <row r="7479" spans="2:3" x14ac:dyDescent="0.35">
      <c r="B7479" t="s">
        <v>471</v>
      </c>
      <c r="C7479" t="s">
        <v>472</v>
      </c>
    </row>
    <row r="7480" spans="2:3" x14ac:dyDescent="0.35">
      <c r="B7480" t="s">
        <v>234</v>
      </c>
      <c r="C7480" t="s">
        <v>235</v>
      </c>
    </row>
    <row r="7481" spans="2:3" x14ac:dyDescent="0.35">
      <c r="B7481" t="s">
        <v>986</v>
      </c>
      <c r="C7481" t="s">
        <v>987</v>
      </c>
    </row>
    <row r="7482" spans="2:3" x14ac:dyDescent="0.35">
      <c r="B7482" t="s">
        <v>471</v>
      </c>
      <c r="C7482" t="s">
        <v>472</v>
      </c>
    </row>
    <row r="7483" spans="2:3" x14ac:dyDescent="0.35">
      <c r="B7483" t="s">
        <v>471</v>
      </c>
      <c r="C7483" t="s">
        <v>472</v>
      </c>
    </row>
    <row r="7484" spans="2:3" x14ac:dyDescent="0.35">
      <c r="B7484" t="s">
        <v>160</v>
      </c>
      <c r="C7484" t="s">
        <v>161</v>
      </c>
    </row>
    <row r="7485" spans="2:3" x14ac:dyDescent="0.35">
      <c r="B7485" t="s">
        <v>471</v>
      </c>
      <c r="C7485" t="s">
        <v>472</v>
      </c>
    </row>
    <row r="7486" spans="2:3" x14ac:dyDescent="0.35">
      <c r="B7486" t="s">
        <v>473</v>
      </c>
      <c r="C7486" t="s">
        <v>474</v>
      </c>
    </row>
    <row r="7487" spans="2:3" x14ac:dyDescent="0.35">
      <c r="B7487" t="s">
        <v>473</v>
      </c>
      <c r="C7487" t="s">
        <v>474</v>
      </c>
    </row>
    <row r="7488" spans="2:3" x14ac:dyDescent="0.35">
      <c r="B7488" t="s">
        <v>277</v>
      </c>
      <c r="C7488" t="s">
        <v>278</v>
      </c>
    </row>
    <row r="7489" spans="2:3" x14ac:dyDescent="0.35">
      <c r="B7489" t="s">
        <v>184</v>
      </c>
      <c r="C7489" t="s">
        <v>185</v>
      </c>
    </row>
    <row r="7490" spans="2:3" x14ac:dyDescent="0.35">
      <c r="B7490" t="s">
        <v>236</v>
      </c>
      <c r="C7490" t="s">
        <v>237</v>
      </c>
    </row>
    <row r="7491" spans="2:3" x14ac:dyDescent="0.35">
      <c r="B7491" t="s">
        <v>437</v>
      </c>
      <c r="C7491" t="s">
        <v>438</v>
      </c>
    </row>
    <row r="7492" spans="2:3" x14ac:dyDescent="0.35">
      <c r="B7492" t="s">
        <v>471</v>
      </c>
      <c r="C7492" t="s">
        <v>472</v>
      </c>
    </row>
    <row r="7493" spans="2:3" x14ac:dyDescent="0.35">
      <c r="B7493" t="s">
        <v>184</v>
      </c>
      <c r="C7493" t="s">
        <v>185</v>
      </c>
    </row>
    <row r="7494" spans="2:3" x14ac:dyDescent="0.35">
      <c r="B7494" t="s">
        <v>234</v>
      </c>
      <c r="C7494" t="s">
        <v>235</v>
      </c>
    </row>
    <row r="7495" spans="2:3" x14ac:dyDescent="0.35">
      <c r="B7495" t="s">
        <v>471</v>
      </c>
      <c r="C7495" t="s">
        <v>472</v>
      </c>
    </row>
    <row r="7496" spans="2:3" x14ac:dyDescent="0.35">
      <c r="B7496" t="s">
        <v>154</v>
      </c>
      <c r="C7496" t="s">
        <v>155</v>
      </c>
    </row>
    <row r="7497" spans="2:3" x14ac:dyDescent="0.35">
      <c r="B7497" t="s">
        <v>184</v>
      </c>
      <c r="C7497" t="s">
        <v>185</v>
      </c>
    </row>
    <row r="7498" spans="2:3" x14ac:dyDescent="0.35">
      <c r="B7498" t="s">
        <v>471</v>
      </c>
      <c r="C7498" t="s">
        <v>472</v>
      </c>
    </row>
    <row r="7499" spans="2:3" x14ac:dyDescent="0.35">
      <c r="B7499" t="s">
        <v>1193</v>
      </c>
      <c r="C7499" t="s">
        <v>1194</v>
      </c>
    </row>
    <row r="7500" spans="2:3" x14ac:dyDescent="0.35">
      <c r="B7500" t="s">
        <v>437</v>
      </c>
      <c r="C7500" t="s">
        <v>438</v>
      </c>
    </row>
    <row r="7501" spans="2:3" x14ac:dyDescent="0.35">
      <c r="B7501" t="s">
        <v>222</v>
      </c>
      <c r="C7501" t="s">
        <v>223</v>
      </c>
    </row>
    <row r="7502" spans="2:3" x14ac:dyDescent="0.35">
      <c r="B7502" t="s">
        <v>471</v>
      </c>
      <c r="C7502" t="s">
        <v>472</v>
      </c>
    </row>
    <row r="7503" spans="2:3" x14ac:dyDescent="0.35">
      <c r="B7503" t="s">
        <v>154</v>
      </c>
      <c r="C7503" t="s">
        <v>155</v>
      </c>
    </row>
    <row r="7504" spans="2:3" x14ac:dyDescent="0.35">
      <c r="B7504" t="s">
        <v>222</v>
      </c>
      <c r="C7504" t="s">
        <v>223</v>
      </c>
    </row>
    <row r="7505" spans="2:3" x14ac:dyDescent="0.35">
      <c r="B7505" t="s">
        <v>184</v>
      </c>
      <c r="C7505" t="s">
        <v>185</v>
      </c>
    </row>
    <row r="7506" spans="2:3" x14ac:dyDescent="0.35">
      <c r="B7506" t="s">
        <v>234</v>
      </c>
      <c r="C7506" t="s">
        <v>235</v>
      </c>
    </row>
    <row r="7507" spans="2:3" x14ac:dyDescent="0.35">
      <c r="B7507" t="s">
        <v>163</v>
      </c>
      <c r="C7507" t="s">
        <v>164</v>
      </c>
    </row>
    <row r="7508" spans="2:3" x14ac:dyDescent="0.35">
      <c r="B7508" t="s">
        <v>182</v>
      </c>
      <c r="C7508" t="s">
        <v>183</v>
      </c>
    </row>
    <row r="7509" spans="2:3" x14ac:dyDescent="0.35">
      <c r="B7509" t="s">
        <v>471</v>
      </c>
      <c r="C7509" t="s">
        <v>472</v>
      </c>
    </row>
    <row r="7510" spans="2:3" x14ac:dyDescent="0.35">
      <c r="B7510" t="s">
        <v>222</v>
      </c>
      <c r="C7510" t="s">
        <v>223</v>
      </c>
    </row>
    <row r="7511" spans="2:3" x14ac:dyDescent="0.35">
      <c r="B7511" t="s">
        <v>184</v>
      </c>
      <c r="C7511" t="s">
        <v>185</v>
      </c>
    </row>
    <row r="7512" spans="2:3" x14ac:dyDescent="0.35">
      <c r="B7512" t="s">
        <v>277</v>
      </c>
      <c r="C7512" t="s">
        <v>278</v>
      </c>
    </row>
    <row r="7513" spans="2:3" x14ac:dyDescent="0.35">
      <c r="B7513" t="s">
        <v>277</v>
      </c>
      <c r="C7513" t="s">
        <v>278</v>
      </c>
    </row>
    <row r="7514" spans="2:3" x14ac:dyDescent="0.35">
      <c r="B7514" t="s">
        <v>473</v>
      </c>
      <c r="C7514" t="s">
        <v>474</v>
      </c>
    </row>
    <row r="7515" spans="2:3" x14ac:dyDescent="0.35">
      <c r="B7515" t="s">
        <v>471</v>
      </c>
      <c r="C7515" t="s">
        <v>472</v>
      </c>
    </row>
    <row r="7516" spans="2:3" x14ac:dyDescent="0.35">
      <c r="B7516" t="s">
        <v>225</v>
      </c>
      <c r="C7516" t="s">
        <v>226</v>
      </c>
    </row>
    <row r="7517" spans="2:3" x14ac:dyDescent="0.35">
      <c r="B7517" t="s">
        <v>225</v>
      </c>
      <c r="C7517" t="s">
        <v>226</v>
      </c>
    </row>
    <row r="7518" spans="2:3" x14ac:dyDescent="0.35">
      <c r="B7518" t="s">
        <v>160</v>
      </c>
      <c r="C7518" t="s">
        <v>161</v>
      </c>
    </row>
    <row r="7519" spans="2:3" x14ac:dyDescent="0.35">
      <c r="B7519" t="s">
        <v>184</v>
      </c>
      <c r="C7519" t="s">
        <v>185</v>
      </c>
    </row>
    <row r="7520" spans="2:3" x14ac:dyDescent="0.35">
      <c r="B7520" t="s">
        <v>236</v>
      </c>
      <c r="C7520" t="s">
        <v>237</v>
      </c>
    </row>
    <row r="7521" spans="2:3" x14ac:dyDescent="0.35">
      <c r="B7521" t="s">
        <v>154</v>
      </c>
      <c r="C7521" t="s">
        <v>155</v>
      </c>
    </row>
    <row r="7522" spans="2:3" x14ac:dyDescent="0.35">
      <c r="B7522" t="s">
        <v>154</v>
      </c>
      <c r="C7522" t="s">
        <v>155</v>
      </c>
    </row>
    <row r="7523" spans="2:3" x14ac:dyDescent="0.35">
      <c r="B7523" t="s">
        <v>182</v>
      </c>
      <c r="C7523" t="s">
        <v>183</v>
      </c>
    </row>
    <row r="7524" spans="2:3" x14ac:dyDescent="0.35">
      <c r="B7524" t="s">
        <v>182</v>
      </c>
      <c r="C7524" t="s">
        <v>183</v>
      </c>
    </row>
    <row r="7525" spans="2:3" x14ac:dyDescent="0.35">
      <c r="B7525" t="s">
        <v>986</v>
      </c>
      <c r="C7525" t="s">
        <v>987</v>
      </c>
    </row>
    <row r="7526" spans="2:3" x14ac:dyDescent="0.35">
      <c r="B7526" t="s">
        <v>277</v>
      </c>
      <c r="C7526" t="s">
        <v>278</v>
      </c>
    </row>
    <row r="7527" spans="2:3" x14ac:dyDescent="0.35">
      <c r="B7527" t="s">
        <v>160</v>
      </c>
      <c r="C7527" t="s">
        <v>161</v>
      </c>
    </row>
    <row r="7528" spans="2:3" x14ac:dyDescent="0.35">
      <c r="B7528" t="s">
        <v>184</v>
      </c>
      <c r="C7528" t="s">
        <v>185</v>
      </c>
    </row>
    <row r="7529" spans="2:3" x14ac:dyDescent="0.35">
      <c r="B7529" t="s">
        <v>473</v>
      </c>
      <c r="C7529" t="s">
        <v>474</v>
      </c>
    </row>
    <row r="7530" spans="2:3" x14ac:dyDescent="0.35">
      <c r="B7530" t="s">
        <v>222</v>
      </c>
      <c r="C7530" t="s">
        <v>223</v>
      </c>
    </row>
    <row r="7531" spans="2:3" x14ac:dyDescent="0.35">
      <c r="B7531" t="s">
        <v>184</v>
      </c>
      <c r="C7531" t="s">
        <v>185</v>
      </c>
    </row>
    <row r="7532" spans="2:3" x14ac:dyDescent="0.35">
      <c r="B7532" t="s">
        <v>154</v>
      </c>
      <c r="C7532" t="s">
        <v>155</v>
      </c>
    </row>
    <row r="7533" spans="2:3" x14ac:dyDescent="0.35">
      <c r="B7533" t="s">
        <v>236</v>
      </c>
      <c r="C7533" t="s">
        <v>237</v>
      </c>
    </row>
    <row r="7534" spans="2:3" x14ac:dyDescent="0.35">
      <c r="B7534" t="s">
        <v>437</v>
      </c>
      <c r="C7534" t="s">
        <v>438</v>
      </c>
    </row>
    <row r="7535" spans="2:3" x14ac:dyDescent="0.35">
      <c r="B7535" t="s">
        <v>222</v>
      </c>
      <c r="C7535" t="s">
        <v>223</v>
      </c>
    </row>
    <row r="7536" spans="2:3" x14ac:dyDescent="0.35">
      <c r="B7536" t="s">
        <v>154</v>
      </c>
      <c r="C7536" t="s">
        <v>155</v>
      </c>
    </row>
    <row r="7537" spans="2:3" x14ac:dyDescent="0.35">
      <c r="B7537" t="s">
        <v>160</v>
      </c>
      <c r="C7537" t="s">
        <v>161</v>
      </c>
    </row>
    <row r="7538" spans="2:3" x14ac:dyDescent="0.35">
      <c r="B7538" t="s">
        <v>471</v>
      </c>
      <c r="C7538" t="s">
        <v>472</v>
      </c>
    </row>
    <row r="7539" spans="2:3" x14ac:dyDescent="0.35">
      <c r="B7539" t="s">
        <v>437</v>
      </c>
      <c r="C7539" t="s">
        <v>438</v>
      </c>
    </row>
    <row r="7540" spans="2:3" x14ac:dyDescent="0.35">
      <c r="B7540" t="s">
        <v>219</v>
      </c>
      <c r="C7540" t="s">
        <v>220</v>
      </c>
    </row>
    <row r="7541" spans="2:3" x14ac:dyDescent="0.35">
      <c r="B7541" t="s">
        <v>184</v>
      </c>
      <c r="C7541" t="s">
        <v>185</v>
      </c>
    </row>
    <row r="7542" spans="2:3" x14ac:dyDescent="0.35">
      <c r="B7542" t="s">
        <v>437</v>
      </c>
      <c r="C7542" t="s">
        <v>438</v>
      </c>
    </row>
    <row r="7543" spans="2:3" x14ac:dyDescent="0.35">
      <c r="B7543" t="s">
        <v>160</v>
      </c>
      <c r="C7543" t="s">
        <v>161</v>
      </c>
    </row>
    <row r="7544" spans="2:3" x14ac:dyDescent="0.35">
      <c r="B7544" t="s">
        <v>236</v>
      </c>
      <c r="C7544" t="s">
        <v>237</v>
      </c>
    </row>
    <row r="7545" spans="2:3" x14ac:dyDescent="0.35">
      <c r="B7545" t="s">
        <v>236</v>
      </c>
      <c r="C7545" t="s">
        <v>237</v>
      </c>
    </row>
    <row r="7546" spans="2:3" x14ac:dyDescent="0.35">
      <c r="B7546" t="s">
        <v>1193</v>
      </c>
      <c r="C7546" t="s">
        <v>1194</v>
      </c>
    </row>
    <row r="7547" spans="2:3" x14ac:dyDescent="0.35">
      <c r="B7547" t="s">
        <v>437</v>
      </c>
      <c r="C7547" t="s">
        <v>438</v>
      </c>
    </row>
    <row r="7548" spans="2:3" x14ac:dyDescent="0.35">
      <c r="B7548" t="s">
        <v>437</v>
      </c>
      <c r="C7548" t="s">
        <v>438</v>
      </c>
    </row>
    <row r="7549" spans="2:3" x14ac:dyDescent="0.35">
      <c r="B7549" t="s">
        <v>225</v>
      </c>
      <c r="C7549" t="s">
        <v>226</v>
      </c>
    </row>
    <row r="7550" spans="2:3" x14ac:dyDescent="0.35">
      <c r="B7550" t="s">
        <v>184</v>
      </c>
      <c r="C7550" t="s">
        <v>185</v>
      </c>
    </row>
    <row r="7551" spans="2:3" x14ac:dyDescent="0.35">
      <c r="B7551" t="s">
        <v>184</v>
      </c>
      <c r="C7551" t="s">
        <v>185</v>
      </c>
    </row>
    <row r="7552" spans="2:3" x14ac:dyDescent="0.35">
      <c r="B7552" t="s">
        <v>163</v>
      </c>
      <c r="C7552" t="s">
        <v>164</v>
      </c>
    </row>
    <row r="7553" spans="2:3" x14ac:dyDescent="0.35">
      <c r="B7553" t="s">
        <v>163</v>
      </c>
      <c r="C7553" t="s">
        <v>164</v>
      </c>
    </row>
    <row r="7554" spans="2:3" x14ac:dyDescent="0.35">
      <c r="B7554" t="s">
        <v>184</v>
      </c>
      <c r="C7554" t="s">
        <v>185</v>
      </c>
    </row>
    <row r="7555" spans="2:3" x14ac:dyDescent="0.35">
      <c r="B7555" t="s">
        <v>277</v>
      </c>
      <c r="C7555" t="s">
        <v>278</v>
      </c>
    </row>
    <row r="7556" spans="2:3" x14ac:dyDescent="0.35">
      <c r="B7556" t="s">
        <v>473</v>
      </c>
      <c r="C7556" t="s">
        <v>474</v>
      </c>
    </row>
    <row r="7557" spans="2:3" x14ac:dyDescent="0.35">
      <c r="B7557" t="s">
        <v>184</v>
      </c>
      <c r="C7557" t="s">
        <v>185</v>
      </c>
    </row>
    <row r="7558" spans="2:3" x14ac:dyDescent="0.35">
      <c r="B7558" t="s">
        <v>184</v>
      </c>
      <c r="C7558" t="s">
        <v>185</v>
      </c>
    </row>
    <row r="7559" spans="2:3" x14ac:dyDescent="0.35">
      <c r="B7559" t="s">
        <v>154</v>
      </c>
      <c r="C7559" t="s">
        <v>155</v>
      </c>
    </row>
    <row r="7560" spans="2:3" x14ac:dyDescent="0.35">
      <c r="B7560" t="s">
        <v>277</v>
      </c>
      <c r="C7560" t="s">
        <v>278</v>
      </c>
    </row>
    <row r="7561" spans="2:3" x14ac:dyDescent="0.35">
      <c r="B7561" t="s">
        <v>471</v>
      </c>
      <c r="C7561" t="s">
        <v>472</v>
      </c>
    </row>
    <row r="7562" spans="2:3" x14ac:dyDescent="0.35">
      <c r="B7562" t="s">
        <v>154</v>
      </c>
      <c r="C7562" t="s">
        <v>155</v>
      </c>
    </row>
    <row r="7563" spans="2:3" x14ac:dyDescent="0.35">
      <c r="B7563" t="s">
        <v>234</v>
      </c>
      <c r="C7563" t="s">
        <v>235</v>
      </c>
    </row>
    <row r="7564" spans="2:3" x14ac:dyDescent="0.35">
      <c r="B7564" t="s">
        <v>184</v>
      </c>
      <c r="C7564" t="s">
        <v>185</v>
      </c>
    </row>
    <row r="7565" spans="2:3" x14ac:dyDescent="0.35">
      <c r="B7565" t="s">
        <v>184</v>
      </c>
      <c r="C7565" t="s">
        <v>185</v>
      </c>
    </row>
    <row r="7566" spans="2:3" x14ac:dyDescent="0.35">
      <c r="B7566" t="s">
        <v>219</v>
      </c>
      <c r="C7566" t="s">
        <v>220</v>
      </c>
    </row>
    <row r="7567" spans="2:3" x14ac:dyDescent="0.35">
      <c r="B7567" t="s">
        <v>234</v>
      </c>
      <c r="C7567" t="s">
        <v>235</v>
      </c>
    </row>
    <row r="7568" spans="2:3" x14ac:dyDescent="0.35">
      <c r="B7568" t="s">
        <v>222</v>
      </c>
      <c r="C7568" t="s">
        <v>223</v>
      </c>
    </row>
    <row r="7569" spans="2:3" x14ac:dyDescent="0.35">
      <c r="B7569" t="s">
        <v>225</v>
      </c>
      <c r="C7569" t="s">
        <v>226</v>
      </c>
    </row>
    <row r="7570" spans="2:3" x14ac:dyDescent="0.35">
      <c r="B7570" t="s">
        <v>277</v>
      </c>
      <c r="C7570" t="s">
        <v>278</v>
      </c>
    </row>
    <row r="7571" spans="2:3" x14ac:dyDescent="0.35">
      <c r="B7571" t="s">
        <v>473</v>
      </c>
      <c r="C7571" t="s">
        <v>474</v>
      </c>
    </row>
    <row r="7572" spans="2:3" x14ac:dyDescent="0.35">
      <c r="B7572" t="s">
        <v>163</v>
      </c>
      <c r="C7572" t="s">
        <v>164</v>
      </c>
    </row>
    <row r="7573" spans="2:3" x14ac:dyDescent="0.35">
      <c r="B7573" t="s">
        <v>471</v>
      </c>
      <c r="C7573" t="s">
        <v>472</v>
      </c>
    </row>
    <row r="7574" spans="2:3" x14ac:dyDescent="0.35">
      <c r="B7574" t="s">
        <v>184</v>
      </c>
      <c r="C7574" t="s">
        <v>185</v>
      </c>
    </row>
    <row r="7575" spans="2:3" x14ac:dyDescent="0.35">
      <c r="B7575" t="s">
        <v>471</v>
      </c>
      <c r="C7575" t="s">
        <v>472</v>
      </c>
    </row>
    <row r="7576" spans="2:3" x14ac:dyDescent="0.35">
      <c r="B7576" t="s">
        <v>154</v>
      </c>
      <c r="C7576" t="s">
        <v>155</v>
      </c>
    </row>
    <row r="7577" spans="2:3" x14ac:dyDescent="0.35">
      <c r="B7577" t="s">
        <v>581</v>
      </c>
      <c r="C7577" t="s">
        <v>582</v>
      </c>
    </row>
    <row r="7578" spans="2:3" x14ac:dyDescent="0.35">
      <c r="B7578" t="s">
        <v>219</v>
      </c>
      <c r="C7578" t="s">
        <v>220</v>
      </c>
    </row>
    <row r="7579" spans="2:3" x14ac:dyDescent="0.35">
      <c r="B7579" t="s">
        <v>277</v>
      </c>
      <c r="C7579" t="s">
        <v>278</v>
      </c>
    </row>
    <row r="7580" spans="2:3" x14ac:dyDescent="0.35">
      <c r="B7580" t="s">
        <v>473</v>
      </c>
      <c r="C7580" t="s">
        <v>474</v>
      </c>
    </row>
    <row r="7581" spans="2:3" x14ac:dyDescent="0.35">
      <c r="B7581" t="s">
        <v>182</v>
      </c>
      <c r="C7581" t="s">
        <v>183</v>
      </c>
    </row>
    <row r="7582" spans="2:3" x14ac:dyDescent="0.35">
      <c r="B7582" t="s">
        <v>182</v>
      </c>
      <c r="C7582" t="s">
        <v>183</v>
      </c>
    </row>
    <row r="7583" spans="2:3" x14ac:dyDescent="0.35">
      <c r="B7583" t="s">
        <v>184</v>
      </c>
      <c r="C7583" t="s">
        <v>185</v>
      </c>
    </row>
    <row r="7584" spans="2:3" x14ac:dyDescent="0.35">
      <c r="B7584" t="s">
        <v>277</v>
      </c>
      <c r="C7584" t="s">
        <v>278</v>
      </c>
    </row>
    <row r="7585" spans="2:3" x14ac:dyDescent="0.35">
      <c r="B7585" t="s">
        <v>184</v>
      </c>
      <c r="C7585" t="s">
        <v>185</v>
      </c>
    </row>
    <row r="7586" spans="2:3" x14ac:dyDescent="0.35">
      <c r="B7586" t="s">
        <v>222</v>
      </c>
      <c r="C7586" t="s">
        <v>223</v>
      </c>
    </row>
    <row r="7587" spans="2:3" x14ac:dyDescent="0.35">
      <c r="B7587" t="s">
        <v>471</v>
      </c>
      <c r="C7587" t="s">
        <v>472</v>
      </c>
    </row>
    <row r="7588" spans="2:3" x14ac:dyDescent="0.35">
      <c r="B7588" t="s">
        <v>277</v>
      </c>
      <c r="C7588" t="s">
        <v>278</v>
      </c>
    </row>
    <row r="7589" spans="2:3" x14ac:dyDescent="0.35">
      <c r="B7589" t="s">
        <v>163</v>
      </c>
      <c r="C7589" t="s">
        <v>164</v>
      </c>
    </row>
    <row r="7590" spans="2:3" x14ac:dyDescent="0.35">
      <c r="B7590" t="s">
        <v>184</v>
      </c>
      <c r="C7590" t="s">
        <v>185</v>
      </c>
    </row>
    <row r="7591" spans="2:3" x14ac:dyDescent="0.35">
      <c r="B7591" t="s">
        <v>154</v>
      </c>
      <c r="C7591" t="s">
        <v>155</v>
      </c>
    </row>
    <row r="7592" spans="2:3" x14ac:dyDescent="0.35">
      <c r="B7592" t="s">
        <v>182</v>
      </c>
      <c r="C7592" t="s">
        <v>183</v>
      </c>
    </row>
    <row r="7593" spans="2:3" x14ac:dyDescent="0.35">
      <c r="B7593" t="s">
        <v>154</v>
      </c>
      <c r="C7593" t="s">
        <v>155</v>
      </c>
    </row>
    <row r="7594" spans="2:3" x14ac:dyDescent="0.35">
      <c r="B7594" t="s">
        <v>234</v>
      </c>
      <c r="C7594" t="s">
        <v>235</v>
      </c>
    </row>
    <row r="7595" spans="2:3" x14ac:dyDescent="0.35">
      <c r="B7595" t="s">
        <v>234</v>
      </c>
      <c r="C7595" t="s">
        <v>235</v>
      </c>
    </row>
    <row r="7596" spans="2:3" x14ac:dyDescent="0.35">
      <c r="B7596" t="s">
        <v>986</v>
      </c>
      <c r="C7596" t="s">
        <v>987</v>
      </c>
    </row>
    <row r="7597" spans="2:3" x14ac:dyDescent="0.35">
      <c r="B7597" t="s">
        <v>473</v>
      </c>
      <c r="C7597" t="s">
        <v>474</v>
      </c>
    </row>
    <row r="7598" spans="2:3" x14ac:dyDescent="0.35">
      <c r="B7598" t="s">
        <v>154</v>
      </c>
      <c r="C7598" t="s">
        <v>155</v>
      </c>
    </row>
    <row r="7599" spans="2:3" x14ac:dyDescent="0.35">
      <c r="B7599" t="s">
        <v>986</v>
      </c>
      <c r="C7599" t="s">
        <v>987</v>
      </c>
    </row>
    <row r="7600" spans="2:3" x14ac:dyDescent="0.35">
      <c r="B7600" t="s">
        <v>234</v>
      </c>
      <c r="C7600" t="s">
        <v>235</v>
      </c>
    </row>
    <row r="7601" spans="2:3" x14ac:dyDescent="0.35">
      <c r="B7601" t="s">
        <v>184</v>
      </c>
      <c r="C7601" t="s">
        <v>185</v>
      </c>
    </row>
    <row r="7602" spans="2:3" x14ac:dyDescent="0.35">
      <c r="B7602" t="s">
        <v>471</v>
      </c>
      <c r="C7602" t="s">
        <v>472</v>
      </c>
    </row>
    <row r="7603" spans="2:3" x14ac:dyDescent="0.35">
      <c r="B7603" t="s">
        <v>154</v>
      </c>
      <c r="C7603" t="s">
        <v>155</v>
      </c>
    </row>
    <row r="7604" spans="2:3" x14ac:dyDescent="0.35">
      <c r="B7604" t="s">
        <v>437</v>
      </c>
      <c r="C7604" t="s">
        <v>438</v>
      </c>
    </row>
    <row r="7605" spans="2:3" x14ac:dyDescent="0.35">
      <c r="B7605" t="s">
        <v>154</v>
      </c>
      <c r="C7605" t="s">
        <v>155</v>
      </c>
    </row>
    <row r="7606" spans="2:3" x14ac:dyDescent="0.35">
      <c r="B7606" t="s">
        <v>234</v>
      </c>
      <c r="C7606" t="s">
        <v>235</v>
      </c>
    </row>
    <row r="7607" spans="2:3" x14ac:dyDescent="0.35">
      <c r="B7607" t="s">
        <v>236</v>
      </c>
      <c r="C7607" t="s">
        <v>237</v>
      </c>
    </row>
    <row r="7608" spans="2:3" x14ac:dyDescent="0.35">
      <c r="B7608" t="s">
        <v>471</v>
      </c>
      <c r="C7608" t="s">
        <v>472</v>
      </c>
    </row>
    <row r="7609" spans="2:3" x14ac:dyDescent="0.35">
      <c r="B7609" t="s">
        <v>986</v>
      </c>
      <c r="C7609" t="s">
        <v>987</v>
      </c>
    </row>
    <row r="7610" spans="2:3" x14ac:dyDescent="0.35">
      <c r="B7610" t="s">
        <v>986</v>
      </c>
      <c r="C7610" t="s">
        <v>987</v>
      </c>
    </row>
    <row r="7611" spans="2:3" x14ac:dyDescent="0.35">
      <c r="B7611" t="s">
        <v>182</v>
      </c>
      <c r="C7611" t="s">
        <v>183</v>
      </c>
    </row>
    <row r="7612" spans="2:3" x14ac:dyDescent="0.35">
      <c r="B7612" t="s">
        <v>234</v>
      </c>
      <c r="C7612" t="s">
        <v>235</v>
      </c>
    </row>
    <row r="7613" spans="2:3" x14ac:dyDescent="0.35">
      <c r="B7613" t="s">
        <v>234</v>
      </c>
      <c r="C7613" t="s">
        <v>235</v>
      </c>
    </row>
    <row r="7614" spans="2:3" x14ac:dyDescent="0.35">
      <c r="B7614" t="s">
        <v>184</v>
      </c>
      <c r="C7614" t="s">
        <v>185</v>
      </c>
    </row>
    <row r="7615" spans="2:3" x14ac:dyDescent="0.35">
      <c r="B7615" t="s">
        <v>184</v>
      </c>
      <c r="C7615" t="s">
        <v>185</v>
      </c>
    </row>
    <row r="7616" spans="2:3" x14ac:dyDescent="0.35">
      <c r="B7616" t="s">
        <v>473</v>
      </c>
      <c r="C7616" t="s">
        <v>474</v>
      </c>
    </row>
    <row r="7617" spans="2:3" x14ac:dyDescent="0.35">
      <c r="B7617" t="s">
        <v>184</v>
      </c>
      <c r="C7617" t="s">
        <v>185</v>
      </c>
    </row>
    <row r="7618" spans="2:3" x14ac:dyDescent="0.35">
      <c r="B7618" t="s">
        <v>471</v>
      </c>
      <c r="C7618" t="s">
        <v>472</v>
      </c>
    </row>
    <row r="7619" spans="2:3" x14ac:dyDescent="0.35">
      <c r="B7619" t="s">
        <v>154</v>
      </c>
      <c r="C7619" t="s">
        <v>155</v>
      </c>
    </row>
    <row r="7620" spans="2:3" x14ac:dyDescent="0.35">
      <c r="B7620" t="s">
        <v>471</v>
      </c>
      <c r="C7620" t="s">
        <v>472</v>
      </c>
    </row>
    <row r="7621" spans="2:3" x14ac:dyDescent="0.35">
      <c r="B7621" t="s">
        <v>184</v>
      </c>
      <c r="C7621" t="s">
        <v>185</v>
      </c>
    </row>
    <row r="7622" spans="2:3" x14ac:dyDescent="0.35">
      <c r="B7622" t="s">
        <v>277</v>
      </c>
      <c r="C7622" t="s">
        <v>278</v>
      </c>
    </row>
    <row r="7623" spans="2:3" x14ac:dyDescent="0.35">
      <c r="B7623" t="s">
        <v>154</v>
      </c>
      <c r="C7623" t="s">
        <v>155</v>
      </c>
    </row>
    <row r="7624" spans="2:3" x14ac:dyDescent="0.35">
      <c r="B7624" t="s">
        <v>160</v>
      </c>
      <c r="C7624" t="s">
        <v>161</v>
      </c>
    </row>
    <row r="7625" spans="2:3" x14ac:dyDescent="0.35">
      <c r="B7625" t="s">
        <v>277</v>
      </c>
      <c r="C7625" t="s">
        <v>278</v>
      </c>
    </row>
    <row r="7626" spans="2:3" x14ac:dyDescent="0.35">
      <c r="B7626" t="s">
        <v>184</v>
      </c>
      <c r="C7626" t="s">
        <v>185</v>
      </c>
    </row>
    <row r="7627" spans="2:3" x14ac:dyDescent="0.35">
      <c r="B7627" t="s">
        <v>160</v>
      </c>
      <c r="C7627" t="s">
        <v>161</v>
      </c>
    </row>
    <row r="7628" spans="2:3" x14ac:dyDescent="0.35">
      <c r="B7628" t="s">
        <v>1193</v>
      </c>
      <c r="C7628" t="s">
        <v>1194</v>
      </c>
    </row>
    <row r="7629" spans="2:3" x14ac:dyDescent="0.35">
      <c r="B7629" t="s">
        <v>182</v>
      </c>
      <c r="C7629" t="s">
        <v>183</v>
      </c>
    </row>
    <row r="7630" spans="2:3" x14ac:dyDescent="0.35">
      <c r="B7630" t="s">
        <v>182</v>
      </c>
      <c r="C7630" t="s">
        <v>183</v>
      </c>
    </row>
    <row r="7631" spans="2:3" x14ac:dyDescent="0.35">
      <c r="B7631" t="s">
        <v>581</v>
      </c>
      <c r="C7631" t="s">
        <v>582</v>
      </c>
    </row>
    <row r="7632" spans="2:3" x14ac:dyDescent="0.35">
      <c r="B7632" t="s">
        <v>471</v>
      </c>
      <c r="C7632" t="s">
        <v>472</v>
      </c>
    </row>
    <row r="7633" spans="2:3" x14ac:dyDescent="0.35">
      <c r="B7633" t="s">
        <v>163</v>
      </c>
      <c r="C7633" t="s">
        <v>164</v>
      </c>
    </row>
    <row r="7634" spans="2:3" x14ac:dyDescent="0.35">
      <c r="B7634" t="s">
        <v>471</v>
      </c>
      <c r="C7634" t="s">
        <v>472</v>
      </c>
    </row>
    <row r="7635" spans="2:3" x14ac:dyDescent="0.35">
      <c r="B7635" t="s">
        <v>184</v>
      </c>
      <c r="C7635" t="s">
        <v>185</v>
      </c>
    </row>
    <row r="7636" spans="2:3" x14ac:dyDescent="0.35">
      <c r="B7636" t="s">
        <v>225</v>
      </c>
      <c r="C7636" t="s">
        <v>226</v>
      </c>
    </row>
    <row r="7637" spans="2:3" x14ac:dyDescent="0.35">
      <c r="B7637" t="s">
        <v>154</v>
      </c>
      <c r="C7637" t="s">
        <v>155</v>
      </c>
    </row>
    <row r="7638" spans="2:3" x14ac:dyDescent="0.35">
      <c r="B7638" t="s">
        <v>163</v>
      </c>
      <c r="C7638" t="s">
        <v>164</v>
      </c>
    </row>
    <row r="7639" spans="2:3" x14ac:dyDescent="0.35">
      <c r="B7639" t="s">
        <v>182</v>
      </c>
      <c r="C7639" t="s">
        <v>183</v>
      </c>
    </row>
    <row r="7640" spans="2:3" x14ac:dyDescent="0.35">
      <c r="B7640" t="s">
        <v>160</v>
      </c>
      <c r="C7640" t="s">
        <v>161</v>
      </c>
    </row>
    <row r="7641" spans="2:3" x14ac:dyDescent="0.35">
      <c r="B7641" t="s">
        <v>184</v>
      </c>
      <c r="C7641" t="s">
        <v>185</v>
      </c>
    </row>
    <row r="7642" spans="2:3" x14ac:dyDescent="0.35">
      <c r="B7642" t="s">
        <v>160</v>
      </c>
      <c r="C7642" t="s">
        <v>161</v>
      </c>
    </row>
    <row r="7643" spans="2:3" x14ac:dyDescent="0.35">
      <c r="B7643" t="s">
        <v>471</v>
      </c>
      <c r="C7643" t="s">
        <v>472</v>
      </c>
    </row>
    <row r="7644" spans="2:3" x14ac:dyDescent="0.35">
      <c r="B7644" t="s">
        <v>184</v>
      </c>
      <c r="C7644" t="s">
        <v>185</v>
      </c>
    </row>
    <row r="7645" spans="2:3" x14ac:dyDescent="0.35">
      <c r="B7645" t="s">
        <v>184</v>
      </c>
      <c r="C7645" t="s">
        <v>185</v>
      </c>
    </row>
    <row r="7646" spans="2:3" x14ac:dyDescent="0.35">
      <c r="B7646" t="s">
        <v>234</v>
      </c>
      <c r="C7646" t="s">
        <v>235</v>
      </c>
    </row>
    <row r="7647" spans="2:3" x14ac:dyDescent="0.35">
      <c r="B7647" t="s">
        <v>437</v>
      </c>
      <c r="C7647" t="s">
        <v>438</v>
      </c>
    </row>
    <row r="7648" spans="2:3" x14ac:dyDescent="0.35">
      <c r="B7648" t="s">
        <v>182</v>
      </c>
      <c r="C7648" t="s">
        <v>183</v>
      </c>
    </row>
    <row r="7649" spans="2:3" x14ac:dyDescent="0.35">
      <c r="B7649" t="s">
        <v>184</v>
      </c>
      <c r="C7649" t="s">
        <v>185</v>
      </c>
    </row>
    <row r="7650" spans="2:3" x14ac:dyDescent="0.35">
      <c r="B7650" t="s">
        <v>184</v>
      </c>
      <c r="C7650" t="s">
        <v>185</v>
      </c>
    </row>
    <row r="7651" spans="2:3" x14ac:dyDescent="0.35">
      <c r="B7651" t="s">
        <v>473</v>
      </c>
      <c r="C7651" t="s">
        <v>474</v>
      </c>
    </row>
    <row r="7652" spans="2:3" x14ac:dyDescent="0.35">
      <c r="B7652" t="s">
        <v>437</v>
      </c>
      <c r="C7652" t="s">
        <v>438</v>
      </c>
    </row>
    <row r="7653" spans="2:3" x14ac:dyDescent="0.35">
      <c r="B7653" t="s">
        <v>184</v>
      </c>
      <c r="C7653" t="s">
        <v>185</v>
      </c>
    </row>
    <row r="7654" spans="2:3" x14ac:dyDescent="0.35">
      <c r="B7654" t="s">
        <v>437</v>
      </c>
      <c r="C7654" t="s">
        <v>438</v>
      </c>
    </row>
    <row r="7655" spans="2:3" x14ac:dyDescent="0.35">
      <c r="B7655" t="s">
        <v>160</v>
      </c>
      <c r="C7655" t="s">
        <v>161</v>
      </c>
    </row>
    <row r="7656" spans="2:3" x14ac:dyDescent="0.35">
      <c r="B7656" t="s">
        <v>184</v>
      </c>
      <c r="C7656" t="s">
        <v>185</v>
      </c>
    </row>
    <row r="7657" spans="2:3" x14ac:dyDescent="0.35">
      <c r="B7657" t="s">
        <v>163</v>
      </c>
      <c r="C7657" t="s">
        <v>164</v>
      </c>
    </row>
    <row r="7658" spans="2:3" x14ac:dyDescent="0.35">
      <c r="B7658" t="s">
        <v>236</v>
      </c>
      <c r="C7658" t="s">
        <v>237</v>
      </c>
    </row>
    <row r="7659" spans="2:3" x14ac:dyDescent="0.35">
      <c r="B7659" t="s">
        <v>163</v>
      </c>
      <c r="C7659" t="s">
        <v>164</v>
      </c>
    </row>
    <row r="7660" spans="2:3" x14ac:dyDescent="0.35">
      <c r="B7660" t="s">
        <v>219</v>
      </c>
      <c r="C7660" t="s">
        <v>220</v>
      </c>
    </row>
    <row r="7661" spans="2:3" x14ac:dyDescent="0.35">
      <c r="B7661" t="s">
        <v>234</v>
      </c>
      <c r="C7661" t="s">
        <v>235</v>
      </c>
    </row>
    <row r="7662" spans="2:3" x14ac:dyDescent="0.35">
      <c r="B7662" t="s">
        <v>154</v>
      </c>
      <c r="C7662" t="s">
        <v>155</v>
      </c>
    </row>
    <row r="7663" spans="2:3" x14ac:dyDescent="0.35">
      <c r="B7663" t="s">
        <v>219</v>
      </c>
      <c r="C7663" t="s">
        <v>220</v>
      </c>
    </row>
    <row r="7664" spans="2:3" x14ac:dyDescent="0.35">
      <c r="B7664" t="s">
        <v>437</v>
      </c>
      <c r="C7664" t="s">
        <v>438</v>
      </c>
    </row>
    <row r="7665" spans="2:3" x14ac:dyDescent="0.35">
      <c r="B7665" t="s">
        <v>471</v>
      </c>
      <c r="C7665" t="s">
        <v>472</v>
      </c>
    </row>
    <row r="7666" spans="2:3" x14ac:dyDescent="0.35">
      <c r="B7666" t="s">
        <v>1193</v>
      </c>
      <c r="C7666" t="s">
        <v>1194</v>
      </c>
    </row>
    <row r="7667" spans="2:3" x14ac:dyDescent="0.35">
      <c r="B7667" t="s">
        <v>184</v>
      </c>
      <c r="C7667" t="s">
        <v>185</v>
      </c>
    </row>
    <row r="7668" spans="2:3" x14ac:dyDescent="0.35">
      <c r="B7668" t="s">
        <v>154</v>
      </c>
      <c r="C7668" t="s">
        <v>155</v>
      </c>
    </row>
    <row r="7669" spans="2:3" x14ac:dyDescent="0.35">
      <c r="B7669" t="s">
        <v>182</v>
      </c>
      <c r="C7669" t="s">
        <v>183</v>
      </c>
    </row>
    <row r="7670" spans="2:3" x14ac:dyDescent="0.35">
      <c r="B7670" t="s">
        <v>219</v>
      </c>
      <c r="C7670" t="s">
        <v>220</v>
      </c>
    </row>
    <row r="7671" spans="2:3" x14ac:dyDescent="0.35">
      <c r="B7671" t="s">
        <v>234</v>
      </c>
      <c r="C7671" t="s">
        <v>235</v>
      </c>
    </row>
    <row r="7672" spans="2:3" x14ac:dyDescent="0.35">
      <c r="B7672" t="s">
        <v>1193</v>
      </c>
      <c r="C7672" t="s">
        <v>1194</v>
      </c>
    </row>
    <row r="7673" spans="2:3" x14ac:dyDescent="0.35">
      <c r="B7673" t="s">
        <v>437</v>
      </c>
      <c r="C7673" t="s">
        <v>438</v>
      </c>
    </row>
    <row r="7674" spans="2:3" x14ac:dyDescent="0.35">
      <c r="B7674" t="s">
        <v>471</v>
      </c>
      <c r="C7674" t="s">
        <v>472</v>
      </c>
    </row>
    <row r="7675" spans="2:3" x14ac:dyDescent="0.35">
      <c r="B7675" t="s">
        <v>437</v>
      </c>
      <c r="C7675" t="s">
        <v>438</v>
      </c>
    </row>
    <row r="7676" spans="2:3" x14ac:dyDescent="0.35">
      <c r="B7676" t="s">
        <v>225</v>
      </c>
      <c r="C7676" t="s">
        <v>226</v>
      </c>
    </row>
    <row r="7677" spans="2:3" x14ac:dyDescent="0.35">
      <c r="B7677" t="s">
        <v>236</v>
      </c>
      <c r="C7677" t="s">
        <v>237</v>
      </c>
    </row>
    <row r="7678" spans="2:3" x14ac:dyDescent="0.35">
      <c r="B7678" t="s">
        <v>184</v>
      </c>
      <c r="C7678" t="s">
        <v>185</v>
      </c>
    </row>
    <row r="7679" spans="2:3" x14ac:dyDescent="0.35">
      <c r="B7679" t="s">
        <v>184</v>
      </c>
      <c r="C7679" t="s">
        <v>185</v>
      </c>
    </row>
    <row r="7680" spans="2:3" x14ac:dyDescent="0.35">
      <c r="B7680" t="s">
        <v>184</v>
      </c>
      <c r="C7680" t="s">
        <v>185</v>
      </c>
    </row>
    <row r="7681" spans="2:3" x14ac:dyDescent="0.35">
      <c r="B7681" t="s">
        <v>471</v>
      </c>
      <c r="C7681" t="s">
        <v>472</v>
      </c>
    </row>
    <row r="7682" spans="2:3" x14ac:dyDescent="0.35">
      <c r="B7682" t="s">
        <v>277</v>
      </c>
      <c r="C7682" t="s">
        <v>278</v>
      </c>
    </row>
    <row r="7683" spans="2:3" x14ac:dyDescent="0.35">
      <c r="B7683" t="s">
        <v>154</v>
      </c>
      <c r="C7683" t="s">
        <v>155</v>
      </c>
    </row>
    <row r="7684" spans="2:3" x14ac:dyDescent="0.35">
      <c r="B7684" t="s">
        <v>184</v>
      </c>
      <c r="C7684" t="s">
        <v>185</v>
      </c>
    </row>
    <row r="7685" spans="2:3" x14ac:dyDescent="0.35">
      <c r="B7685" t="s">
        <v>236</v>
      </c>
      <c r="C7685" t="s">
        <v>237</v>
      </c>
    </row>
    <row r="7686" spans="2:3" x14ac:dyDescent="0.35">
      <c r="B7686" t="s">
        <v>154</v>
      </c>
      <c r="C7686" t="s">
        <v>155</v>
      </c>
    </row>
    <row r="7687" spans="2:3" x14ac:dyDescent="0.35">
      <c r="B7687" t="s">
        <v>473</v>
      </c>
      <c r="C7687" t="s">
        <v>474</v>
      </c>
    </row>
    <row r="7688" spans="2:3" x14ac:dyDescent="0.35">
      <c r="B7688" t="s">
        <v>437</v>
      </c>
      <c r="C7688" t="s">
        <v>438</v>
      </c>
    </row>
    <row r="7689" spans="2:3" x14ac:dyDescent="0.35">
      <c r="B7689" t="s">
        <v>471</v>
      </c>
      <c r="C7689" t="s">
        <v>472</v>
      </c>
    </row>
    <row r="7690" spans="2:3" x14ac:dyDescent="0.35">
      <c r="B7690" t="s">
        <v>222</v>
      </c>
      <c r="C7690" t="s">
        <v>223</v>
      </c>
    </row>
    <row r="7691" spans="2:3" x14ac:dyDescent="0.35">
      <c r="B7691" t="s">
        <v>473</v>
      </c>
      <c r="C7691" t="s">
        <v>474</v>
      </c>
    </row>
    <row r="7692" spans="2:3" x14ac:dyDescent="0.35">
      <c r="B7692" t="s">
        <v>437</v>
      </c>
      <c r="C7692" t="s">
        <v>438</v>
      </c>
    </row>
    <row r="7693" spans="2:3" x14ac:dyDescent="0.35">
      <c r="B7693" t="s">
        <v>182</v>
      </c>
      <c r="C7693" t="s">
        <v>183</v>
      </c>
    </row>
    <row r="7694" spans="2:3" x14ac:dyDescent="0.35">
      <c r="B7694" t="s">
        <v>437</v>
      </c>
      <c r="C7694" t="s">
        <v>438</v>
      </c>
    </row>
    <row r="7695" spans="2:3" x14ac:dyDescent="0.35">
      <c r="B7695" t="s">
        <v>160</v>
      </c>
      <c r="C7695" t="s">
        <v>161</v>
      </c>
    </row>
    <row r="7696" spans="2:3" x14ac:dyDescent="0.35">
      <c r="B7696" t="s">
        <v>222</v>
      </c>
      <c r="C7696" t="s">
        <v>223</v>
      </c>
    </row>
    <row r="7697" spans="2:3" x14ac:dyDescent="0.35">
      <c r="B7697" t="s">
        <v>236</v>
      </c>
      <c r="C7697" t="s">
        <v>237</v>
      </c>
    </row>
    <row r="7698" spans="2:3" x14ac:dyDescent="0.35">
      <c r="B7698" t="s">
        <v>154</v>
      </c>
      <c r="C7698" t="s">
        <v>155</v>
      </c>
    </row>
    <row r="7699" spans="2:3" x14ac:dyDescent="0.35">
      <c r="B7699" t="s">
        <v>225</v>
      </c>
      <c r="C7699" t="s">
        <v>226</v>
      </c>
    </row>
    <row r="7700" spans="2:3" x14ac:dyDescent="0.35">
      <c r="B7700" t="s">
        <v>471</v>
      </c>
      <c r="C7700" t="s">
        <v>472</v>
      </c>
    </row>
    <row r="7701" spans="2:3" x14ac:dyDescent="0.35">
      <c r="B7701" t="s">
        <v>234</v>
      </c>
      <c r="C7701" t="s">
        <v>235</v>
      </c>
    </row>
    <row r="7702" spans="2:3" x14ac:dyDescent="0.35">
      <c r="B7702" t="s">
        <v>184</v>
      </c>
      <c r="C7702" t="s">
        <v>185</v>
      </c>
    </row>
    <row r="7703" spans="2:3" x14ac:dyDescent="0.35">
      <c r="B7703" t="s">
        <v>234</v>
      </c>
      <c r="C7703" t="s">
        <v>235</v>
      </c>
    </row>
    <row r="7704" spans="2:3" x14ac:dyDescent="0.35">
      <c r="B7704" t="s">
        <v>154</v>
      </c>
      <c r="C7704" t="s">
        <v>155</v>
      </c>
    </row>
    <row r="7705" spans="2:3" x14ac:dyDescent="0.35">
      <c r="B7705" t="s">
        <v>471</v>
      </c>
      <c r="C7705" t="s">
        <v>472</v>
      </c>
    </row>
    <row r="7706" spans="2:3" x14ac:dyDescent="0.35">
      <c r="B7706" t="s">
        <v>184</v>
      </c>
      <c r="C7706" t="s">
        <v>185</v>
      </c>
    </row>
    <row r="7707" spans="2:3" x14ac:dyDescent="0.35">
      <c r="B7707" t="s">
        <v>471</v>
      </c>
      <c r="C7707" t="s">
        <v>472</v>
      </c>
    </row>
    <row r="7708" spans="2:3" x14ac:dyDescent="0.35">
      <c r="B7708" t="s">
        <v>277</v>
      </c>
      <c r="C7708" t="s">
        <v>278</v>
      </c>
    </row>
    <row r="7709" spans="2:3" x14ac:dyDescent="0.35">
      <c r="B7709" t="s">
        <v>471</v>
      </c>
      <c r="C7709" t="s">
        <v>472</v>
      </c>
    </row>
    <row r="7710" spans="2:3" x14ac:dyDescent="0.35">
      <c r="B7710" t="s">
        <v>160</v>
      </c>
      <c r="C7710" t="s">
        <v>161</v>
      </c>
    </row>
    <row r="7711" spans="2:3" x14ac:dyDescent="0.35">
      <c r="B7711" t="s">
        <v>154</v>
      </c>
      <c r="C7711" t="s">
        <v>155</v>
      </c>
    </row>
    <row r="7712" spans="2:3" x14ac:dyDescent="0.35">
      <c r="B7712" t="s">
        <v>234</v>
      </c>
      <c r="C7712" t="s">
        <v>235</v>
      </c>
    </row>
    <row r="7713" spans="2:3" x14ac:dyDescent="0.35">
      <c r="B7713" t="s">
        <v>184</v>
      </c>
      <c r="C7713" t="s">
        <v>185</v>
      </c>
    </row>
    <row r="7714" spans="2:3" x14ac:dyDescent="0.35">
      <c r="B7714" t="s">
        <v>163</v>
      </c>
      <c r="C7714" t="s">
        <v>164</v>
      </c>
    </row>
    <row r="7715" spans="2:3" x14ac:dyDescent="0.35">
      <c r="B7715" t="s">
        <v>163</v>
      </c>
      <c r="C7715" t="s">
        <v>164</v>
      </c>
    </row>
    <row r="7716" spans="2:3" x14ac:dyDescent="0.35">
      <c r="B7716" t="s">
        <v>471</v>
      </c>
      <c r="C7716" t="s">
        <v>472</v>
      </c>
    </row>
    <row r="7717" spans="2:3" x14ac:dyDescent="0.35">
      <c r="B7717" t="s">
        <v>277</v>
      </c>
      <c r="C7717" t="s">
        <v>278</v>
      </c>
    </row>
    <row r="7718" spans="2:3" x14ac:dyDescent="0.35">
      <c r="B7718" t="s">
        <v>184</v>
      </c>
      <c r="C7718" t="s">
        <v>185</v>
      </c>
    </row>
    <row r="7719" spans="2:3" x14ac:dyDescent="0.35">
      <c r="B7719" t="s">
        <v>236</v>
      </c>
      <c r="C7719" t="s">
        <v>237</v>
      </c>
    </row>
    <row r="7720" spans="2:3" x14ac:dyDescent="0.35">
      <c r="B7720" t="s">
        <v>234</v>
      </c>
      <c r="C7720" t="s">
        <v>235</v>
      </c>
    </row>
    <row r="7721" spans="2:3" x14ac:dyDescent="0.35">
      <c r="B7721" t="s">
        <v>437</v>
      </c>
      <c r="C7721" t="s">
        <v>438</v>
      </c>
    </row>
    <row r="7722" spans="2:3" x14ac:dyDescent="0.35">
      <c r="B7722" t="s">
        <v>182</v>
      </c>
      <c r="C7722" t="s">
        <v>183</v>
      </c>
    </row>
    <row r="7723" spans="2:3" x14ac:dyDescent="0.35">
      <c r="B7723" t="s">
        <v>182</v>
      </c>
      <c r="C7723" t="s">
        <v>183</v>
      </c>
    </row>
    <row r="7724" spans="2:3" x14ac:dyDescent="0.35">
      <c r="B7724" t="s">
        <v>471</v>
      </c>
      <c r="C7724" t="s">
        <v>472</v>
      </c>
    </row>
    <row r="7725" spans="2:3" x14ac:dyDescent="0.35">
      <c r="B7725" t="s">
        <v>501</v>
      </c>
      <c r="C7725" t="s">
        <v>502</v>
      </c>
    </row>
    <row r="7726" spans="2:3" x14ac:dyDescent="0.35">
      <c r="B7726" t="s">
        <v>222</v>
      </c>
      <c r="C7726" t="s">
        <v>223</v>
      </c>
    </row>
    <row r="7727" spans="2:3" x14ac:dyDescent="0.35">
      <c r="B7727" t="s">
        <v>160</v>
      </c>
      <c r="C7727" t="s">
        <v>161</v>
      </c>
    </row>
    <row r="7728" spans="2:3" x14ac:dyDescent="0.35">
      <c r="B7728" t="s">
        <v>184</v>
      </c>
      <c r="C7728" t="s">
        <v>185</v>
      </c>
    </row>
    <row r="7729" spans="2:3" x14ac:dyDescent="0.35">
      <c r="B7729" t="s">
        <v>184</v>
      </c>
      <c r="C7729" t="s">
        <v>185</v>
      </c>
    </row>
    <row r="7730" spans="2:3" x14ac:dyDescent="0.35">
      <c r="B7730" t="s">
        <v>234</v>
      </c>
      <c r="C7730" t="s">
        <v>235</v>
      </c>
    </row>
    <row r="7731" spans="2:3" x14ac:dyDescent="0.35">
      <c r="B7731" t="s">
        <v>160</v>
      </c>
      <c r="C7731" t="s">
        <v>161</v>
      </c>
    </row>
    <row r="7732" spans="2:3" x14ac:dyDescent="0.35">
      <c r="B7732" t="s">
        <v>437</v>
      </c>
      <c r="C7732" t="s">
        <v>438</v>
      </c>
    </row>
    <row r="7733" spans="2:3" x14ac:dyDescent="0.35">
      <c r="B7733" t="s">
        <v>154</v>
      </c>
      <c r="C7733" t="s">
        <v>155</v>
      </c>
    </row>
    <row r="7734" spans="2:3" x14ac:dyDescent="0.35">
      <c r="B7734" t="s">
        <v>154</v>
      </c>
      <c r="C7734" t="s">
        <v>155</v>
      </c>
    </row>
    <row r="7735" spans="2:3" x14ac:dyDescent="0.35">
      <c r="B7735" t="s">
        <v>184</v>
      </c>
      <c r="C7735" t="s">
        <v>185</v>
      </c>
    </row>
    <row r="7736" spans="2:3" x14ac:dyDescent="0.35">
      <c r="B7736" t="s">
        <v>154</v>
      </c>
      <c r="C7736" t="s">
        <v>155</v>
      </c>
    </row>
    <row r="7737" spans="2:3" x14ac:dyDescent="0.35">
      <c r="B7737" t="s">
        <v>471</v>
      </c>
      <c r="C7737" t="s">
        <v>472</v>
      </c>
    </row>
    <row r="7738" spans="2:3" x14ac:dyDescent="0.35">
      <c r="B7738" t="s">
        <v>163</v>
      </c>
      <c r="C7738" t="s">
        <v>164</v>
      </c>
    </row>
    <row r="7739" spans="2:3" x14ac:dyDescent="0.35">
      <c r="B7739" t="s">
        <v>222</v>
      </c>
      <c r="C7739" t="s">
        <v>223</v>
      </c>
    </row>
    <row r="7740" spans="2:3" x14ac:dyDescent="0.35">
      <c r="B7740" t="s">
        <v>471</v>
      </c>
      <c r="C7740" t="s">
        <v>472</v>
      </c>
    </row>
    <row r="7741" spans="2:3" x14ac:dyDescent="0.35">
      <c r="B7741" t="s">
        <v>986</v>
      </c>
      <c r="C7741" t="s">
        <v>987</v>
      </c>
    </row>
    <row r="7742" spans="2:3" x14ac:dyDescent="0.35">
      <c r="B7742" t="s">
        <v>163</v>
      </c>
      <c r="C7742" t="s">
        <v>164</v>
      </c>
    </row>
    <row r="7743" spans="2:3" x14ac:dyDescent="0.35">
      <c r="B7743" t="s">
        <v>471</v>
      </c>
      <c r="C7743" t="s">
        <v>472</v>
      </c>
    </row>
    <row r="7744" spans="2:3" x14ac:dyDescent="0.35">
      <c r="B7744" t="s">
        <v>234</v>
      </c>
      <c r="C7744" t="s">
        <v>235</v>
      </c>
    </row>
    <row r="7745" spans="2:3" x14ac:dyDescent="0.35">
      <c r="B7745" t="s">
        <v>277</v>
      </c>
      <c r="C7745" t="s">
        <v>278</v>
      </c>
    </row>
    <row r="7746" spans="2:3" x14ac:dyDescent="0.35">
      <c r="B7746" t="s">
        <v>473</v>
      </c>
      <c r="C7746" t="s">
        <v>474</v>
      </c>
    </row>
    <row r="7747" spans="2:3" x14ac:dyDescent="0.35">
      <c r="B7747" t="s">
        <v>986</v>
      </c>
      <c r="C7747" t="s">
        <v>987</v>
      </c>
    </row>
    <row r="7748" spans="2:3" x14ac:dyDescent="0.35">
      <c r="B7748" t="s">
        <v>473</v>
      </c>
      <c r="C7748" t="s">
        <v>474</v>
      </c>
    </row>
    <row r="7749" spans="2:3" x14ac:dyDescent="0.35">
      <c r="B7749" t="s">
        <v>236</v>
      </c>
      <c r="C7749" t="s">
        <v>237</v>
      </c>
    </row>
    <row r="7750" spans="2:3" x14ac:dyDescent="0.35">
      <c r="B7750" t="s">
        <v>234</v>
      </c>
      <c r="C7750" t="s">
        <v>235</v>
      </c>
    </row>
    <row r="7751" spans="2:3" x14ac:dyDescent="0.35">
      <c r="B7751" t="s">
        <v>154</v>
      </c>
      <c r="C7751" t="s">
        <v>155</v>
      </c>
    </row>
    <row r="7752" spans="2:3" x14ac:dyDescent="0.35">
      <c r="B7752" t="s">
        <v>437</v>
      </c>
      <c r="C7752" t="s">
        <v>438</v>
      </c>
    </row>
    <row r="7753" spans="2:3" x14ac:dyDescent="0.35">
      <c r="B7753" t="s">
        <v>184</v>
      </c>
      <c r="C7753" t="s">
        <v>185</v>
      </c>
    </row>
    <row r="7754" spans="2:3" x14ac:dyDescent="0.35">
      <c r="B7754" t="s">
        <v>277</v>
      </c>
      <c r="C7754" t="s">
        <v>278</v>
      </c>
    </row>
    <row r="7755" spans="2:3" x14ac:dyDescent="0.35">
      <c r="B7755" t="s">
        <v>154</v>
      </c>
      <c r="C7755" t="s">
        <v>155</v>
      </c>
    </row>
    <row r="7756" spans="2:3" x14ac:dyDescent="0.35">
      <c r="B7756" t="s">
        <v>182</v>
      </c>
      <c r="C7756" t="s">
        <v>183</v>
      </c>
    </row>
    <row r="7757" spans="2:3" x14ac:dyDescent="0.35">
      <c r="B7757" t="s">
        <v>184</v>
      </c>
      <c r="C7757" t="s">
        <v>185</v>
      </c>
    </row>
    <row r="7758" spans="2:3" x14ac:dyDescent="0.35">
      <c r="B7758" t="s">
        <v>437</v>
      </c>
      <c r="C7758" t="s">
        <v>438</v>
      </c>
    </row>
    <row r="7759" spans="2:3" x14ac:dyDescent="0.35">
      <c r="B7759" t="s">
        <v>471</v>
      </c>
      <c r="C7759" t="s">
        <v>472</v>
      </c>
    </row>
    <row r="7760" spans="2:3" x14ac:dyDescent="0.35">
      <c r="B7760" t="s">
        <v>163</v>
      </c>
      <c r="C7760" t="s">
        <v>164</v>
      </c>
    </row>
    <row r="7761" spans="2:3" x14ac:dyDescent="0.35">
      <c r="B7761" t="s">
        <v>225</v>
      </c>
      <c r="C7761" t="s">
        <v>226</v>
      </c>
    </row>
    <row r="7762" spans="2:3" x14ac:dyDescent="0.35">
      <c r="B7762" t="s">
        <v>986</v>
      </c>
      <c r="C7762" t="s">
        <v>987</v>
      </c>
    </row>
    <row r="7763" spans="2:3" x14ac:dyDescent="0.35">
      <c r="B7763" t="s">
        <v>154</v>
      </c>
      <c r="C7763" t="s">
        <v>155</v>
      </c>
    </row>
    <row r="7764" spans="2:3" x14ac:dyDescent="0.35">
      <c r="B7764" t="s">
        <v>471</v>
      </c>
      <c r="C7764" t="s">
        <v>472</v>
      </c>
    </row>
    <row r="7765" spans="2:3" x14ac:dyDescent="0.35">
      <c r="B7765" t="s">
        <v>184</v>
      </c>
      <c r="C7765" t="s">
        <v>185</v>
      </c>
    </row>
    <row r="7766" spans="2:3" x14ac:dyDescent="0.35">
      <c r="B7766" t="s">
        <v>234</v>
      </c>
      <c r="C7766" t="s">
        <v>235</v>
      </c>
    </row>
    <row r="7767" spans="2:3" x14ac:dyDescent="0.35">
      <c r="B7767" t="s">
        <v>160</v>
      </c>
      <c r="C7767" t="s">
        <v>161</v>
      </c>
    </row>
    <row r="7768" spans="2:3" x14ac:dyDescent="0.35">
      <c r="B7768" t="s">
        <v>163</v>
      </c>
      <c r="C7768" t="s">
        <v>164</v>
      </c>
    </row>
    <row r="7769" spans="2:3" x14ac:dyDescent="0.35">
      <c r="B7769" t="s">
        <v>986</v>
      </c>
      <c r="C7769" t="s">
        <v>987</v>
      </c>
    </row>
    <row r="7770" spans="2:3" x14ac:dyDescent="0.35">
      <c r="B7770" t="s">
        <v>471</v>
      </c>
      <c r="C7770" t="s">
        <v>472</v>
      </c>
    </row>
    <row r="7771" spans="2:3" x14ac:dyDescent="0.35">
      <c r="B7771" t="s">
        <v>154</v>
      </c>
      <c r="C7771" t="s">
        <v>155</v>
      </c>
    </row>
    <row r="7772" spans="2:3" x14ac:dyDescent="0.35">
      <c r="B7772" t="s">
        <v>471</v>
      </c>
      <c r="C7772" t="s">
        <v>472</v>
      </c>
    </row>
    <row r="7773" spans="2:3" x14ac:dyDescent="0.35">
      <c r="B7773" t="s">
        <v>163</v>
      </c>
      <c r="C7773" t="s">
        <v>164</v>
      </c>
    </row>
    <row r="7774" spans="2:3" x14ac:dyDescent="0.35">
      <c r="B7774" t="s">
        <v>471</v>
      </c>
      <c r="C7774" t="s">
        <v>472</v>
      </c>
    </row>
    <row r="7775" spans="2:3" x14ac:dyDescent="0.35">
      <c r="B7775" t="s">
        <v>154</v>
      </c>
      <c r="C7775" t="s">
        <v>155</v>
      </c>
    </row>
    <row r="7776" spans="2:3" x14ac:dyDescent="0.35">
      <c r="B7776" t="s">
        <v>437</v>
      </c>
      <c r="C7776" t="s">
        <v>438</v>
      </c>
    </row>
    <row r="7777" spans="2:3" x14ac:dyDescent="0.35">
      <c r="B7777" t="s">
        <v>236</v>
      </c>
      <c r="C7777" t="s">
        <v>237</v>
      </c>
    </row>
    <row r="7778" spans="2:3" x14ac:dyDescent="0.35">
      <c r="B7778" t="s">
        <v>163</v>
      </c>
      <c r="C7778" t="s">
        <v>164</v>
      </c>
    </row>
    <row r="7779" spans="2:3" x14ac:dyDescent="0.35">
      <c r="B7779" t="s">
        <v>471</v>
      </c>
      <c r="C7779" t="s">
        <v>472</v>
      </c>
    </row>
    <row r="7780" spans="2:3" x14ac:dyDescent="0.35">
      <c r="B7780" t="s">
        <v>225</v>
      </c>
      <c r="C7780" t="s">
        <v>226</v>
      </c>
    </row>
    <row r="7781" spans="2:3" x14ac:dyDescent="0.35">
      <c r="B7781" t="s">
        <v>234</v>
      </c>
      <c r="C7781" t="s">
        <v>235</v>
      </c>
    </row>
    <row r="7782" spans="2:3" x14ac:dyDescent="0.35">
      <c r="B7782" t="s">
        <v>277</v>
      </c>
      <c r="C7782" t="s">
        <v>278</v>
      </c>
    </row>
    <row r="7783" spans="2:3" x14ac:dyDescent="0.35">
      <c r="B7783" t="s">
        <v>437</v>
      </c>
      <c r="C7783" t="s">
        <v>438</v>
      </c>
    </row>
    <row r="7784" spans="2:3" x14ac:dyDescent="0.35">
      <c r="B7784" t="s">
        <v>184</v>
      </c>
      <c r="C7784" t="s">
        <v>185</v>
      </c>
    </row>
    <row r="7785" spans="2:3" x14ac:dyDescent="0.35">
      <c r="B7785" t="s">
        <v>277</v>
      </c>
      <c r="C7785" t="s">
        <v>278</v>
      </c>
    </row>
    <row r="7786" spans="2:3" x14ac:dyDescent="0.35">
      <c r="B7786" t="s">
        <v>234</v>
      </c>
      <c r="C7786" t="s">
        <v>235</v>
      </c>
    </row>
    <row r="7787" spans="2:3" x14ac:dyDescent="0.35">
      <c r="B7787" t="s">
        <v>184</v>
      </c>
      <c r="C7787" t="s">
        <v>185</v>
      </c>
    </row>
    <row r="7788" spans="2:3" x14ac:dyDescent="0.35">
      <c r="B7788" t="s">
        <v>160</v>
      </c>
      <c r="C7788" t="s">
        <v>161</v>
      </c>
    </row>
    <row r="7789" spans="2:3" x14ac:dyDescent="0.35">
      <c r="B7789" t="s">
        <v>473</v>
      </c>
      <c r="C7789" t="s">
        <v>474</v>
      </c>
    </row>
    <row r="7790" spans="2:3" x14ac:dyDescent="0.35">
      <c r="B7790" t="s">
        <v>473</v>
      </c>
      <c r="C7790" t="s">
        <v>474</v>
      </c>
    </row>
    <row r="7791" spans="2:3" x14ac:dyDescent="0.35">
      <c r="B7791" t="s">
        <v>471</v>
      </c>
      <c r="C7791" t="s">
        <v>472</v>
      </c>
    </row>
    <row r="7792" spans="2:3" x14ac:dyDescent="0.35">
      <c r="B7792" t="s">
        <v>182</v>
      </c>
      <c r="C7792" t="s">
        <v>183</v>
      </c>
    </row>
    <row r="7793" spans="2:3" x14ac:dyDescent="0.35">
      <c r="B7793" t="s">
        <v>437</v>
      </c>
      <c r="C7793" t="s">
        <v>438</v>
      </c>
    </row>
    <row r="7794" spans="2:3" x14ac:dyDescent="0.35">
      <c r="B7794" t="s">
        <v>437</v>
      </c>
      <c r="C7794" t="s">
        <v>438</v>
      </c>
    </row>
    <row r="7795" spans="2:3" x14ac:dyDescent="0.35">
      <c r="B7795" t="s">
        <v>471</v>
      </c>
      <c r="C7795" t="s">
        <v>472</v>
      </c>
    </row>
    <row r="7796" spans="2:3" x14ac:dyDescent="0.35">
      <c r="B7796" t="s">
        <v>184</v>
      </c>
      <c r="C7796" t="s">
        <v>185</v>
      </c>
    </row>
    <row r="7797" spans="2:3" x14ac:dyDescent="0.35">
      <c r="B7797" t="s">
        <v>236</v>
      </c>
      <c r="C7797" t="s">
        <v>237</v>
      </c>
    </row>
    <row r="7798" spans="2:3" x14ac:dyDescent="0.35">
      <c r="B7798" t="s">
        <v>163</v>
      </c>
      <c r="C7798" t="s">
        <v>164</v>
      </c>
    </row>
    <row r="7799" spans="2:3" x14ac:dyDescent="0.35">
      <c r="B7799" t="s">
        <v>184</v>
      </c>
      <c r="C7799" t="s">
        <v>185</v>
      </c>
    </row>
    <row r="7800" spans="2:3" x14ac:dyDescent="0.35">
      <c r="B7800" t="s">
        <v>154</v>
      </c>
      <c r="C7800" t="s">
        <v>155</v>
      </c>
    </row>
    <row r="7801" spans="2:3" x14ac:dyDescent="0.35">
      <c r="B7801" t="s">
        <v>184</v>
      </c>
      <c r="C7801" t="s">
        <v>185</v>
      </c>
    </row>
    <row r="7802" spans="2:3" x14ac:dyDescent="0.35">
      <c r="B7802" t="s">
        <v>219</v>
      </c>
      <c r="C7802" t="s">
        <v>220</v>
      </c>
    </row>
    <row r="7803" spans="2:3" x14ac:dyDescent="0.35">
      <c r="B7803" t="s">
        <v>182</v>
      </c>
      <c r="C7803" t="s">
        <v>183</v>
      </c>
    </row>
    <row r="7804" spans="2:3" x14ac:dyDescent="0.35">
      <c r="B7804" t="s">
        <v>184</v>
      </c>
      <c r="C7804" t="s">
        <v>185</v>
      </c>
    </row>
    <row r="7805" spans="2:3" x14ac:dyDescent="0.35">
      <c r="B7805" t="s">
        <v>182</v>
      </c>
      <c r="C7805" t="s">
        <v>183</v>
      </c>
    </row>
    <row r="7806" spans="2:3" x14ac:dyDescent="0.35">
      <c r="B7806" t="s">
        <v>471</v>
      </c>
      <c r="C7806" t="s">
        <v>472</v>
      </c>
    </row>
    <row r="7807" spans="2:3" x14ac:dyDescent="0.35">
      <c r="B7807" t="s">
        <v>184</v>
      </c>
      <c r="C7807" t="s">
        <v>185</v>
      </c>
    </row>
    <row r="7808" spans="2:3" x14ac:dyDescent="0.35">
      <c r="B7808" t="s">
        <v>473</v>
      </c>
      <c r="C7808" t="s">
        <v>474</v>
      </c>
    </row>
    <row r="7809" spans="2:3" x14ac:dyDescent="0.35">
      <c r="B7809" t="s">
        <v>471</v>
      </c>
      <c r="C7809" t="s">
        <v>472</v>
      </c>
    </row>
    <row r="7810" spans="2:3" x14ac:dyDescent="0.35">
      <c r="B7810" t="s">
        <v>236</v>
      </c>
      <c r="C7810" t="s">
        <v>237</v>
      </c>
    </row>
    <row r="7811" spans="2:3" x14ac:dyDescent="0.35">
      <c r="B7811" t="s">
        <v>184</v>
      </c>
      <c r="C7811" t="s">
        <v>185</v>
      </c>
    </row>
    <row r="7812" spans="2:3" x14ac:dyDescent="0.35">
      <c r="B7812" t="s">
        <v>154</v>
      </c>
      <c r="C7812" t="s">
        <v>155</v>
      </c>
    </row>
    <row r="7813" spans="2:3" x14ac:dyDescent="0.35">
      <c r="B7813" t="s">
        <v>581</v>
      </c>
      <c r="C7813" t="s">
        <v>582</v>
      </c>
    </row>
    <row r="7814" spans="2:3" x14ac:dyDescent="0.35">
      <c r="B7814" t="s">
        <v>184</v>
      </c>
      <c r="C7814" t="s">
        <v>185</v>
      </c>
    </row>
    <row r="7815" spans="2:3" x14ac:dyDescent="0.35">
      <c r="B7815" t="s">
        <v>437</v>
      </c>
      <c r="C7815" t="s">
        <v>438</v>
      </c>
    </row>
    <row r="7816" spans="2:3" x14ac:dyDescent="0.35">
      <c r="B7816" t="s">
        <v>471</v>
      </c>
      <c r="C7816" t="s">
        <v>472</v>
      </c>
    </row>
    <row r="7817" spans="2:3" x14ac:dyDescent="0.35">
      <c r="B7817" t="s">
        <v>234</v>
      </c>
      <c r="C7817" t="s">
        <v>235</v>
      </c>
    </row>
    <row r="7818" spans="2:3" x14ac:dyDescent="0.35">
      <c r="B7818" t="s">
        <v>437</v>
      </c>
      <c r="C7818" t="s">
        <v>438</v>
      </c>
    </row>
    <row r="7819" spans="2:3" x14ac:dyDescent="0.35">
      <c r="B7819" t="s">
        <v>471</v>
      </c>
      <c r="C7819" t="s">
        <v>472</v>
      </c>
    </row>
    <row r="7820" spans="2:3" x14ac:dyDescent="0.35">
      <c r="B7820" t="s">
        <v>471</v>
      </c>
      <c r="C7820" t="s">
        <v>472</v>
      </c>
    </row>
    <row r="7821" spans="2:3" x14ac:dyDescent="0.35">
      <c r="B7821" t="s">
        <v>154</v>
      </c>
      <c r="C7821" t="s">
        <v>155</v>
      </c>
    </row>
    <row r="7822" spans="2:3" x14ac:dyDescent="0.35">
      <c r="B7822" t="s">
        <v>236</v>
      </c>
      <c r="C7822" t="s">
        <v>237</v>
      </c>
    </row>
    <row r="7823" spans="2:3" x14ac:dyDescent="0.35">
      <c r="B7823" t="s">
        <v>471</v>
      </c>
      <c r="C7823" t="s">
        <v>472</v>
      </c>
    </row>
    <row r="7824" spans="2:3" x14ac:dyDescent="0.35">
      <c r="B7824" t="s">
        <v>184</v>
      </c>
      <c r="C7824" t="s">
        <v>185</v>
      </c>
    </row>
    <row r="7825" spans="2:3" x14ac:dyDescent="0.35">
      <c r="B7825" t="s">
        <v>471</v>
      </c>
      <c r="C7825" t="s">
        <v>472</v>
      </c>
    </row>
    <row r="7826" spans="2:3" x14ac:dyDescent="0.35">
      <c r="B7826" t="s">
        <v>222</v>
      </c>
      <c r="C7826" t="s">
        <v>223</v>
      </c>
    </row>
    <row r="7827" spans="2:3" x14ac:dyDescent="0.35">
      <c r="B7827" t="s">
        <v>234</v>
      </c>
      <c r="C7827" t="s">
        <v>235</v>
      </c>
    </row>
    <row r="7828" spans="2:3" x14ac:dyDescent="0.35">
      <c r="B7828" t="s">
        <v>131</v>
      </c>
      <c r="C7828" t="s">
        <v>132</v>
      </c>
    </row>
    <row r="7829" spans="2:3" x14ac:dyDescent="0.35">
      <c r="B7829" t="s">
        <v>471</v>
      </c>
      <c r="C7829" t="s">
        <v>472</v>
      </c>
    </row>
    <row r="7830" spans="2:3" x14ac:dyDescent="0.35">
      <c r="B7830" t="s">
        <v>222</v>
      </c>
      <c r="C7830" t="s">
        <v>223</v>
      </c>
    </row>
    <row r="7831" spans="2:3" x14ac:dyDescent="0.35">
      <c r="B7831" t="s">
        <v>277</v>
      </c>
      <c r="C7831" t="s">
        <v>278</v>
      </c>
    </row>
    <row r="7832" spans="2:3" x14ac:dyDescent="0.35">
      <c r="B7832" t="s">
        <v>236</v>
      </c>
      <c r="C7832" t="s">
        <v>237</v>
      </c>
    </row>
    <row r="7833" spans="2:3" x14ac:dyDescent="0.35">
      <c r="B7833" t="s">
        <v>471</v>
      </c>
      <c r="C7833" t="s">
        <v>472</v>
      </c>
    </row>
    <row r="7834" spans="2:3" x14ac:dyDescent="0.35">
      <c r="B7834" t="s">
        <v>160</v>
      </c>
      <c r="C7834" t="s">
        <v>161</v>
      </c>
    </row>
    <row r="7835" spans="2:3" x14ac:dyDescent="0.35">
      <c r="B7835" t="s">
        <v>234</v>
      </c>
      <c r="C7835" t="s">
        <v>235</v>
      </c>
    </row>
    <row r="7836" spans="2:3" x14ac:dyDescent="0.35">
      <c r="B7836" t="s">
        <v>182</v>
      </c>
      <c r="C7836" t="s">
        <v>183</v>
      </c>
    </row>
    <row r="7837" spans="2:3" x14ac:dyDescent="0.35">
      <c r="B7837" t="s">
        <v>471</v>
      </c>
      <c r="C7837" t="s">
        <v>472</v>
      </c>
    </row>
    <row r="7838" spans="2:3" x14ac:dyDescent="0.35">
      <c r="B7838" t="s">
        <v>234</v>
      </c>
      <c r="C7838" t="s">
        <v>235</v>
      </c>
    </row>
    <row r="7839" spans="2:3" x14ac:dyDescent="0.35">
      <c r="B7839" t="s">
        <v>471</v>
      </c>
      <c r="C7839" t="s">
        <v>472</v>
      </c>
    </row>
    <row r="7840" spans="2:3" x14ac:dyDescent="0.35">
      <c r="B7840" t="s">
        <v>471</v>
      </c>
      <c r="C7840" t="s">
        <v>472</v>
      </c>
    </row>
    <row r="7841" spans="2:3" x14ac:dyDescent="0.35">
      <c r="B7841" t="s">
        <v>471</v>
      </c>
      <c r="C7841" t="s">
        <v>472</v>
      </c>
    </row>
    <row r="7842" spans="2:3" x14ac:dyDescent="0.35">
      <c r="B7842" t="s">
        <v>277</v>
      </c>
      <c r="C7842" t="s">
        <v>278</v>
      </c>
    </row>
    <row r="7843" spans="2:3" x14ac:dyDescent="0.35">
      <c r="B7843" t="s">
        <v>437</v>
      </c>
      <c r="C7843" t="s">
        <v>438</v>
      </c>
    </row>
    <row r="7844" spans="2:3" x14ac:dyDescent="0.35">
      <c r="B7844" t="s">
        <v>163</v>
      </c>
      <c r="C7844" t="s">
        <v>164</v>
      </c>
    </row>
    <row r="7845" spans="2:3" x14ac:dyDescent="0.35">
      <c r="B7845" t="s">
        <v>277</v>
      </c>
      <c r="C7845" t="s">
        <v>278</v>
      </c>
    </row>
    <row r="7846" spans="2:3" x14ac:dyDescent="0.35">
      <c r="B7846" t="s">
        <v>473</v>
      </c>
      <c r="C7846" t="s">
        <v>474</v>
      </c>
    </row>
    <row r="7847" spans="2:3" x14ac:dyDescent="0.35">
      <c r="B7847" t="s">
        <v>471</v>
      </c>
      <c r="C7847" t="s">
        <v>472</v>
      </c>
    </row>
    <row r="7848" spans="2:3" x14ac:dyDescent="0.35">
      <c r="B7848" t="s">
        <v>184</v>
      </c>
      <c r="C7848" t="s">
        <v>185</v>
      </c>
    </row>
    <row r="7849" spans="2:3" x14ac:dyDescent="0.35">
      <c r="B7849" t="s">
        <v>277</v>
      </c>
      <c r="C7849" t="s">
        <v>278</v>
      </c>
    </row>
    <row r="7850" spans="2:3" x14ac:dyDescent="0.35">
      <c r="B7850" t="s">
        <v>277</v>
      </c>
      <c r="C7850" t="s">
        <v>278</v>
      </c>
    </row>
    <row r="7851" spans="2:3" x14ac:dyDescent="0.35">
      <c r="B7851" t="s">
        <v>473</v>
      </c>
      <c r="C7851" t="s">
        <v>474</v>
      </c>
    </row>
    <row r="7852" spans="2:3" x14ac:dyDescent="0.35">
      <c r="B7852" t="s">
        <v>473</v>
      </c>
      <c r="C7852" t="s">
        <v>474</v>
      </c>
    </row>
    <row r="7853" spans="2:3" x14ac:dyDescent="0.35">
      <c r="B7853" t="s">
        <v>154</v>
      </c>
      <c r="C7853" t="s">
        <v>155</v>
      </c>
    </row>
    <row r="7854" spans="2:3" x14ac:dyDescent="0.35">
      <c r="B7854" t="s">
        <v>184</v>
      </c>
      <c r="C7854" t="s">
        <v>185</v>
      </c>
    </row>
    <row r="7855" spans="2:3" x14ac:dyDescent="0.35">
      <c r="B7855" t="s">
        <v>437</v>
      </c>
      <c r="C7855" t="s">
        <v>438</v>
      </c>
    </row>
    <row r="7856" spans="2:3" x14ac:dyDescent="0.35">
      <c r="B7856" t="s">
        <v>581</v>
      </c>
      <c r="C7856" t="s">
        <v>582</v>
      </c>
    </row>
    <row r="7857" spans="2:3" x14ac:dyDescent="0.35">
      <c r="B7857" t="s">
        <v>222</v>
      </c>
      <c r="C7857" t="s">
        <v>223</v>
      </c>
    </row>
    <row r="7858" spans="2:3" x14ac:dyDescent="0.35">
      <c r="B7858" t="s">
        <v>471</v>
      </c>
      <c r="C7858" t="s">
        <v>472</v>
      </c>
    </row>
    <row r="7859" spans="2:3" x14ac:dyDescent="0.35">
      <c r="B7859" t="s">
        <v>471</v>
      </c>
      <c r="C7859" t="s">
        <v>472</v>
      </c>
    </row>
    <row r="7860" spans="2:3" x14ac:dyDescent="0.35">
      <c r="B7860" t="s">
        <v>234</v>
      </c>
      <c r="C7860" t="s">
        <v>235</v>
      </c>
    </row>
    <row r="7861" spans="2:3" x14ac:dyDescent="0.35">
      <c r="B7861" t="s">
        <v>986</v>
      </c>
      <c r="C7861" t="s">
        <v>987</v>
      </c>
    </row>
    <row r="7862" spans="2:3" x14ac:dyDescent="0.35">
      <c r="B7862" t="s">
        <v>163</v>
      </c>
      <c r="C7862" t="s">
        <v>164</v>
      </c>
    </row>
    <row r="7863" spans="2:3" x14ac:dyDescent="0.35">
      <c r="B7863" t="s">
        <v>277</v>
      </c>
      <c r="C7863" t="s">
        <v>278</v>
      </c>
    </row>
    <row r="7864" spans="2:3" x14ac:dyDescent="0.35">
      <c r="B7864" t="s">
        <v>234</v>
      </c>
      <c r="C7864" t="s">
        <v>235</v>
      </c>
    </row>
    <row r="7865" spans="2:3" x14ac:dyDescent="0.35">
      <c r="B7865" t="s">
        <v>581</v>
      </c>
      <c r="C7865" t="s">
        <v>582</v>
      </c>
    </row>
    <row r="7866" spans="2:3" x14ac:dyDescent="0.35">
      <c r="B7866" t="s">
        <v>234</v>
      </c>
      <c r="C7866" t="s">
        <v>235</v>
      </c>
    </row>
    <row r="7867" spans="2:3" x14ac:dyDescent="0.35">
      <c r="B7867" t="s">
        <v>437</v>
      </c>
      <c r="C7867" t="s">
        <v>438</v>
      </c>
    </row>
    <row r="7868" spans="2:3" x14ac:dyDescent="0.35">
      <c r="B7868" t="s">
        <v>277</v>
      </c>
      <c r="C7868" t="s">
        <v>278</v>
      </c>
    </row>
    <row r="7869" spans="2:3" x14ac:dyDescent="0.35">
      <c r="B7869" t="s">
        <v>234</v>
      </c>
      <c r="C7869" t="s">
        <v>235</v>
      </c>
    </row>
    <row r="7870" spans="2:3" x14ac:dyDescent="0.35">
      <c r="B7870" t="s">
        <v>277</v>
      </c>
      <c r="C7870" t="s">
        <v>278</v>
      </c>
    </row>
    <row r="7871" spans="2:3" x14ac:dyDescent="0.35">
      <c r="B7871" t="s">
        <v>234</v>
      </c>
      <c r="C7871" t="s">
        <v>235</v>
      </c>
    </row>
    <row r="7872" spans="2:3" x14ac:dyDescent="0.35">
      <c r="B7872" t="s">
        <v>236</v>
      </c>
      <c r="C7872" t="s">
        <v>237</v>
      </c>
    </row>
    <row r="7873" spans="2:3" x14ac:dyDescent="0.35">
      <c r="B7873" t="s">
        <v>473</v>
      </c>
      <c r="C7873" t="s">
        <v>474</v>
      </c>
    </row>
    <row r="7874" spans="2:3" x14ac:dyDescent="0.35">
      <c r="B7874" t="s">
        <v>234</v>
      </c>
      <c r="C7874" t="s">
        <v>235</v>
      </c>
    </row>
    <row r="7875" spans="2:3" x14ac:dyDescent="0.35">
      <c r="B7875" t="s">
        <v>986</v>
      </c>
      <c r="C7875" t="s">
        <v>987</v>
      </c>
    </row>
    <row r="7876" spans="2:3" x14ac:dyDescent="0.35">
      <c r="B7876" t="s">
        <v>471</v>
      </c>
      <c r="C7876" t="s">
        <v>472</v>
      </c>
    </row>
    <row r="7877" spans="2:3" x14ac:dyDescent="0.35">
      <c r="B7877" t="s">
        <v>471</v>
      </c>
      <c r="C7877" t="s">
        <v>472</v>
      </c>
    </row>
    <row r="7878" spans="2:3" x14ac:dyDescent="0.35">
      <c r="B7878" t="s">
        <v>234</v>
      </c>
      <c r="C7878" t="s">
        <v>235</v>
      </c>
    </row>
    <row r="7879" spans="2:3" x14ac:dyDescent="0.35">
      <c r="B7879" t="s">
        <v>182</v>
      </c>
      <c r="C7879" t="s">
        <v>183</v>
      </c>
    </row>
    <row r="7880" spans="2:3" x14ac:dyDescent="0.35">
      <c r="B7880" t="s">
        <v>986</v>
      </c>
      <c r="C7880" t="s">
        <v>987</v>
      </c>
    </row>
    <row r="7881" spans="2:3" x14ac:dyDescent="0.35">
      <c r="B7881" t="s">
        <v>277</v>
      </c>
      <c r="C7881" t="s">
        <v>278</v>
      </c>
    </row>
    <row r="7882" spans="2:3" x14ac:dyDescent="0.35">
      <c r="B7882" t="s">
        <v>986</v>
      </c>
      <c r="C7882" t="s">
        <v>987</v>
      </c>
    </row>
    <row r="7883" spans="2:3" x14ac:dyDescent="0.35">
      <c r="B7883" t="s">
        <v>471</v>
      </c>
      <c r="C7883" t="s">
        <v>472</v>
      </c>
    </row>
    <row r="7884" spans="2:3" x14ac:dyDescent="0.35">
      <c r="B7884" t="s">
        <v>234</v>
      </c>
      <c r="C7884" t="s">
        <v>235</v>
      </c>
    </row>
    <row r="7885" spans="2:3" x14ac:dyDescent="0.35">
      <c r="B7885" t="s">
        <v>222</v>
      </c>
      <c r="C7885" t="s">
        <v>223</v>
      </c>
    </row>
    <row r="7886" spans="2:3" x14ac:dyDescent="0.35">
      <c r="B7886" t="s">
        <v>471</v>
      </c>
      <c r="C7886" t="s">
        <v>472</v>
      </c>
    </row>
    <row r="7887" spans="2:3" x14ac:dyDescent="0.35">
      <c r="B7887" t="s">
        <v>154</v>
      </c>
      <c r="C7887" t="s">
        <v>155</v>
      </c>
    </row>
    <row r="7888" spans="2:3" x14ac:dyDescent="0.35">
      <c r="B7888" t="s">
        <v>471</v>
      </c>
      <c r="C7888" t="s">
        <v>472</v>
      </c>
    </row>
    <row r="7889" spans="2:3" x14ac:dyDescent="0.35">
      <c r="B7889" t="s">
        <v>471</v>
      </c>
      <c r="C7889" t="s">
        <v>472</v>
      </c>
    </row>
    <row r="7890" spans="2:3" x14ac:dyDescent="0.35">
      <c r="B7890" t="s">
        <v>184</v>
      </c>
      <c r="C7890" t="s">
        <v>185</v>
      </c>
    </row>
    <row r="7891" spans="2:3" x14ac:dyDescent="0.35">
      <c r="B7891" t="s">
        <v>234</v>
      </c>
      <c r="C7891" t="s">
        <v>235</v>
      </c>
    </row>
    <row r="7892" spans="2:3" x14ac:dyDescent="0.35">
      <c r="B7892" t="s">
        <v>581</v>
      </c>
      <c r="C7892" t="s">
        <v>582</v>
      </c>
    </row>
    <row r="7893" spans="2:3" x14ac:dyDescent="0.35">
      <c r="B7893" t="s">
        <v>234</v>
      </c>
      <c r="C7893" t="s">
        <v>235</v>
      </c>
    </row>
    <row r="7894" spans="2:3" x14ac:dyDescent="0.35">
      <c r="B7894" t="s">
        <v>184</v>
      </c>
      <c r="C7894" t="s">
        <v>185</v>
      </c>
    </row>
    <row r="7895" spans="2:3" x14ac:dyDescent="0.35">
      <c r="B7895" t="s">
        <v>184</v>
      </c>
      <c r="C7895" t="s">
        <v>185</v>
      </c>
    </row>
    <row r="7896" spans="2:3" x14ac:dyDescent="0.35">
      <c r="B7896" t="s">
        <v>160</v>
      </c>
      <c r="C7896" t="s">
        <v>161</v>
      </c>
    </row>
    <row r="7897" spans="2:3" x14ac:dyDescent="0.35">
      <c r="B7897" t="s">
        <v>986</v>
      </c>
      <c r="C7897" t="s">
        <v>987</v>
      </c>
    </row>
    <row r="7898" spans="2:3" x14ac:dyDescent="0.35">
      <c r="B7898" t="s">
        <v>471</v>
      </c>
      <c r="C7898" t="s">
        <v>472</v>
      </c>
    </row>
    <row r="7899" spans="2:3" x14ac:dyDescent="0.35">
      <c r="B7899" t="s">
        <v>222</v>
      </c>
      <c r="C7899" t="s">
        <v>223</v>
      </c>
    </row>
    <row r="7900" spans="2:3" x14ac:dyDescent="0.35">
      <c r="B7900" t="s">
        <v>184</v>
      </c>
      <c r="C7900" t="s">
        <v>185</v>
      </c>
    </row>
    <row r="7901" spans="2:3" x14ac:dyDescent="0.35">
      <c r="B7901" t="s">
        <v>277</v>
      </c>
      <c r="C7901" t="s">
        <v>278</v>
      </c>
    </row>
    <row r="7902" spans="2:3" x14ac:dyDescent="0.35">
      <c r="B7902" t="s">
        <v>154</v>
      </c>
      <c r="C7902" t="s">
        <v>155</v>
      </c>
    </row>
    <row r="7903" spans="2:3" x14ac:dyDescent="0.35">
      <c r="B7903" t="s">
        <v>160</v>
      </c>
      <c r="C7903" t="s">
        <v>161</v>
      </c>
    </row>
    <row r="7904" spans="2:3" x14ac:dyDescent="0.35">
      <c r="B7904" t="s">
        <v>471</v>
      </c>
      <c r="C7904" t="s">
        <v>472</v>
      </c>
    </row>
    <row r="7905" spans="2:3" x14ac:dyDescent="0.35">
      <c r="B7905" t="s">
        <v>234</v>
      </c>
      <c r="C7905" t="s">
        <v>235</v>
      </c>
    </row>
    <row r="7906" spans="2:3" x14ac:dyDescent="0.35">
      <c r="B7906" t="s">
        <v>160</v>
      </c>
      <c r="C7906" t="s">
        <v>161</v>
      </c>
    </row>
    <row r="7907" spans="2:3" x14ac:dyDescent="0.35">
      <c r="B7907" t="s">
        <v>234</v>
      </c>
      <c r="C7907" t="s">
        <v>235</v>
      </c>
    </row>
    <row r="7908" spans="2:3" x14ac:dyDescent="0.35">
      <c r="B7908" t="s">
        <v>234</v>
      </c>
      <c r="C7908" t="s">
        <v>235</v>
      </c>
    </row>
    <row r="7909" spans="2:3" x14ac:dyDescent="0.35">
      <c r="B7909" t="s">
        <v>471</v>
      </c>
      <c r="C7909" t="s">
        <v>472</v>
      </c>
    </row>
    <row r="7910" spans="2:3" x14ac:dyDescent="0.35">
      <c r="B7910" t="s">
        <v>163</v>
      </c>
      <c r="C7910" t="s">
        <v>164</v>
      </c>
    </row>
    <row r="7911" spans="2:3" x14ac:dyDescent="0.35">
      <c r="B7911" t="s">
        <v>225</v>
      </c>
      <c r="C7911" t="s">
        <v>226</v>
      </c>
    </row>
    <row r="7912" spans="2:3" x14ac:dyDescent="0.35">
      <c r="B7912" t="s">
        <v>473</v>
      </c>
      <c r="C7912" t="s">
        <v>474</v>
      </c>
    </row>
    <row r="7913" spans="2:3" x14ac:dyDescent="0.35">
      <c r="B7913" t="s">
        <v>154</v>
      </c>
      <c r="C7913" t="s">
        <v>155</v>
      </c>
    </row>
    <row r="7914" spans="2:3" x14ac:dyDescent="0.35">
      <c r="B7914" t="s">
        <v>471</v>
      </c>
      <c r="C7914" t="s">
        <v>472</v>
      </c>
    </row>
    <row r="7915" spans="2:3" x14ac:dyDescent="0.35">
      <c r="B7915" t="s">
        <v>437</v>
      </c>
      <c r="C7915" t="s">
        <v>438</v>
      </c>
    </row>
    <row r="7916" spans="2:3" x14ac:dyDescent="0.35">
      <c r="B7916" t="s">
        <v>182</v>
      </c>
      <c r="C7916" t="s">
        <v>183</v>
      </c>
    </row>
    <row r="7917" spans="2:3" x14ac:dyDescent="0.35">
      <c r="B7917" t="s">
        <v>986</v>
      </c>
      <c r="C7917" t="s">
        <v>987</v>
      </c>
    </row>
    <row r="7918" spans="2:3" x14ac:dyDescent="0.35">
      <c r="B7918" t="s">
        <v>437</v>
      </c>
      <c r="C7918" t="s">
        <v>438</v>
      </c>
    </row>
    <row r="7919" spans="2:3" x14ac:dyDescent="0.35">
      <c r="B7919" t="s">
        <v>1193</v>
      </c>
      <c r="C7919" t="s">
        <v>1194</v>
      </c>
    </row>
    <row r="7920" spans="2:3" x14ac:dyDescent="0.35">
      <c r="B7920" t="s">
        <v>471</v>
      </c>
      <c r="C7920" t="s">
        <v>472</v>
      </c>
    </row>
    <row r="7921" spans="2:3" x14ac:dyDescent="0.35">
      <c r="B7921" t="s">
        <v>154</v>
      </c>
      <c r="C7921" t="s">
        <v>155</v>
      </c>
    </row>
    <row r="7922" spans="2:3" x14ac:dyDescent="0.35">
      <c r="B7922" t="s">
        <v>225</v>
      </c>
      <c r="C7922" t="s">
        <v>226</v>
      </c>
    </row>
    <row r="7923" spans="2:3" x14ac:dyDescent="0.35">
      <c r="B7923" t="s">
        <v>163</v>
      </c>
      <c r="C7923" t="s">
        <v>164</v>
      </c>
    </row>
    <row r="7924" spans="2:3" x14ac:dyDescent="0.35">
      <c r="B7924" t="s">
        <v>160</v>
      </c>
      <c r="C7924" t="s">
        <v>161</v>
      </c>
    </row>
    <row r="7925" spans="2:3" x14ac:dyDescent="0.35">
      <c r="B7925" t="s">
        <v>277</v>
      </c>
      <c r="C7925" t="s">
        <v>278</v>
      </c>
    </row>
    <row r="7926" spans="2:3" x14ac:dyDescent="0.35">
      <c r="B7926" t="s">
        <v>225</v>
      </c>
      <c r="C7926" t="s">
        <v>226</v>
      </c>
    </row>
    <row r="7927" spans="2:3" x14ac:dyDescent="0.35">
      <c r="B7927" t="s">
        <v>154</v>
      </c>
      <c r="C7927" t="s">
        <v>155</v>
      </c>
    </row>
    <row r="7928" spans="2:3" x14ac:dyDescent="0.35">
      <c r="B7928" t="s">
        <v>163</v>
      </c>
      <c r="C7928" t="s">
        <v>164</v>
      </c>
    </row>
    <row r="7929" spans="2:3" x14ac:dyDescent="0.35">
      <c r="B7929" t="s">
        <v>184</v>
      </c>
      <c r="C7929" t="s">
        <v>185</v>
      </c>
    </row>
    <row r="7930" spans="2:3" x14ac:dyDescent="0.35">
      <c r="B7930" t="s">
        <v>184</v>
      </c>
      <c r="C7930" t="s">
        <v>185</v>
      </c>
    </row>
    <row r="7931" spans="2:3" x14ac:dyDescent="0.35">
      <c r="B7931" t="s">
        <v>234</v>
      </c>
      <c r="C7931" t="s">
        <v>235</v>
      </c>
    </row>
    <row r="7932" spans="2:3" x14ac:dyDescent="0.35">
      <c r="B7932" t="s">
        <v>163</v>
      </c>
      <c r="C7932" t="s">
        <v>164</v>
      </c>
    </row>
    <row r="7933" spans="2:3" x14ac:dyDescent="0.35">
      <c r="B7933" t="s">
        <v>234</v>
      </c>
      <c r="C7933" t="s">
        <v>235</v>
      </c>
    </row>
    <row r="7934" spans="2:3" x14ac:dyDescent="0.35">
      <c r="B7934" t="s">
        <v>581</v>
      </c>
      <c r="C7934" t="s">
        <v>582</v>
      </c>
    </row>
    <row r="7935" spans="2:3" x14ac:dyDescent="0.35">
      <c r="B7935" t="s">
        <v>222</v>
      </c>
      <c r="C7935" t="s">
        <v>223</v>
      </c>
    </row>
    <row r="7936" spans="2:3" x14ac:dyDescent="0.35">
      <c r="B7936" t="s">
        <v>222</v>
      </c>
      <c r="C7936" t="s">
        <v>223</v>
      </c>
    </row>
    <row r="7937" spans="2:3" x14ac:dyDescent="0.35">
      <c r="B7937" t="s">
        <v>234</v>
      </c>
      <c r="C7937" t="s">
        <v>235</v>
      </c>
    </row>
    <row r="7938" spans="2:3" x14ac:dyDescent="0.35">
      <c r="B7938" t="s">
        <v>234</v>
      </c>
      <c r="C7938" t="s">
        <v>235</v>
      </c>
    </row>
    <row r="7939" spans="2:3" x14ac:dyDescent="0.35">
      <c r="B7939" t="s">
        <v>277</v>
      </c>
      <c r="C7939" t="s">
        <v>278</v>
      </c>
    </row>
    <row r="7940" spans="2:3" x14ac:dyDescent="0.35">
      <c r="B7940" t="s">
        <v>236</v>
      </c>
      <c r="C7940" t="s">
        <v>237</v>
      </c>
    </row>
    <row r="7941" spans="2:3" x14ac:dyDescent="0.35">
      <c r="B7941" t="s">
        <v>154</v>
      </c>
      <c r="C7941" t="s">
        <v>155</v>
      </c>
    </row>
    <row r="7942" spans="2:3" x14ac:dyDescent="0.35">
      <c r="B7942" t="s">
        <v>184</v>
      </c>
      <c r="C7942" t="s">
        <v>185</v>
      </c>
    </row>
    <row r="7943" spans="2:3" x14ac:dyDescent="0.35">
      <c r="B7943" t="s">
        <v>471</v>
      </c>
      <c r="C7943" t="s">
        <v>472</v>
      </c>
    </row>
    <row r="7944" spans="2:3" x14ac:dyDescent="0.35">
      <c r="B7944" t="s">
        <v>986</v>
      </c>
      <c r="C7944" t="s">
        <v>987</v>
      </c>
    </row>
    <row r="7945" spans="2:3" x14ac:dyDescent="0.35">
      <c r="B7945" t="s">
        <v>471</v>
      </c>
      <c r="C7945" t="s">
        <v>472</v>
      </c>
    </row>
    <row r="7946" spans="2:3" x14ac:dyDescent="0.35">
      <c r="B7946" t="s">
        <v>1084</v>
      </c>
      <c r="C7946" t="s">
        <v>1085</v>
      </c>
    </row>
    <row r="7947" spans="2:3" x14ac:dyDescent="0.35">
      <c r="B7947" t="s">
        <v>1212</v>
      </c>
      <c r="C7947" t="s">
        <v>1213</v>
      </c>
    </row>
    <row r="7948" spans="2:3" x14ac:dyDescent="0.35">
      <c r="B7948" t="s">
        <v>1230</v>
      </c>
      <c r="C7948" t="s">
        <v>1231</v>
      </c>
    </row>
    <row r="7949" spans="2:3" x14ac:dyDescent="0.35">
      <c r="B7949" t="s">
        <v>988</v>
      </c>
      <c r="C7949" t="s">
        <v>989</v>
      </c>
    </row>
    <row r="7950" spans="2:3" x14ac:dyDescent="0.35">
      <c r="B7950" t="s">
        <v>990</v>
      </c>
      <c r="C7950" t="s">
        <v>991</v>
      </c>
    </row>
    <row r="7951" spans="2:3" x14ac:dyDescent="0.35">
      <c r="B7951" t="s">
        <v>945</v>
      </c>
      <c r="C7951" t="s">
        <v>946</v>
      </c>
    </row>
    <row r="7952" spans="2:3" x14ac:dyDescent="0.35">
      <c r="B7952" t="s">
        <v>1084</v>
      </c>
      <c r="C7952" t="s">
        <v>1085</v>
      </c>
    </row>
    <row r="7953" spans="2:3" x14ac:dyDescent="0.35">
      <c r="B7953" t="s">
        <v>945</v>
      </c>
      <c r="C7953" t="s">
        <v>946</v>
      </c>
    </row>
    <row r="7954" spans="2:3" x14ac:dyDescent="0.35">
      <c r="B7954" t="s">
        <v>988</v>
      </c>
      <c r="C7954" t="s">
        <v>989</v>
      </c>
    </row>
    <row r="7955" spans="2:3" x14ac:dyDescent="0.35">
      <c r="B7955" t="s">
        <v>654</v>
      </c>
      <c r="C7955" t="s">
        <v>655</v>
      </c>
    </row>
    <row r="7956" spans="2:3" x14ac:dyDescent="0.35">
      <c r="B7956" t="s">
        <v>988</v>
      </c>
      <c r="C7956" t="s">
        <v>989</v>
      </c>
    </row>
    <row r="7957" spans="2:3" x14ac:dyDescent="0.35">
      <c r="B7957" t="s">
        <v>988</v>
      </c>
      <c r="C7957" t="s">
        <v>989</v>
      </c>
    </row>
    <row r="7958" spans="2:3" x14ac:dyDescent="0.35">
      <c r="B7958" t="s">
        <v>945</v>
      </c>
      <c r="C7958" t="s">
        <v>946</v>
      </c>
    </row>
    <row r="7959" spans="2:3" x14ac:dyDescent="0.35">
      <c r="B7959" t="s">
        <v>945</v>
      </c>
      <c r="C7959" t="s">
        <v>946</v>
      </c>
    </row>
    <row r="7960" spans="2:3" x14ac:dyDescent="0.35">
      <c r="B7960" t="s">
        <v>988</v>
      </c>
      <c r="C7960" t="s">
        <v>989</v>
      </c>
    </row>
    <row r="7961" spans="2:3" x14ac:dyDescent="0.35">
      <c r="B7961" t="s">
        <v>945</v>
      </c>
      <c r="C7961" t="s">
        <v>946</v>
      </c>
    </row>
    <row r="7962" spans="2:3" x14ac:dyDescent="0.35">
      <c r="B7962" t="s">
        <v>1212</v>
      </c>
      <c r="C7962" t="s">
        <v>1213</v>
      </c>
    </row>
    <row r="7963" spans="2:3" x14ac:dyDescent="0.35">
      <c r="B7963" t="s">
        <v>945</v>
      </c>
      <c r="C7963" t="s">
        <v>946</v>
      </c>
    </row>
    <row r="7964" spans="2:3" x14ac:dyDescent="0.35">
      <c r="B7964" t="s">
        <v>988</v>
      </c>
      <c r="C7964" t="s">
        <v>989</v>
      </c>
    </row>
    <row r="7965" spans="2:3" x14ac:dyDescent="0.35">
      <c r="B7965" t="s">
        <v>988</v>
      </c>
      <c r="C7965" t="s">
        <v>989</v>
      </c>
    </row>
    <row r="7966" spans="2:3" x14ac:dyDescent="0.35">
      <c r="B7966" t="s">
        <v>543</v>
      </c>
      <c r="C7966" t="s">
        <v>544</v>
      </c>
    </row>
    <row r="7967" spans="2:3" x14ac:dyDescent="0.35">
      <c r="B7967" t="s">
        <v>1077</v>
      </c>
      <c r="C7967" t="s">
        <v>1078</v>
      </c>
    </row>
    <row r="7968" spans="2:3" x14ac:dyDescent="0.35">
      <c r="B7968" t="s">
        <v>990</v>
      </c>
      <c r="C7968" t="s">
        <v>991</v>
      </c>
    </row>
    <row r="7969" spans="2:3" x14ac:dyDescent="0.35">
      <c r="B7969" t="s">
        <v>988</v>
      </c>
      <c r="C7969" t="s">
        <v>989</v>
      </c>
    </row>
    <row r="7970" spans="2:3" x14ac:dyDescent="0.35">
      <c r="B7970" t="s">
        <v>990</v>
      </c>
      <c r="C7970" t="s">
        <v>991</v>
      </c>
    </row>
    <row r="7971" spans="2:3" x14ac:dyDescent="0.35">
      <c r="B7971" t="s">
        <v>988</v>
      </c>
      <c r="C7971" t="s">
        <v>989</v>
      </c>
    </row>
    <row r="7972" spans="2:3" x14ac:dyDescent="0.35">
      <c r="B7972" t="s">
        <v>945</v>
      </c>
      <c r="C7972" t="s">
        <v>946</v>
      </c>
    </row>
    <row r="7973" spans="2:3" x14ac:dyDescent="0.35">
      <c r="B7973" t="s">
        <v>945</v>
      </c>
      <c r="C7973" t="s">
        <v>946</v>
      </c>
    </row>
    <row r="7974" spans="2:3" x14ac:dyDescent="0.35">
      <c r="B7974" t="s">
        <v>945</v>
      </c>
      <c r="C7974" t="s">
        <v>946</v>
      </c>
    </row>
    <row r="7975" spans="2:3" x14ac:dyDescent="0.35">
      <c r="B7975" t="s">
        <v>1212</v>
      </c>
      <c r="C7975" t="s">
        <v>1213</v>
      </c>
    </row>
    <row r="7976" spans="2:3" x14ac:dyDescent="0.35">
      <c r="B7976" t="s">
        <v>988</v>
      </c>
      <c r="C7976" t="s">
        <v>989</v>
      </c>
    </row>
    <row r="7977" spans="2:3" x14ac:dyDescent="0.35">
      <c r="B7977" t="s">
        <v>988</v>
      </c>
      <c r="C7977" t="s">
        <v>989</v>
      </c>
    </row>
    <row r="7978" spans="2:3" x14ac:dyDescent="0.35">
      <c r="B7978" t="s">
        <v>988</v>
      </c>
      <c r="C7978" t="s">
        <v>989</v>
      </c>
    </row>
    <row r="7979" spans="2:3" x14ac:dyDescent="0.35">
      <c r="B7979" t="s">
        <v>543</v>
      </c>
      <c r="C7979" t="s">
        <v>544</v>
      </c>
    </row>
    <row r="7980" spans="2:3" x14ac:dyDescent="0.35">
      <c r="B7980" t="s">
        <v>988</v>
      </c>
      <c r="C7980" t="s">
        <v>989</v>
      </c>
    </row>
    <row r="7981" spans="2:3" x14ac:dyDescent="0.35">
      <c r="B7981" t="s">
        <v>543</v>
      </c>
      <c r="C7981" t="s">
        <v>544</v>
      </c>
    </row>
    <row r="7982" spans="2:3" x14ac:dyDescent="0.35">
      <c r="B7982" t="s">
        <v>680</v>
      </c>
      <c r="C7982" t="s">
        <v>681</v>
      </c>
    </row>
    <row r="7983" spans="2:3" x14ac:dyDescent="0.35">
      <c r="B7983" t="s">
        <v>787</v>
      </c>
      <c r="C7983" t="s">
        <v>788</v>
      </c>
    </row>
    <row r="7984" spans="2:3" x14ac:dyDescent="0.35">
      <c r="B7984" t="s">
        <v>105</v>
      </c>
      <c r="C7984" t="s">
        <v>106</v>
      </c>
    </row>
    <row r="7985" spans="2:3" x14ac:dyDescent="0.35">
      <c r="B7985" t="s">
        <v>680</v>
      </c>
      <c r="C7985" t="s">
        <v>681</v>
      </c>
    </row>
    <row r="7986" spans="2:3" x14ac:dyDescent="0.35">
      <c r="B7986" t="s">
        <v>787</v>
      </c>
      <c r="C7986" t="s">
        <v>788</v>
      </c>
    </row>
    <row r="7987" spans="2:3" x14ac:dyDescent="0.35">
      <c r="B7987" t="s">
        <v>1061</v>
      </c>
      <c r="C7987" t="s">
        <v>1062</v>
      </c>
    </row>
    <row r="7988" spans="2:3" x14ac:dyDescent="0.35">
      <c r="B7988" t="s">
        <v>1061</v>
      </c>
      <c r="C7988" t="s">
        <v>1062</v>
      </c>
    </row>
    <row r="7989" spans="2:3" x14ac:dyDescent="0.35">
      <c r="B7989" t="s">
        <v>1195</v>
      </c>
      <c r="C7989" t="s">
        <v>1195</v>
      </c>
    </row>
    <row r="7990" spans="2:3" x14ac:dyDescent="0.35">
      <c r="B7990" t="s">
        <v>1195</v>
      </c>
      <c r="C7990" t="s">
        <v>1195</v>
      </c>
    </row>
    <row r="7991" spans="2:3" x14ac:dyDescent="0.35">
      <c r="B7991" t="s">
        <v>787</v>
      </c>
      <c r="C7991" t="s">
        <v>788</v>
      </c>
    </row>
    <row r="7992" spans="2:3" x14ac:dyDescent="0.35">
      <c r="B7992" t="s">
        <v>1157</v>
      </c>
      <c r="C7992" t="s">
        <v>1158</v>
      </c>
    </row>
    <row r="7993" spans="2:3" x14ac:dyDescent="0.35">
      <c r="B7993" t="s">
        <v>787</v>
      </c>
      <c r="C7993" t="s">
        <v>788</v>
      </c>
    </row>
    <row r="7994" spans="2:3" x14ac:dyDescent="0.35">
      <c r="B7994" t="s">
        <v>787</v>
      </c>
      <c r="C7994" t="s">
        <v>788</v>
      </c>
    </row>
    <row r="7995" spans="2:3" x14ac:dyDescent="0.35">
      <c r="B7995" t="s">
        <v>787</v>
      </c>
      <c r="C7995" t="s">
        <v>788</v>
      </c>
    </row>
    <row r="7996" spans="2:3" x14ac:dyDescent="0.35">
      <c r="B7996" t="s">
        <v>787</v>
      </c>
      <c r="C7996" t="s">
        <v>788</v>
      </c>
    </row>
    <row r="7997" spans="2:3" x14ac:dyDescent="0.35">
      <c r="B7997" t="s">
        <v>105</v>
      </c>
      <c r="C7997" t="s">
        <v>106</v>
      </c>
    </row>
    <row r="7998" spans="2:3" x14ac:dyDescent="0.35">
      <c r="B7998" t="s">
        <v>787</v>
      </c>
      <c r="C7998" t="s">
        <v>788</v>
      </c>
    </row>
    <row r="7999" spans="2:3" x14ac:dyDescent="0.35">
      <c r="B7999" t="s">
        <v>787</v>
      </c>
      <c r="C7999" t="s">
        <v>788</v>
      </c>
    </row>
    <row r="8000" spans="2:3" x14ac:dyDescent="0.35">
      <c r="B8000" t="s">
        <v>787</v>
      </c>
      <c r="C8000" t="s">
        <v>788</v>
      </c>
    </row>
    <row r="8001" spans="2:3" x14ac:dyDescent="0.35">
      <c r="B8001" t="s">
        <v>680</v>
      </c>
      <c r="C8001" t="s">
        <v>681</v>
      </c>
    </row>
    <row r="8002" spans="2:3" x14ac:dyDescent="0.35">
      <c r="B8002" t="s">
        <v>1112</v>
      </c>
      <c r="C8002" t="s">
        <v>1113</v>
      </c>
    </row>
    <row r="8003" spans="2:3" x14ac:dyDescent="0.35">
      <c r="B8003" t="s">
        <v>787</v>
      </c>
      <c r="C8003" t="s">
        <v>788</v>
      </c>
    </row>
    <row r="8004" spans="2:3" x14ac:dyDescent="0.35">
      <c r="B8004" t="s">
        <v>787</v>
      </c>
      <c r="C8004" t="s">
        <v>788</v>
      </c>
    </row>
    <row r="8005" spans="2:3" x14ac:dyDescent="0.35">
      <c r="B8005" t="s">
        <v>680</v>
      </c>
      <c r="C8005" t="s">
        <v>681</v>
      </c>
    </row>
    <row r="8006" spans="2:3" x14ac:dyDescent="0.35">
      <c r="B8006" t="s">
        <v>700</v>
      </c>
      <c r="C8006" t="s">
        <v>701</v>
      </c>
    </row>
    <row r="8007" spans="2:3" x14ac:dyDescent="0.35">
      <c r="B8007" t="s">
        <v>787</v>
      </c>
      <c r="C8007" t="s">
        <v>788</v>
      </c>
    </row>
    <row r="8008" spans="2:3" x14ac:dyDescent="0.35">
      <c r="B8008" t="s">
        <v>1157</v>
      </c>
      <c r="C8008" t="s">
        <v>1158</v>
      </c>
    </row>
    <row r="8009" spans="2:3" x14ac:dyDescent="0.35">
      <c r="B8009" t="s">
        <v>787</v>
      </c>
      <c r="C8009" t="s">
        <v>788</v>
      </c>
    </row>
    <row r="8010" spans="2:3" x14ac:dyDescent="0.35">
      <c r="B8010" t="s">
        <v>1112</v>
      </c>
      <c r="C8010" t="s">
        <v>1113</v>
      </c>
    </row>
    <row r="8011" spans="2:3" x14ac:dyDescent="0.35">
      <c r="B8011" t="s">
        <v>1139</v>
      </c>
      <c r="C8011" t="s">
        <v>1140</v>
      </c>
    </row>
    <row r="8012" spans="2:3" x14ac:dyDescent="0.35">
      <c r="B8012" t="s">
        <v>277</v>
      </c>
      <c r="C8012" t="s">
        <v>278</v>
      </c>
    </row>
    <row r="8013" spans="2:3" x14ac:dyDescent="0.35">
      <c r="B8013" t="s">
        <v>277</v>
      </c>
      <c r="C8013" t="s">
        <v>278</v>
      </c>
    </row>
    <row r="8014" spans="2:3" x14ac:dyDescent="0.35">
      <c r="B8014" t="s">
        <v>1129</v>
      </c>
      <c r="C8014" t="s">
        <v>1130</v>
      </c>
    </row>
    <row r="8015" spans="2:3" x14ac:dyDescent="0.35">
      <c r="B8015" t="s">
        <v>30</v>
      </c>
      <c r="C8015" t="s">
        <v>31</v>
      </c>
    </row>
    <row r="8016" spans="2:3" x14ac:dyDescent="0.35">
      <c r="B8016" t="s">
        <v>1157</v>
      </c>
      <c r="C8016" t="s">
        <v>1158</v>
      </c>
    </row>
    <row r="8017" spans="2:3" x14ac:dyDescent="0.35">
      <c r="B8017" t="s">
        <v>277</v>
      </c>
      <c r="C8017" t="s">
        <v>278</v>
      </c>
    </row>
    <row r="8018" spans="2:3" x14ac:dyDescent="0.35">
      <c r="B8018" t="s">
        <v>1129</v>
      </c>
      <c r="C8018" t="s">
        <v>1130</v>
      </c>
    </row>
    <row r="8019" spans="2:3" x14ac:dyDescent="0.35">
      <c r="B8019" t="s">
        <v>1129</v>
      </c>
      <c r="C8019" t="s">
        <v>1130</v>
      </c>
    </row>
    <row r="8020" spans="2:3" x14ac:dyDescent="0.35">
      <c r="B8020" t="s">
        <v>1129</v>
      </c>
      <c r="C8020" t="s">
        <v>1130</v>
      </c>
    </row>
    <row r="8021" spans="2:3" x14ac:dyDescent="0.35">
      <c r="B8021" t="s">
        <v>1129</v>
      </c>
      <c r="C8021" t="s">
        <v>1130</v>
      </c>
    </row>
    <row r="8022" spans="2:3" x14ac:dyDescent="0.35">
      <c r="B8022" t="s">
        <v>1129</v>
      </c>
      <c r="C8022" t="s">
        <v>1130</v>
      </c>
    </row>
    <row r="8023" spans="2:3" x14ac:dyDescent="0.35">
      <c r="B8023" t="s">
        <v>1195</v>
      </c>
      <c r="C8023" t="s">
        <v>1195</v>
      </c>
    </row>
    <row r="8024" spans="2:3" x14ac:dyDescent="0.35">
      <c r="B8024" t="s">
        <v>1129</v>
      </c>
      <c r="C8024" t="s">
        <v>1130</v>
      </c>
    </row>
    <row r="8025" spans="2:3" x14ac:dyDescent="0.35">
      <c r="B8025" t="s">
        <v>1129</v>
      </c>
      <c r="C8025" t="s">
        <v>1130</v>
      </c>
    </row>
    <row r="8026" spans="2:3" x14ac:dyDescent="0.35">
      <c r="B8026" t="s">
        <v>1187</v>
      </c>
      <c r="C8026" t="s">
        <v>1188</v>
      </c>
    </row>
    <row r="8027" spans="2:3" x14ac:dyDescent="0.35">
      <c r="B8027" t="s">
        <v>471</v>
      </c>
      <c r="C8027" t="s">
        <v>472</v>
      </c>
    </row>
    <row r="8028" spans="2:3" x14ac:dyDescent="0.35">
      <c r="B8028" t="s">
        <v>277</v>
      </c>
      <c r="C8028" t="s">
        <v>278</v>
      </c>
    </row>
    <row r="8029" spans="2:3" x14ac:dyDescent="0.35">
      <c r="B8029" t="s">
        <v>1129</v>
      </c>
      <c r="C8029" t="s">
        <v>1130</v>
      </c>
    </row>
    <row r="8030" spans="2:3" x14ac:dyDescent="0.35">
      <c r="B8030" t="s">
        <v>1129</v>
      </c>
      <c r="C8030" t="s">
        <v>1130</v>
      </c>
    </row>
    <row r="8031" spans="2:3" x14ac:dyDescent="0.35">
      <c r="B8031" t="s">
        <v>1139</v>
      </c>
      <c r="C8031" t="s">
        <v>1140</v>
      </c>
    </row>
    <row r="8032" spans="2:3" x14ac:dyDescent="0.35">
      <c r="B8032" t="s">
        <v>1129</v>
      </c>
      <c r="C8032" t="s">
        <v>1130</v>
      </c>
    </row>
    <row r="8033" spans="2:3" x14ac:dyDescent="0.35">
      <c r="B8033" t="s">
        <v>1195</v>
      </c>
      <c r="C8033" t="s">
        <v>1195</v>
      </c>
    </row>
    <row r="8034" spans="2:3" x14ac:dyDescent="0.35">
      <c r="B8034" t="s">
        <v>1195</v>
      </c>
      <c r="C8034" t="s">
        <v>1195</v>
      </c>
    </row>
    <row r="8035" spans="2:3" x14ac:dyDescent="0.35">
      <c r="B8035" t="s">
        <v>471</v>
      </c>
      <c r="C8035" t="s">
        <v>472</v>
      </c>
    </row>
    <row r="8036" spans="2:3" x14ac:dyDescent="0.35">
      <c r="B8036" t="s">
        <v>473</v>
      </c>
      <c r="C8036" t="s">
        <v>474</v>
      </c>
    </row>
    <row r="8037" spans="2:3" x14ac:dyDescent="0.35">
      <c r="B8037" t="s">
        <v>1129</v>
      </c>
      <c r="C8037" t="s">
        <v>1130</v>
      </c>
    </row>
    <row r="8038" spans="2:3" x14ac:dyDescent="0.35">
      <c r="B8038" t="s">
        <v>1195</v>
      </c>
      <c r="C8038" t="s">
        <v>1195</v>
      </c>
    </row>
    <row r="8039" spans="2:3" x14ac:dyDescent="0.35">
      <c r="B8039" t="s">
        <v>1129</v>
      </c>
      <c r="C8039" t="s">
        <v>1130</v>
      </c>
    </row>
    <row r="8040" spans="2:3" x14ac:dyDescent="0.35">
      <c r="B8040" t="s">
        <v>1139</v>
      </c>
      <c r="C8040" t="s">
        <v>1140</v>
      </c>
    </row>
    <row r="8041" spans="2:3" x14ac:dyDescent="0.35">
      <c r="B8041" t="s">
        <v>473</v>
      </c>
      <c r="C8041" t="s">
        <v>474</v>
      </c>
    </row>
    <row r="8042" spans="2:3" x14ac:dyDescent="0.35">
      <c r="B8042" t="s">
        <v>1172</v>
      </c>
      <c r="C8042" t="s">
        <v>1173</v>
      </c>
    </row>
    <row r="8043" spans="2:3" x14ac:dyDescent="0.35">
      <c r="B8043" t="s">
        <v>1129</v>
      </c>
      <c r="C8043" t="s">
        <v>1130</v>
      </c>
    </row>
    <row r="8044" spans="2:3" x14ac:dyDescent="0.35">
      <c r="B8044" t="s">
        <v>1195</v>
      </c>
      <c r="C8044" t="s">
        <v>1195</v>
      </c>
    </row>
    <row r="8045" spans="2:3" x14ac:dyDescent="0.35">
      <c r="B8045" t="s">
        <v>277</v>
      </c>
      <c r="C8045" t="s">
        <v>278</v>
      </c>
    </row>
    <row r="8046" spans="2:3" x14ac:dyDescent="0.35">
      <c r="B8046" t="s">
        <v>1195</v>
      </c>
      <c r="C8046" t="s">
        <v>1195</v>
      </c>
    </row>
    <row r="8047" spans="2:3" x14ac:dyDescent="0.35">
      <c r="B8047" t="s">
        <v>471</v>
      </c>
      <c r="C8047" t="s">
        <v>472</v>
      </c>
    </row>
    <row r="8048" spans="2:3" x14ac:dyDescent="0.35">
      <c r="B8048" t="s">
        <v>1129</v>
      </c>
      <c r="C8048" t="s">
        <v>1130</v>
      </c>
    </row>
    <row r="8049" spans="2:3" x14ac:dyDescent="0.35">
      <c r="B8049" t="s">
        <v>1129</v>
      </c>
      <c r="C8049" t="s">
        <v>1130</v>
      </c>
    </row>
    <row r="8050" spans="2:3" x14ac:dyDescent="0.35">
      <c r="B8050" t="s">
        <v>473</v>
      </c>
      <c r="C8050" t="s">
        <v>474</v>
      </c>
    </row>
    <row r="8051" spans="2:3" x14ac:dyDescent="0.35">
      <c r="B8051" t="s">
        <v>471</v>
      </c>
      <c r="C8051" t="s">
        <v>472</v>
      </c>
    </row>
    <row r="8052" spans="2:3" x14ac:dyDescent="0.35">
      <c r="B8052" t="s">
        <v>277</v>
      </c>
      <c r="C8052" t="s">
        <v>278</v>
      </c>
    </row>
    <row r="8053" spans="2:3" x14ac:dyDescent="0.35">
      <c r="B8053" t="s">
        <v>1195</v>
      </c>
      <c r="C8053" t="s">
        <v>1195</v>
      </c>
    </row>
    <row r="8054" spans="2:3" x14ac:dyDescent="0.35">
      <c r="B8054" t="s">
        <v>1195</v>
      </c>
      <c r="C8054" t="s">
        <v>1195</v>
      </c>
    </row>
    <row r="8055" spans="2:3" x14ac:dyDescent="0.35">
      <c r="B8055" t="s">
        <v>1195</v>
      </c>
      <c r="C8055" t="s">
        <v>1195</v>
      </c>
    </row>
    <row r="8056" spans="2:3" x14ac:dyDescent="0.35">
      <c r="B8056" t="s">
        <v>1195</v>
      </c>
      <c r="C8056" t="s">
        <v>1195</v>
      </c>
    </row>
    <row r="8057" spans="2:3" x14ac:dyDescent="0.35">
      <c r="B8057" t="s">
        <v>1195</v>
      </c>
      <c r="C8057" t="s">
        <v>1195</v>
      </c>
    </row>
    <row r="8058" spans="2:3" x14ac:dyDescent="0.35">
      <c r="B8058" t="s">
        <v>787</v>
      </c>
      <c r="C8058" t="s">
        <v>788</v>
      </c>
    </row>
    <row r="8059" spans="2:3" x14ac:dyDescent="0.35">
      <c r="B8059" t="s">
        <v>787</v>
      </c>
      <c r="C8059" t="s">
        <v>788</v>
      </c>
    </row>
    <row r="8060" spans="2:3" x14ac:dyDescent="0.35">
      <c r="B8060" t="s">
        <v>1195</v>
      </c>
      <c r="C8060" t="s">
        <v>1195</v>
      </c>
    </row>
    <row r="8061" spans="2:3" x14ac:dyDescent="0.35">
      <c r="B8061" t="s">
        <v>787</v>
      </c>
      <c r="C8061" t="s">
        <v>788</v>
      </c>
    </row>
    <row r="8062" spans="2:3" x14ac:dyDescent="0.35">
      <c r="B8062" t="s">
        <v>1195</v>
      </c>
      <c r="C8062" t="s">
        <v>1195</v>
      </c>
    </row>
    <row r="8063" spans="2:3" x14ac:dyDescent="0.35">
      <c r="B8063" t="s">
        <v>1195</v>
      </c>
      <c r="C8063" t="s">
        <v>1195</v>
      </c>
    </row>
    <row r="8064" spans="2:3" x14ac:dyDescent="0.35">
      <c r="B8064" t="s">
        <v>787</v>
      </c>
      <c r="C8064" t="s">
        <v>788</v>
      </c>
    </row>
    <row r="8065" spans="2:3" x14ac:dyDescent="0.35">
      <c r="B8065" t="s">
        <v>138</v>
      </c>
      <c r="C8065" t="s">
        <v>139</v>
      </c>
    </row>
    <row r="8066" spans="2:3" x14ac:dyDescent="0.35">
      <c r="B8066" t="s">
        <v>974</v>
      </c>
      <c r="C8066" t="s">
        <v>975</v>
      </c>
    </row>
    <row r="8067" spans="2:3" x14ac:dyDescent="0.35">
      <c r="B8067" t="s">
        <v>100</v>
      </c>
      <c r="C8067" t="s">
        <v>101</v>
      </c>
    </row>
    <row r="8068" spans="2:3" x14ac:dyDescent="0.35">
      <c r="B8068" t="s">
        <v>799</v>
      </c>
      <c r="C8068" t="s">
        <v>800</v>
      </c>
    </row>
    <row r="8070" spans="2:3" x14ac:dyDescent="0.35">
      <c r="B8070" t="s">
        <v>1195</v>
      </c>
      <c r="C8070" t="s">
        <v>1195</v>
      </c>
    </row>
    <row r="8083" spans="2:3" x14ac:dyDescent="0.35">
      <c r="B8083" t="s">
        <v>1195</v>
      </c>
      <c r="C8083" t="s">
        <v>1195</v>
      </c>
    </row>
    <row r="8084" spans="2:3" x14ac:dyDescent="0.35">
      <c r="B8084" t="s">
        <v>1195</v>
      </c>
      <c r="C8084" t="s">
        <v>1195</v>
      </c>
    </row>
    <row r="8090" spans="2:3" x14ac:dyDescent="0.35">
      <c r="B8090" t="s">
        <v>1195</v>
      </c>
      <c r="C8090" t="s">
        <v>1195</v>
      </c>
    </row>
    <row r="8091" spans="2:3" x14ac:dyDescent="0.35">
      <c r="B8091" t="s">
        <v>1195</v>
      </c>
      <c r="C8091" t="s">
        <v>1195</v>
      </c>
    </row>
    <row r="8096" spans="2:3" x14ac:dyDescent="0.35">
      <c r="B8096" t="s">
        <v>787</v>
      </c>
      <c r="C8096" t="s">
        <v>788</v>
      </c>
    </row>
    <row r="8097" spans="2:3" x14ac:dyDescent="0.35">
      <c r="B8097" t="s">
        <v>787</v>
      </c>
      <c r="C8097" t="s">
        <v>788</v>
      </c>
    </row>
    <row r="8100" spans="2:3" x14ac:dyDescent="0.35">
      <c r="B8100" t="s">
        <v>787</v>
      </c>
      <c r="C8100" t="s">
        <v>788</v>
      </c>
    </row>
    <row r="8102" spans="2:3" x14ac:dyDescent="0.35">
      <c r="B8102" t="s">
        <v>1195</v>
      </c>
      <c r="C8102" t="s">
        <v>1195</v>
      </c>
    </row>
    <row r="8106" spans="2:3" x14ac:dyDescent="0.35">
      <c r="B8106" t="s">
        <v>787</v>
      </c>
      <c r="C8106" t="s">
        <v>788</v>
      </c>
    </row>
    <row r="8115" spans="2:3" x14ac:dyDescent="0.35">
      <c r="B8115" t="s">
        <v>1195</v>
      </c>
      <c r="C8115" t="s">
        <v>1195</v>
      </c>
    </row>
    <row r="8117" spans="2:3" x14ac:dyDescent="0.35">
      <c r="B8117" t="s">
        <v>787</v>
      </c>
      <c r="C8117" t="s">
        <v>788</v>
      </c>
    </row>
    <row r="8118" spans="2:3" x14ac:dyDescent="0.35">
      <c r="B8118" t="s">
        <v>1195</v>
      </c>
      <c r="C8118" t="s">
        <v>1195</v>
      </c>
    </row>
    <row r="8120" spans="2:3" x14ac:dyDescent="0.35">
      <c r="B8120" t="s">
        <v>787</v>
      </c>
      <c r="C8120" t="s">
        <v>788</v>
      </c>
    </row>
    <row r="8122" spans="2:3" x14ac:dyDescent="0.35">
      <c r="B8122" t="s">
        <v>787</v>
      </c>
      <c r="C8122" t="s">
        <v>788</v>
      </c>
    </row>
    <row r="8123" spans="2:3" x14ac:dyDescent="0.35">
      <c r="B8123" t="s">
        <v>1195</v>
      </c>
      <c r="C8123" t="s">
        <v>1195</v>
      </c>
    </row>
    <row r="8126" spans="2:3" x14ac:dyDescent="0.35">
      <c r="B8126" t="s">
        <v>1195</v>
      </c>
      <c r="C8126" t="s">
        <v>1195</v>
      </c>
    </row>
    <row r="8127" spans="2:3" x14ac:dyDescent="0.35">
      <c r="B8127" t="s">
        <v>1195</v>
      </c>
      <c r="C8127" t="s">
        <v>1195</v>
      </c>
    </row>
    <row r="8132" spans="2:3" x14ac:dyDescent="0.35">
      <c r="B8132" t="s">
        <v>1195</v>
      </c>
      <c r="C8132" t="s">
        <v>1195</v>
      </c>
    </row>
    <row r="8140" spans="2:3" x14ac:dyDescent="0.35">
      <c r="B8140" t="s">
        <v>1195</v>
      </c>
      <c r="C8140" t="s">
        <v>1195</v>
      </c>
    </row>
    <row r="8144" spans="2:3" x14ac:dyDescent="0.35">
      <c r="B8144" t="s">
        <v>1195</v>
      </c>
      <c r="C8144" t="s">
        <v>1195</v>
      </c>
    </row>
    <row r="8146" spans="2:3" x14ac:dyDescent="0.35">
      <c r="B8146" t="s">
        <v>1195</v>
      </c>
      <c r="C8146" t="s">
        <v>1195</v>
      </c>
    </row>
    <row r="8149" spans="2:3" x14ac:dyDescent="0.35">
      <c r="B8149" t="s">
        <v>787</v>
      </c>
      <c r="C8149" t="s">
        <v>788</v>
      </c>
    </row>
    <row r="8152" spans="2:3" x14ac:dyDescent="0.35">
      <c r="B8152" t="s">
        <v>1195</v>
      </c>
      <c r="C8152" t="s">
        <v>1195</v>
      </c>
    </row>
    <row r="8159" spans="2:3" x14ac:dyDescent="0.35">
      <c r="B8159" t="s">
        <v>787</v>
      </c>
      <c r="C8159" t="s">
        <v>788</v>
      </c>
    </row>
    <row r="8160" spans="2:3" x14ac:dyDescent="0.35">
      <c r="B8160" t="s">
        <v>787</v>
      </c>
      <c r="C8160" t="s">
        <v>788</v>
      </c>
    </row>
    <row r="8168" spans="2:3" x14ac:dyDescent="0.35">
      <c r="B8168" t="s">
        <v>787</v>
      </c>
      <c r="C8168" t="s">
        <v>788</v>
      </c>
    </row>
    <row r="8176" spans="2:3" x14ac:dyDescent="0.35">
      <c r="B8176" t="s">
        <v>787</v>
      </c>
      <c r="C8176" t="s">
        <v>788</v>
      </c>
    </row>
    <row r="8178" spans="2:3" x14ac:dyDescent="0.35">
      <c r="B8178" t="s">
        <v>1195</v>
      </c>
      <c r="C8178" t="s">
        <v>1195</v>
      </c>
    </row>
    <row r="8182" spans="2:3" x14ac:dyDescent="0.35">
      <c r="B8182" t="s">
        <v>1195</v>
      </c>
      <c r="C8182" t="s">
        <v>1195</v>
      </c>
    </row>
    <row r="8185" spans="2:3" x14ac:dyDescent="0.35">
      <c r="B8185" t="s">
        <v>1195</v>
      </c>
      <c r="C8185" t="s">
        <v>1195</v>
      </c>
    </row>
    <row r="8192" spans="2:3" x14ac:dyDescent="0.35">
      <c r="B8192" t="s">
        <v>1195</v>
      </c>
      <c r="C8192" t="s">
        <v>1195</v>
      </c>
    </row>
    <row r="8195" spans="2:3" x14ac:dyDescent="0.35">
      <c r="B8195" t="s">
        <v>787</v>
      </c>
      <c r="C8195" t="s">
        <v>788</v>
      </c>
    </row>
    <row r="8200" spans="2:3" x14ac:dyDescent="0.35">
      <c r="B8200" t="s">
        <v>1195</v>
      </c>
      <c r="C8200" t="s">
        <v>1195</v>
      </c>
    </row>
    <row r="8204" spans="2:3" x14ac:dyDescent="0.35">
      <c r="B8204" t="s">
        <v>1195</v>
      </c>
      <c r="C8204" t="s">
        <v>1195</v>
      </c>
    </row>
    <row r="8206" spans="2:3" x14ac:dyDescent="0.35">
      <c r="B8206" t="s">
        <v>1195</v>
      </c>
      <c r="C8206" t="s">
        <v>1195</v>
      </c>
    </row>
    <row r="8215" spans="2:3" x14ac:dyDescent="0.35">
      <c r="B8215" t="s">
        <v>787</v>
      </c>
      <c r="C8215" t="s">
        <v>788</v>
      </c>
    </row>
    <row r="8216" spans="2:3" x14ac:dyDescent="0.35">
      <c r="B8216" t="s">
        <v>1195</v>
      </c>
      <c r="C8216" t="s">
        <v>1195</v>
      </c>
    </row>
    <row r="8220" spans="2:3" x14ac:dyDescent="0.35">
      <c r="B8220" t="s">
        <v>1195</v>
      </c>
      <c r="C8220" t="s">
        <v>1195</v>
      </c>
    </row>
    <row r="8221" spans="2:3" x14ac:dyDescent="0.35">
      <c r="B8221" t="s">
        <v>1195</v>
      </c>
      <c r="C8221" t="s">
        <v>1195</v>
      </c>
    </row>
    <row r="8224" spans="2:3" x14ac:dyDescent="0.35">
      <c r="B8224" t="s">
        <v>787</v>
      </c>
      <c r="C8224" t="s">
        <v>788</v>
      </c>
    </row>
    <row r="8225" spans="2:3" x14ac:dyDescent="0.35">
      <c r="B8225" t="s">
        <v>1195</v>
      </c>
      <c r="C8225" t="s">
        <v>1195</v>
      </c>
    </row>
    <row r="8232" spans="2:3" x14ac:dyDescent="0.35">
      <c r="B8232" t="s">
        <v>1195</v>
      </c>
      <c r="C8232" t="s">
        <v>1195</v>
      </c>
    </row>
    <row r="8238" spans="2:3" x14ac:dyDescent="0.35">
      <c r="B8238" t="s">
        <v>1195</v>
      </c>
      <c r="C8238" t="s">
        <v>1195</v>
      </c>
    </row>
    <row r="8242" spans="2:3" x14ac:dyDescent="0.35">
      <c r="B8242" t="s">
        <v>1195</v>
      </c>
      <c r="C8242" t="s">
        <v>1195</v>
      </c>
    </row>
    <row r="8246" spans="2:3" x14ac:dyDescent="0.35">
      <c r="B8246" t="s">
        <v>1249</v>
      </c>
      <c r="C8246" t="s">
        <v>1250</v>
      </c>
    </row>
    <row r="8247" spans="2:3" x14ac:dyDescent="0.35">
      <c r="B8247" t="s">
        <v>1247</v>
      </c>
      <c r="C8247" t="s">
        <v>1248</v>
      </c>
    </row>
    <row r="8248" spans="2:3" x14ac:dyDescent="0.35">
      <c r="B8248" t="s">
        <v>1247</v>
      </c>
      <c r="C8248" t="s">
        <v>1248</v>
      </c>
    </row>
    <row r="8249" spans="2:3" x14ac:dyDescent="0.35">
      <c r="B8249" t="s">
        <v>1253</v>
      </c>
      <c r="C8249" t="s">
        <v>1254</v>
      </c>
    </row>
    <row r="8250" spans="2:3" x14ac:dyDescent="0.35">
      <c r="B8250" t="s">
        <v>1247</v>
      </c>
      <c r="C8250" t="s">
        <v>1248</v>
      </c>
    </row>
    <row r="8251" spans="2:3" x14ac:dyDescent="0.35">
      <c r="B8251" t="s">
        <v>1247</v>
      </c>
      <c r="C8251" t="s">
        <v>1248</v>
      </c>
    </row>
    <row r="8252" spans="2:3" x14ac:dyDescent="0.35">
      <c r="B8252" t="s">
        <v>1208</v>
      </c>
      <c r="C8252" t="s">
        <v>1209</v>
      </c>
    </row>
    <row r="8253" spans="2:3" x14ac:dyDescent="0.35">
      <c r="B8253" t="s">
        <v>1247</v>
      </c>
      <c r="C8253" t="s">
        <v>1248</v>
      </c>
    </row>
    <row r="8254" spans="2:3" x14ac:dyDescent="0.35">
      <c r="B8254" t="s">
        <v>1208</v>
      </c>
      <c r="C8254" t="s">
        <v>1209</v>
      </c>
    </row>
    <row r="8255" spans="2:3" x14ac:dyDescent="0.35">
      <c r="B8255" t="s">
        <v>1249</v>
      </c>
      <c r="C8255" t="s">
        <v>1250</v>
      </c>
    </row>
    <row r="8256" spans="2:3" x14ac:dyDescent="0.35">
      <c r="B8256" t="s">
        <v>1251</v>
      </c>
      <c r="C8256" t="s">
        <v>1252</v>
      </c>
    </row>
    <row r="8257" spans="2:3" x14ac:dyDescent="0.35">
      <c r="B8257" t="s">
        <v>1249</v>
      </c>
      <c r="C8257" t="s">
        <v>1250</v>
      </c>
    </row>
    <row r="8258" spans="2:3" x14ac:dyDescent="0.35">
      <c r="B8258" t="s">
        <v>1249</v>
      </c>
      <c r="C8258" t="s">
        <v>1250</v>
      </c>
    </row>
    <row r="8259" spans="2:3" x14ac:dyDescent="0.35">
      <c r="B8259" t="s">
        <v>1247</v>
      </c>
      <c r="C8259" t="s">
        <v>1248</v>
      </c>
    </row>
    <row r="8260" spans="2:3" x14ac:dyDescent="0.35">
      <c r="B8260" t="s">
        <v>1247</v>
      </c>
      <c r="C8260" t="s">
        <v>1248</v>
      </c>
    </row>
    <row r="8261" spans="2:3" x14ac:dyDescent="0.35">
      <c r="B8261" t="s">
        <v>1249</v>
      </c>
      <c r="C8261" t="s">
        <v>1250</v>
      </c>
    </row>
    <row r="8262" spans="2:3" x14ac:dyDescent="0.35">
      <c r="B8262" t="s">
        <v>1247</v>
      </c>
      <c r="C8262" t="s">
        <v>1248</v>
      </c>
    </row>
    <row r="8263" spans="2:3" x14ac:dyDescent="0.35">
      <c r="B8263" t="s">
        <v>1249</v>
      </c>
      <c r="C8263" t="s">
        <v>1250</v>
      </c>
    </row>
    <row r="8264" spans="2:3" x14ac:dyDescent="0.35">
      <c r="B8264" t="s">
        <v>1249</v>
      </c>
      <c r="C8264" t="s">
        <v>1250</v>
      </c>
    </row>
    <row r="8265" spans="2:3" x14ac:dyDescent="0.35">
      <c r="B8265" t="s">
        <v>1249</v>
      </c>
      <c r="C8265" t="s">
        <v>1250</v>
      </c>
    </row>
    <row r="8266" spans="2:3" x14ac:dyDescent="0.35">
      <c r="B8266" t="s">
        <v>1247</v>
      </c>
      <c r="C8266" t="s">
        <v>1248</v>
      </c>
    </row>
    <row r="8267" spans="2:3" x14ac:dyDescent="0.35">
      <c r="B8267" t="s">
        <v>1247</v>
      </c>
      <c r="C8267" t="s">
        <v>1248</v>
      </c>
    </row>
    <row r="8268" spans="2:3" x14ac:dyDescent="0.35">
      <c r="B8268" t="s">
        <v>1249</v>
      </c>
      <c r="C8268" t="s">
        <v>1250</v>
      </c>
    </row>
    <row r="8269" spans="2:3" x14ac:dyDescent="0.35">
      <c r="B8269" t="s">
        <v>1253</v>
      </c>
      <c r="C8269" t="s">
        <v>1254</v>
      </c>
    </row>
    <row r="8270" spans="2:3" x14ac:dyDescent="0.35">
      <c r="B8270" t="s">
        <v>1249</v>
      </c>
      <c r="C8270" t="s">
        <v>1250</v>
      </c>
    </row>
    <row r="8271" spans="2:3" x14ac:dyDescent="0.35">
      <c r="B8271" t="s">
        <v>1253</v>
      </c>
      <c r="C8271" t="s">
        <v>1254</v>
      </c>
    </row>
    <row r="8272" spans="2:3" x14ac:dyDescent="0.35">
      <c r="B8272" t="s">
        <v>1253</v>
      </c>
      <c r="C8272" t="s">
        <v>1254</v>
      </c>
    </row>
    <row r="8273" spans="2:3" x14ac:dyDescent="0.35">
      <c r="B8273" t="s">
        <v>1253</v>
      </c>
      <c r="C8273" t="s">
        <v>1254</v>
      </c>
    </row>
    <row r="8274" spans="2:3" x14ac:dyDescent="0.35">
      <c r="B8274" t="s">
        <v>1247</v>
      </c>
      <c r="C8274" t="s">
        <v>1248</v>
      </c>
    </row>
    <row r="8275" spans="2:3" x14ac:dyDescent="0.35">
      <c r="B8275" t="s">
        <v>1249</v>
      </c>
      <c r="C8275" t="s">
        <v>1250</v>
      </c>
    </row>
    <row r="8276" spans="2:3" x14ac:dyDescent="0.35">
      <c r="B8276" t="s">
        <v>1253</v>
      </c>
      <c r="C8276" t="s">
        <v>1254</v>
      </c>
    </row>
    <row r="8277" spans="2:3" x14ac:dyDescent="0.35">
      <c r="B8277" t="s">
        <v>1253</v>
      </c>
      <c r="C8277" t="s">
        <v>1254</v>
      </c>
    </row>
    <row r="8278" spans="2:3" x14ac:dyDescent="0.35">
      <c r="B8278" t="s">
        <v>1249</v>
      </c>
      <c r="C8278" t="s">
        <v>1250</v>
      </c>
    </row>
    <row r="8279" spans="2:3" x14ac:dyDescent="0.35">
      <c r="B8279" t="s">
        <v>1249</v>
      </c>
      <c r="C8279" t="s">
        <v>1250</v>
      </c>
    </row>
    <row r="8280" spans="2:3" x14ac:dyDescent="0.35">
      <c r="B8280" t="s">
        <v>1247</v>
      </c>
      <c r="C8280" t="s">
        <v>1248</v>
      </c>
    </row>
    <row r="8281" spans="2:3" x14ac:dyDescent="0.35">
      <c r="B8281" t="s">
        <v>1253</v>
      </c>
      <c r="C8281" t="s">
        <v>1254</v>
      </c>
    </row>
    <row r="8282" spans="2:3" x14ac:dyDescent="0.35">
      <c r="B8282" t="s">
        <v>1253</v>
      </c>
      <c r="C8282" t="s">
        <v>1254</v>
      </c>
    </row>
    <row r="8283" spans="2:3" x14ac:dyDescent="0.35">
      <c r="B8283" t="s">
        <v>1249</v>
      </c>
      <c r="C8283" t="s">
        <v>1250</v>
      </c>
    </row>
    <row r="8284" spans="2:3" x14ac:dyDescent="0.35">
      <c r="B8284" t="s">
        <v>1253</v>
      </c>
      <c r="C8284" t="s">
        <v>1254</v>
      </c>
    </row>
    <row r="8285" spans="2:3" x14ac:dyDescent="0.35">
      <c r="B8285" t="s">
        <v>1208</v>
      </c>
      <c r="C8285" t="s">
        <v>1209</v>
      </c>
    </row>
    <row r="8286" spans="2:3" x14ac:dyDescent="0.35">
      <c r="B8286" t="s">
        <v>1247</v>
      </c>
      <c r="C8286" t="s">
        <v>1248</v>
      </c>
    </row>
    <row r="8287" spans="2:3" x14ac:dyDescent="0.35">
      <c r="B8287" t="s">
        <v>1247</v>
      </c>
      <c r="C8287" t="s">
        <v>1248</v>
      </c>
    </row>
    <row r="8288" spans="2:3" x14ac:dyDescent="0.35">
      <c r="B8288" t="s">
        <v>1247</v>
      </c>
      <c r="C8288" t="s">
        <v>1248</v>
      </c>
    </row>
    <row r="8289" spans="2:3" x14ac:dyDescent="0.35">
      <c r="B8289" t="s">
        <v>1253</v>
      </c>
      <c r="C8289" t="s">
        <v>1254</v>
      </c>
    </row>
    <row r="8290" spans="2:3" x14ac:dyDescent="0.35">
      <c r="B8290" t="s">
        <v>1247</v>
      </c>
      <c r="C8290" t="s">
        <v>1248</v>
      </c>
    </row>
    <row r="8291" spans="2:3" x14ac:dyDescent="0.35">
      <c r="B8291" t="s">
        <v>1247</v>
      </c>
      <c r="C8291" t="s">
        <v>1248</v>
      </c>
    </row>
    <row r="8292" spans="2:3" x14ac:dyDescent="0.35">
      <c r="B8292" t="s">
        <v>1253</v>
      </c>
      <c r="C8292" t="s">
        <v>1254</v>
      </c>
    </row>
    <row r="8293" spans="2:3" x14ac:dyDescent="0.35">
      <c r="B8293" t="s">
        <v>1249</v>
      </c>
      <c r="C8293" t="s">
        <v>1250</v>
      </c>
    </row>
    <row r="8294" spans="2:3" x14ac:dyDescent="0.35">
      <c r="B8294" t="s">
        <v>1249</v>
      </c>
      <c r="C8294" t="s">
        <v>1250</v>
      </c>
    </row>
    <row r="8295" spans="2:3" x14ac:dyDescent="0.35">
      <c r="B8295" t="s">
        <v>1253</v>
      </c>
      <c r="C8295" t="s">
        <v>1254</v>
      </c>
    </row>
    <row r="8296" spans="2:3" x14ac:dyDescent="0.35">
      <c r="B8296" t="s">
        <v>1247</v>
      </c>
      <c r="C8296" t="s">
        <v>1248</v>
      </c>
    </row>
    <row r="8297" spans="2:3" x14ac:dyDescent="0.35">
      <c r="B8297" t="s">
        <v>1249</v>
      </c>
      <c r="C8297" t="s">
        <v>1250</v>
      </c>
    </row>
    <row r="8298" spans="2:3" x14ac:dyDescent="0.35">
      <c r="B8298" t="s">
        <v>1253</v>
      </c>
      <c r="C8298" t="s">
        <v>1254</v>
      </c>
    </row>
    <row r="8299" spans="2:3" x14ac:dyDescent="0.35">
      <c r="B8299" t="s">
        <v>1249</v>
      </c>
      <c r="C8299" t="s">
        <v>1250</v>
      </c>
    </row>
    <row r="8300" spans="2:3" x14ac:dyDescent="0.35">
      <c r="B8300" t="s">
        <v>1253</v>
      </c>
      <c r="C8300" t="s">
        <v>1254</v>
      </c>
    </row>
    <row r="8301" spans="2:3" x14ac:dyDescent="0.35">
      <c r="B8301" t="s">
        <v>1249</v>
      </c>
      <c r="C8301" t="s">
        <v>1250</v>
      </c>
    </row>
    <row r="8302" spans="2:3" x14ac:dyDescent="0.35">
      <c r="B8302" t="s">
        <v>1249</v>
      </c>
      <c r="C8302" t="s">
        <v>1250</v>
      </c>
    </row>
    <row r="8303" spans="2:3" x14ac:dyDescent="0.35">
      <c r="B8303" t="s">
        <v>1110</v>
      </c>
      <c r="C8303" t="s">
        <v>1111</v>
      </c>
    </row>
    <row r="8304" spans="2:3" x14ac:dyDescent="0.35">
      <c r="B8304" t="s">
        <v>1247</v>
      </c>
      <c r="C8304" t="s">
        <v>1248</v>
      </c>
    </row>
    <row r="8305" spans="2:3" x14ac:dyDescent="0.35">
      <c r="B8305" t="s">
        <v>1247</v>
      </c>
      <c r="C8305" t="s">
        <v>1248</v>
      </c>
    </row>
    <row r="8306" spans="2:3" x14ac:dyDescent="0.35">
      <c r="B8306" t="s">
        <v>1249</v>
      </c>
      <c r="C8306" t="s">
        <v>1250</v>
      </c>
    </row>
    <row r="8307" spans="2:3" x14ac:dyDescent="0.35">
      <c r="B8307" t="s">
        <v>1247</v>
      </c>
      <c r="C8307" t="s">
        <v>1248</v>
      </c>
    </row>
    <row r="8308" spans="2:3" x14ac:dyDescent="0.35">
      <c r="B8308" t="s">
        <v>1247</v>
      </c>
      <c r="C8308" t="s">
        <v>1248</v>
      </c>
    </row>
    <row r="8309" spans="2:3" x14ac:dyDescent="0.35">
      <c r="B8309" t="s">
        <v>1253</v>
      </c>
      <c r="C8309" t="s">
        <v>1254</v>
      </c>
    </row>
    <row r="8310" spans="2:3" x14ac:dyDescent="0.35">
      <c r="B8310" t="s">
        <v>1253</v>
      </c>
      <c r="C8310" t="s">
        <v>1254</v>
      </c>
    </row>
    <row r="8311" spans="2:3" x14ac:dyDescent="0.35">
      <c r="B8311" t="s">
        <v>1247</v>
      </c>
      <c r="C8311" t="s">
        <v>1248</v>
      </c>
    </row>
    <row r="8312" spans="2:3" x14ac:dyDescent="0.35">
      <c r="B8312" t="s">
        <v>1247</v>
      </c>
      <c r="C8312" t="s">
        <v>1248</v>
      </c>
    </row>
    <row r="8313" spans="2:3" x14ac:dyDescent="0.35">
      <c r="B8313" t="s">
        <v>1249</v>
      </c>
      <c r="C8313" t="s">
        <v>1250</v>
      </c>
    </row>
    <row r="8314" spans="2:3" x14ac:dyDescent="0.35">
      <c r="B8314" t="s">
        <v>1249</v>
      </c>
      <c r="C8314" t="s">
        <v>1250</v>
      </c>
    </row>
    <row r="8315" spans="2:3" x14ac:dyDescent="0.35">
      <c r="B8315" t="s">
        <v>1249</v>
      </c>
      <c r="C8315" t="s">
        <v>1250</v>
      </c>
    </row>
    <row r="8316" spans="2:3" x14ac:dyDescent="0.35">
      <c r="B8316" t="s">
        <v>1247</v>
      </c>
      <c r="C8316" t="s">
        <v>1248</v>
      </c>
    </row>
    <row r="8317" spans="2:3" x14ac:dyDescent="0.35">
      <c r="B8317" t="s">
        <v>1253</v>
      </c>
      <c r="C8317" t="s">
        <v>1254</v>
      </c>
    </row>
    <row r="8318" spans="2:3" x14ac:dyDescent="0.35">
      <c r="B8318" t="s">
        <v>1249</v>
      </c>
      <c r="C8318" t="s">
        <v>1250</v>
      </c>
    </row>
    <row r="8319" spans="2:3" x14ac:dyDescent="0.35">
      <c r="B8319" t="s">
        <v>1247</v>
      </c>
      <c r="C8319" t="s">
        <v>1248</v>
      </c>
    </row>
    <row r="8320" spans="2:3" x14ac:dyDescent="0.35">
      <c r="B8320" t="s">
        <v>1249</v>
      </c>
      <c r="C8320" t="s">
        <v>1250</v>
      </c>
    </row>
    <row r="8321" spans="2:3" x14ac:dyDescent="0.35">
      <c r="B8321" t="s">
        <v>1247</v>
      </c>
      <c r="C8321" t="s">
        <v>1248</v>
      </c>
    </row>
    <row r="8322" spans="2:3" x14ac:dyDescent="0.35">
      <c r="B8322" t="s">
        <v>1247</v>
      </c>
      <c r="C8322" t="s">
        <v>1248</v>
      </c>
    </row>
    <row r="8323" spans="2:3" x14ac:dyDescent="0.35">
      <c r="B8323" t="s">
        <v>1249</v>
      </c>
      <c r="C8323" t="s">
        <v>1250</v>
      </c>
    </row>
    <row r="8324" spans="2:3" x14ac:dyDescent="0.35">
      <c r="B8324" t="s">
        <v>1247</v>
      </c>
      <c r="C8324" t="s">
        <v>1248</v>
      </c>
    </row>
    <row r="8325" spans="2:3" x14ac:dyDescent="0.35">
      <c r="B8325" t="s">
        <v>1249</v>
      </c>
      <c r="C8325" t="s">
        <v>1250</v>
      </c>
    </row>
    <row r="8326" spans="2:3" x14ac:dyDescent="0.35">
      <c r="B8326" t="s">
        <v>1247</v>
      </c>
      <c r="C8326" t="s">
        <v>1248</v>
      </c>
    </row>
    <row r="8327" spans="2:3" x14ac:dyDescent="0.35">
      <c r="B8327" t="s">
        <v>1253</v>
      </c>
      <c r="C8327" t="s">
        <v>1254</v>
      </c>
    </row>
    <row r="8328" spans="2:3" x14ac:dyDescent="0.35">
      <c r="B8328" t="s">
        <v>1247</v>
      </c>
      <c r="C8328" t="s">
        <v>1248</v>
      </c>
    </row>
    <row r="8329" spans="2:3" x14ac:dyDescent="0.35">
      <c r="B8329" t="s">
        <v>362</v>
      </c>
      <c r="C8329" t="s">
        <v>363</v>
      </c>
    </row>
    <row r="8330" spans="2:3" x14ac:dyDescent="0.35">
      <c r="B8330" t="s">
        <v>362</v>
      </c>
      <c r="C8330" t="s">
        <v>363</v>
      </c>
    </row>
    <row r="8331" spans="2:3" x14ac:dyDescent="0.35">
      <c r="B8331" t="s">
        <v>308</v>
      </c>
      <c r="C8331" t="s">
        <v>309</v>
      </c>
    </row>
    <row r="8332" spans="2:3" x14ac:dyDescent="0.35">
      <c r="B8332" t="s">
        <v>337</v>
      </c>
      <c r="C8332" t="s">
        <v>338</v>
      </c>
    </row>
    <row r="8333" spans="2:3" x14ac:dyDescent="0.35">
      <c r="B8333" t="s">
        <v>236</v>
      </c>
      <c r="C8333" t="s">
        <v>237</v>
      </c>
    </row>
    <row r="8334" spans="2:3" x14ac:dyDescent="0.35">
      <c r="B8334" t="s">
        <v>362</v>
      </c>
      <c r="C8334" t="s">
        <v>363</v>
      </c>
    </row>
    <row r="8335" spans="2:3" x14ac:dyDescent="0.35">
      <c r="B8335" t="s">
        <v>112</v>
      </c>
      <c r="C8335" t="s">
        <v>113</v>
      </c>
    </row>
    <row r="8336" spans="2:3" x14ac:dyDescent="0.35">
      <c r="B8336" t="s">
        <v>93</v>
      </c>
      <c r="C8336" t="s">
        <v>94</v>
      </c>
    </row>
    <row r="8337" spans="2:3" x14ac:dyDescent="0.35">
      <c r="B8337" t="s">
        <v>680</v>
      </c>
      <c r="C8337" t="s">
        <v>681</v>
      </c>
    </row>
    <row r="8338" spans="2:3" x14ac:dyDescent="0.35">
      <c r="B8338" t="s">
        <v>362</v>
      </c>
      <c r="C8338" t="s">
        <v>363</v>
      </c>
    </row>
    <row r="8339" spans="2:3" x14ac:dyDescent="0.35">
      <c r="B8339" t="s">
        <v>138</v>
      </c>
      <c r="C8339" t="s">
        <v>139</v>
      </c>
    </row>
    <row r="8340" spans="2:3" x14ac:dyDescent="0.35">
      <c r="B8340" t="s">
        <v>48</v>
      </c>
      <c r="C8340" t="s">
        <v>49</v>
      </c>
    </row>
    <row r="8341" spans="2:3" x14ac:dyDescent="0.35">
      <c r="B8341" t="s">
        <v>362</v>
      </c>
      <c r="C8341" t="s">
        <v>363</v>
      </c>
    </row>
    <row r="8342" spans="2:3" x14ac:dyDescent="0.35">
      <c r="B8342" t="s">
        <v>308</v>
      </c>
      <c r="C8342" t="s">
        <v>309</v>
      </c>
    </row>
    <row r="8343" spans="2:3" x14ac:dyDescent="0.35">
      <c r="B8343" t="s">
        <v>131</v>
      </c>
      <c r="C8343" t="s">
        <v>132</v>
      </c>
    </row>
    <row r="8344" spans="2:3" x14ac:dyDescent="0.35">
      <c r="B8344" t="s">
        <v>234</v>
      </c>
      <c r="C8344" t="s">
        <v>235</v>
      </c>
    </row>
    <row r="8345" spans="2:3" x14ac:dyDescent="0.35">
      <c r="B8345" t="s">
        <v>362</v>
      </c>
      <c r="C8345" t="s">
        <v>363</v>
      </c>
    </row>
    <row r="8346" spans="2:3" x14ac:dyDescent="0.35">
      <c r="B8346" t="s">
        <v>105</v>
      </c>
      <c r="C8346" t="s">
        <v>106</v>
      </c>
    </row>
    <row r="8347" spans="2:3" x14ac:dyDescent="0.35">
      <c r="B8347" t="s">
        <v>703</v>
      </c>
      <c r="C8347" t="s">
        <v>704</v>
      </c>
    </row>
    <row r="8348" spans="2:3" x14ac:dyDescent="0.35">
      <c r="B8348" t="s">
        <v>74</v>
      </c>
      <c r="C8348" t="s">
        <v>75</v>
      </c>
    </row>
    <row r="8349" spans="2:3" x14ac:dyDescent="0.35">
      <c r="B8349" t="s">
        <v>353</v>
      </c>
      <c r="C8349" t="s">
        <v>354</v>
      </c>
    </row>
    <row r="8350" spans="2:3" x14ac:dyDescent="0.35">
      <c r="B8350" t="s">
        <v>703</v>
      </c>
      <c r="C8350" t="s">
        <v>704</v>
      </c>
    </row>
    <row r="8351" spans="2:3" x14ac:dyDescent="0.35">
      <c r="B8351" t="s">
        <v>234</v>
      </c>
      <c r="C8351" t="s">
        <v>235</v>
      </c>
    </row>
    <row r="8352" spans="2:3" x14ac:dyDescent="0.35">
      <c r="B8352" t="s">
        <v>131</v>
      </c>
      <c r="C8352" t="s">
        <v>132</v>
      </c>
    </row>
    <row r="8353" spans="2:3" x14ac:dyDescent="0.35">
      <c r="B8353" t="s">
        <v>680</v>
      </c>
      <c r="C8353" t="s">
        <v>681</v>
      </c>
    </row>
    <row r="8354" spans="2:3" x14ac:dyDescent="0.35">
      <c r="B8354" t="s">
        <v>48</v>
      </c>
      <c r="C8354" t="s">
        <v>49</v>
      </c>
    </row>
    <row r="8355" spans="2:3" x14ac:dyDescent="0.35">
      <c r="B8355" t="s">
        <v>308</v>
      </c>
      <c r="C8355" t="s">
        <v>309</v>
      </c>
    </row>
    <row r="8356" spans="2:3" x14ac:dyDescent="0.35">
      <c r="B8356" t="s">
        <v>74</v>
      </c>
      <c r="C8356" t="s">
        <v>75</v>
      </c>
    </row>
    <row r="8357" spans="2:3" x14ac:dyDescent="0.35">
      <c r="B8357" t="s">
        <v>680</v>
      </c>
      <c r="C8357" t="s">
        <v>681</v>
      </c>
    </row>
    <row r="8358" spans="2:3" x14ac:dyDescent="0.35">
      <c r="B8358" t="s">
        <v>236</v>
      </c>
      <c r="C8358" t="s">
        <v>237</v>
      </c>
    </row>
    <row r="8359" spans="2:3" x14ac:dyDescent="0.35">
      <c r="B8359" t="s">
        <v>236</v>
      </c>
      <c r="C8359" t="s">
        <v>237</v>
      </c>
    </row>
    <row r="8360" spans="2:3" x14ac:dyDescent="0.35">
      <c r="B8360" t="s">
        <v>680</v>
      </c>
      <c r="C8360" t="s">
        <v>681</v>
      </c>
    </row>
    <row r="8361" spans="2:3" x14ac:dyDescent="0.35">
      <c r="B8361" t="s">
        <v>131</v>
      </c>
      <c r="C8361" t="s">
        <v>132</v>
      </c>
    </row>
    <row r="8362" spans="2:3" x14ac:dyDescent="0.35">
      <c r="B8362" t="s">
        <v>48</v>
      </c>
      <c r="C8362" t="s">
        <v>49</v>
      </c>
    </row>
    <row r="8363" spans="2:3" x14ac:dyDescent="0.35">
      <c r="B8363" t="s">
        <v>236</v>
      </c>
      <c r="C8363" t="s">
        <v>237</v>
      </c>
    </row>
    <row r="8364" spans="2:3" x14ac:dyDescent="0.35">
      <c r="B8364" t="s">
        <v>236</v>
      </c>
      <c r="C8364" t="s">
        <v>237</v>
      </c>
    </row>
    <row r="8365" spans="2:3" x14ac:dyDescent="0.35">
      <c r="B8365" t="s">
        <v>143</v>
      </c>
      <c r="C8365" t="s">
        <v>144</v>
      </c>
    </row>
    <row r="8366" spans="2:3" x14ac:dyDescent="0.35">
      <c r="B8366" t="s">
        <v>67</v>
      </c>
      <c r="C8366" t="s">
        <v>68</v>
      </c>
    </row>
    <row r="8367" spans="2:3" x14ac:dyDescent="0.35">
      <c r="B8367" t="s">
        <v>680</v>
      </c>
      <c r="C8367" t="s">
        <v>681</v>
      </c>
    </row>
    <row r="8368" spans="2:3" x14ac:dyDescent="0.35">
      <c r="B8368" t="s">
        <v>1137</v>
      </c>
      <c r="C8368" t="s">
        <v>1138</v>
      </c>
    </row>
    <row r="8369" spans="2:3" x14ac:dyDescent="0.35">
      <c r="B8369" t="s">
        <v>138</v>
      </c>
      <c r="C8369" t="s">
        <v>139</v>
      </c>
    </row>
    <row r="8370" spans="2:3" x14ac:dyDescent="0.35">
      <c r="B8370" t="s">
        <v>138</v>
      </c>
      <c r="C8370" t="s">
        <v>139</v>
      </c>
    </row>
    <row r="8371" spans="2:3" x14ac:dyDescent="0.35">
      <c r="B8371" t="s">
        <v>48</v>
      </c>
      <c r="C8371" t="s">
        <v>49</v>
      </c>
    </row>
    <row r="8372" spans="2:3" x14ac:dyDescent="0.35">
      <c r="B8372" t="s">
        <v>48</v>
      </c>
      <c r="C8372" t="s">
        <v>49</v>
      </c>
    </row>
    <row r="8373" spans="2:3" x14ac:dyDescent="0.35">
      <c r="B8373" t="s">
        <v>420</v>
      </c>
      <c r="C8373" t="s">
        <v>421</v>
      </c>
    </row>
    <row r="8374" spans="2:3" x14ac:dyDescent="0.35">
      <c r="B8374" t="s">
        <v>74</v>
      </c>
      <c r="C8374" t="s">
        <v>75</v>
      </c>
    </row>
    <row r="8375" spans="2:3" x14ac:dyDescent="0.35">
      <c r="B8375" t="s">
        <v>234</v>
      </c>
      <c r="C8375" t="s">
        <v>235</v>
      </c>
    </row>
    <row r="8376" spans="2:3" x14ac:dyDescent="0.35">
      <c r="B8376" t="s">
        <v>308</v>
      </c>
      <c r="C8376" t="s">
        <v>309</v>
      </c>
    </row>
    <row r="8377" spans="2:3" x14ac:dyDescent="0.35">
      <c r="B8377" t="s">
        <v>416</v>
      </c>
      <c r="C8377" t="s">
        <v>417</v>
      </c>
    </row>
    <row r="8378" spans="2:3" x14ac:dyDescent="0.35">
      <c r="B8378" t="s">
        <v>138</v>
      </c>
      <c r="C8378" t="s">
        <v>139</v>
      </c>
    </row>
    <row r="8379" spans="2:3" x14ac:dyDescent="0.35">
      <c r="B8379" t="s">
        <v>680</v>
      </c>
      <c r="C8379" t="s">
        <v>681</v>
      </c>
    </row>
    <row r="8380" spans="2:3" x14ac:dyDescent="0.35">
      <c r="B8380" t="s">
        <v>138</v>
      </c>
      <c r="C8380" t="s">
        <v>139</v>
      </c>
    </row>
    <row r="8381" spans="2:3" x14ac:dyDescent="0.35">
      <c r="B8381" t="s">
        <v>74</v>
      </c>
      <c r="C8381" t="s">
        <v>75</v>
      </c>
    </row>
    <row r="8382" spans="2:3" x14ac:dyDescent="0.35">
      <c r="B8382" t="s">
        <v>138</v>
      </c>
      <c r="C8382" t="s">
        <v>139</v>
      </c>
    </row>
    <row r="8383" spans="2:3" x14ac:dyDescent="0.35">
      <c r="B8383" t="s">
        <v>236</v>
      </c>
      <c r="C8383" t="s">
        <v>237</v>
      </c>
    </row>
    <row r="8384" spans="2:3" x14ac:dyDescent="0.35">
      <c r="B8384" t="s">
        <v>138</v>
      </c>
      <c r="C8384" t="s">
        <v>139</v>
      </c>
    </row>
    <row r="8385" spans="2:3" x14ac:dyDescent="0.35">
      <c r="B8385" t="s">
        <v>700</v>
      </c>
      <c r="C8385" t="s">
        <v>701</v>
      </c>
    </row>
    <row r="8386" spans="2:3" x14ac:dyDescent="0.35">
      <c r="B8386" t="s">
        <v>74</v>
      </c>
      <c r="C8386" t="s">
        <v>75</v>
      </c>
    </row>
    <row r="8387" spans="2:3" x14ac:dyDescent="0.35">
      <c r="B8387" t="s">
        <v>236</v>
      </c>
      <c r="C8387" t="s">
        <v>237</v>
      </c>
    </row>
    <row r="8388" spans="2:3" x14ac:dyDescent="0.35">
      <c r="B8388" t="s">
        <v>326</v>
      </c>
      <c r="C8388" t="s">
        <v>327</v>
      </c>
    </row>
    <row r="8389" spans="2:3" x14ac:dyDescent="0.35">
      <c r="B8389" t="s">
        <v>131</v>
      </c>
      <c r="C8389" t="s">
        <v>132</v>
      </c>
    </row>
    <row r="8390" spans="2:3" x14ac:dyDescent="0.35">
      <c r="B8390" t="s">
        <v>74</v>
      </c>
      <c r="C8390" t="s">
        <v>75</v>
      </c>
    </row>
    <row r="8391" spans="2:3" x14ac:dyDescent="0.35">
      <c r="B8391" t="s">
        <v>326</v>
      </c>
      <c r="C8391" t="s">
        <v>327</v>
      </c>
    </row>
    <row r="8392" spans="2:3" x14ac:dyDescent="0.35">
      <c r="B8392" t="s">
        <v>362</v>
      </c>
      <c r="C8392" t="s">
        <v>363</v>
      </c>
    </row>
    <row r="8393" spans="2:3" x14ac:dyDescent="0.35">
      <c r="B8393" t="s">
        <v>234</v>
      </c>
      <c r="C8393" t="s">
        <v>235</v>
      </c>
    </row>
    <row r="8394" spans="2:3" x14ac:dyDescent="0.35">
      <c r="B8394" t="s">
        <v>308</v>
      </c>
      <c r="C8394" t="s">
        <v>309</v>
      </c>
    </row>
    <row r="8395" spans="2:3" x14ac:dyDescent="0.35">
      <c r="B8395" t="s">
        <v>112</v>
      </c>
      <c r="C8395" t="s">
        <v>113</v>
      </c>
    </row>
    <row r="8396" spans="2:3" x14ac:dyDescent="0.35">
      <c r="B8396" t="s">
        <v>362</v>
      </c>
      <c r="C8396" t="s">
        <v>363</v>
      </c>
    </row>
    <row r="8397" spans="2:3" x14ac:dyDescent="0.35">
      <c r="B8397" t="s">
        <v>100</v>
      </c>
      <c r="C8397" t="s">
        <v>101</v>
      </c>
    </row>
    <row r="8398" spans="2:3" x14ac:dyDescent="0.35">
      <c r="B8398" t="s">
        <v>48</v>
      </c>
      <c r="C8398" t="s">
        <v>49</v>
      </c>
    </row>
    <row r="8399" spans="2:3" x14ac:dyDescent="0.35">
      <c r="B8399" t="s">
        <v>234</v>
      </c>
      <c r="C8399" t="s">
        <v>235</v>
      </c>
    </row>
    <row r="8400" spans="2:3" x14ac:dyDescent="0.35">
      <c r="B8400" t="s">
        <v>131</v>
      </c>
      <c r="C8400" t="s">
        <v>132</v>
      </c>
    </row>
    <row r="8401" spans="2:3" x14ac:dyDescent="0.35">
      <c r="B8401" t="s">
        <v>48</v>
      </c>
      <c r="C8401" t="s">
        <v>49</v>
      </c>
    </row>
    <row r="8402" spans="2:3" x14ac:dyDescent="0.35">
      <c r="B8402" t="s">
        <v>353</v>
      </c>
      <c r="C8402" t="s">
        <v>354</v>
      </c>
    </row>
    <row r="8403" spans="2:3" x14ac:dyDescent="0.35">
      <c r="B8403" t="s">
        <v>131</v>
      </c>
      <c r="C8403" t="s">
        <v>132</v>
      </c>
    </row>
    <row r="8404" spans="2:3" x14ac:dyDescent="0.35">
      <c r="B8404" t="s">
        <v>131</v>
      </c>
      <c r="C8404" t="s">
        <v>132</v>
      </c>
    </row>
    <row r="8405" spans="2:3" x14ac:dyDescent="0.35">
      <c r="B8405" t="s">
        <v>680</v>
      </c>
      <c r="C8405" t="s">
        <v>681</v>
      </c>
    </row>
    <row r="8406" spans="2:3" x14ac:dyDescent="0.35">
      <c r="B8406" t="s">
        <v>74</v>
      </c>
      <c r="C8406" t="s">
        <v>75</v>
      </c>
    </row>
    <row r="8407" spans="2:3" x14ac:dyDescent="0.35">
      <c r="B8407" t="s">
        <v>703</v>
      </c>
      <c r="C8407" t="s">
        <v>704</v>
      </c>
    </row>
    <row r="8408" spans="2:3" x14ac:dyDescent="0.35">
      <c r="B8408" t="s">
        <v>131</v>
      </c>
      <c r="C8408" t="s">
        <v>132</v>
      </c>
    </row>
    <row r="8409" spans="2:3" x14ac:dyDescent="0.35">
      <c r="B8409" t="s">
        <v>362</v>
      </c>
      <c r="C8409" t="s">
        <v>363</v>
      </c>
    </row>
    <row r="8410" spans="2:3" x14ac:dyDescent="0.35">
      <c r="B8410" t="s">
        <v>326</v>
      </c>
      <c r="C8410" t="s">
        <v>327</v>
      </c>
    </row>
    <row r="8411" spans="2:3" x14ac:dyDescent="0.35">
      <c r="B8411" t="s">
        <v>308</v>
      </c>
      <c r="C8411" t="s">
        <v>309</v>
      </c>
    </row>
    <row r="8412" spans="2:3" x14ac:dyDescent="0.35">
      <c r="B8412" t="s">
        <v>93</v>
      </c>
      <c r="C8412" t="s">
        <v>94</v>
      </c>
    </row>
    <row r="8413" spans="2:3" x14ac:dyDescent="0.35">
      <c r="B8413" t="s">
        <v>138</v>
      </c>
      <c r="C8413" t="s">
        <v>139</v>
      </c>
    </row>
    <row r="8414" spans="2:3" x14ac:dyDescent="0.35">
      <c r="B8414" t="s">
        <v>122</v>
      </c>
      <c r="C8414" t="s">
        <v>123</v>
      </c>
    </row>
    <row r="8415" spans="2:3" x14ac:dyDescent="0.35">
      <c r="B8415" t="s">
        <v>703</v>
      </c>
      <c r="C8415" t="s">
        <v>704</v>
      </c>
    </row>
    <row r="8416" spans="2:3" x14ac:dyDescent="0.35">
      <c r="B8416" t="s">
        <v>236</v>
      </c>
      <c r="C8416" t="s">
        <v>237</v>
      </c>
    </row>
    <row r="8417" spans="2:3" x14ac:dyDescent="0.35">
      <c r="B8417" t="s">
        <v>236</v>
      </c>
      <c r="C8417" t="s">
        <v>237</v>
      </c>
    </row>
    <row r="8418" spans="2:3" x14ac:dyDescent="0.35">
      <c r="B8418" t="s">
        <v>703</v>
      </c>
      <c r="C8418" t="s">
        <v>704</v>
      </c>
    </row>
    <row r="8419" spans="2:3" x14ac:dyDescent="0.35">
      <c r="B8419" t="s">
        <v>703</v>
      </c>
      <c r="C8419" t="s">
        <v>704</v>
      </c>
    </row>
    <row r="8420" spans="2:3" x14ac:dyDescent="0.35">
      <c r="B8420" t="s">
        <v>362</v>
      </c>
      <c r="C8420" t="s">
        <v>363</v>
      </c>
    </row>
    <row r="8421" spans="2:3" x14ac:dyDescent="0.35">
      <c r="B8421" t="s">
        <v>105</v>
      </c>
      <c r="C8421" t="s">
        <v>106</v>
      </c>
    </row>
    <row r="8422" spans="2:3" x14ac:dyDescent="0.35">
      <c r="B8422" t="s">
        <v>138</v>
      </c>
      <c r="C8422" t="s">
        <v>139</v>
      </c>
    </row>
    <row r="8423" spans="2:3" x14ac:dyDescent="0.35">
      <c r="B8423" t="s">
        <v>362</v>
      </c>
      <c r="C8423" t="s">
        <v>363</v>
      </c>
    </row>
    <row r="8424" spans="2:3" x14ac:dyDescent="0.35">
      <c r="B8424" t="s">
        <v>353</v>
      </c>
      <c r="C8424" t="s">
        <v>354</v>
      </c>
    </row>
    <row r="8425" spans="2:3" x14ac:dyDescent="0.35">
      <c r="B8425" t="s">
        <v>74</v>
      </c>
      <c r="C8425" t="s">
        <v>75</v>
      </c>
    </row>
    <row r="8426" spans="2:3" x14ac:dyDescent="0.35">
      <c r="B8426" t="s">
        <v>234</v>
      </c>
      <c r="C8426" t="s">
        <v>235</v>
      </c>
    </row>
    <row r="8427" spans="2:3" x14ac:dyDescent="0.35">
      <c r="B8427" t="s">
        <v>420</v>
      </c>
      <c r="C8427" t="s">
        <v>421</v>
      </c>
    </row>
    <row r="8428" spans="2:3" x14ac:dyDescent="0.35">
      <c r="B8428" t="s">
        <v>308</v>
      </c>
      <c r="C8428" t="s">
        <v>309</v>
      </c>
    </row>
    <row r="8429" spans="2:3" x14ac:dyDescent="0.35">
      <c r="B8429" t="s">
        <v>680</v>
      </c>
      <c r="C8429" t="s">
        <v>681</v>
      </c>
    </row>
    <row r="8430" spans="2:3" x14ac:dyDescent="0.35">
      <c r="B8430" t="s">
        <v>406</v>
      </c>
      <c r="C8430" t="s">
        <v>407</v>
      </c>
    </row>
    <row r="8431" spans="2:3" x14ac:dyDescent="0.35">
      <c r="B8431" t="s">
        <v>362</v>
      </c>
      <c r="C8431" t="s">
        <v>363</v>
      </c>
    </row>
    <row r="8432" spans="2:3" x14ac:dyDescent="0.35">
      <c r="B8432" t="s">
        <v>74</v>
      </c>
      <c r="C8432" t="s">
        <v>75</v>
      </c>
    </row>
    <row r="8433" spans="2:3" x14ac:dyDescent="0.35">
      <c r="B8433" t="s">
        <v>420</v>
      </c>
      <c r="C8433" t="s">
        <v>421</v>
      </c>
    </row>
    <row r="8434" spans="2:3" x14ac:dyDescent="0.35">
      <c r="B8434" t="s">
        <v>138</v>
      </c>
      <c r="C8434" t="s">
        <v>139</v>
      </c>
    </row>
    <row r="8435" spans="2:3" x14ac:dyDescent="0.35">
      <c r="B8435" t="s">
        <v>74</v>
      </c>
      <c r="C8435" t="s">
        <v>75</v>
      </c>
    </row>
    <row r="8436" spans="2:3" x14ac:dyDescent="0.35">
      <c r="B8436" t="s">
        <v>112</v>
      </c>
      <c r="C8436" t="s">
        <v>113</v>
      </c>
    </row>
    <row r="8437" spans="2:3" x14ac:dyDescent="0.35">
      <c r="B8437" t="s">
        <v>112</v>
      </c>
      <c r="C8437" t="s">
        <v>113</v>
      </c>
    </row>
    <row r="8438" spans="2:3" x14ac:dyDescent="0.35">
      <c r="B8438" t="s">
        <v>326</v>
      </c>
      <c r="C8438" t="s">
        <v>327</v>
      </c>
    </row>
    <row r="8439" spans="2:3" x14ac:dyDescent="0.35">
      <c r="B8439" t="s">
        <v>680</v>
      </c>
      <c r="C8439" t="s">
        <v>681</v>
      </c>
    </row>
    <row r="8440" spans="2:3" x14ac:dyDescent="0.35">
      <c r="B8440" t="s">
        <v>308</v>
      </c>
      <c r="C8440" t="s">
        <v>309</v>
      </c>
    </row>
    <row r="8441" spans="2:3" x14ac:dyDescent="0.35">
      <c r="B8441" t="s">
        <v>680</v>
      </c>
      <c r="C8441" t="s">
        <v>681</v>
      </c>
    </row>
    <row r="8442" spans="2:3" x14ac:dyDescent="0.35">
      <c r="B8442" t="s">
        <v>680</v>
      </c>
      <c r="C8442" t="s">
        <v>681</v>
      </c>
    </row>
    <row r="8443" spans="2:3" x14ac:dyDescent="0.35">
      <c r="B8443" t="s">
        <v>406</v>
      </c>
      <c r="C8443" t="s">
        <v>407</v>
      </c>
    </row>
    <row r="8444" spans="2:3" x14ac:dyDescent="0.35">
      <c r="B8444" t="s">
        <v>74</v>
      </c>
      <c r="C8444" t="s">
        <v>75</v>
      </c>
    </row>
    <row r="8445" spans="2:3" x14ac:dyDescent="0.35">
      <c r="B8445" t="s">
        <v>138</v>
      </c>
      <c r="C8445" t="s">
        <v>139</v>
      </c>
    </row>
    <row r="8446" spans="2:3" x14ac:dyDescent="0.35">
      <c r="B8446" t="s">
        <v>93</v>
      </c>
      <c r="C8446" t="s">
        <v>94</v>
      </c>
    </row>
    <row r="8447" spans="2:3" x14ac:dyDescent="0.35">
      <c r="B8447" t="s">
        <v>362</v>
      </c>
      <c r="C8447" t="s">
        <v>363</v>
      </c>
    </row>
    <row r="8448" spans="2:3" x14ac:dyDescent="0.35">
      <c r="B8448" t="s">
        <v>389</v>
      </c>
      <c r="C8448" t="s">
        <v>390</v>
      </c>
    </row>
    <row r="8449" spans="2:3" x14ac:dyDescent="0.35">
      <c r="B8449" t="s">
        <v>406</v>
      </c>
      <c r="C8449" t="s">
        <v>407</v>
      </c>
    </row>
    <row r="8450" spans="2:3" x14ac:dyDescent="0.35">
      <c r="B8450" t="s">
        <v>93</v>
      </c>
      <c r="C8450" t="s">
        <v>94</v>
      </c>
    </row>
    <row r="8451" spans="2:3" x14ac:dyDescent="0.35">
      <c r="B8451" t="s">
        <v>406</v>
      </c>
      <c r="C8451" t="s">
        <v>407</v>
      </c>
    </row>
    <row r="8452" spans="2:3" x14ac:dyDescent="0.35">
      <c r="B8452" t="s">
        <v>680</v>
      </c>
      <c r="C8452" t="s">
        <v>681</v>
      </c>
    </row>
    <row r="8453" spans="2:3" x14ac:dyDescent="0.35">
      <c r="B8453" t="s">
        <v>680</v>
      </c>
      <c r="C8453" t="s">
        <v>681</v>
      </c>
    </row>
    <row r="8454" spans="2:3" x14ac:dyDescent="0.35">
      <c r="B8454" t="s">
        <v>703</v>
      </c>
      <c r="C8454" t="s">
        <v>704</v>
      </c>
    </row>
    <row r="8455" spans="2:3" x14ac:dyDescent="0.35">
      <c r="B8455" t="s">
        <v>93</v>
      </c>
      <c r="C8455" t="s">
        <v>94</v>
      </c>
    </row>
    <row r="8456" spans="2:3" x14ac:dyDescent="0.35">
      <c r="B8456" t="s">
        <v>703</v>
      </c>
      <c r="C8456" t="s">
        <v>704</v>
      </c>
    </row>
    <row r="8457" spans="2:3" x14ac:dyDescent="0.35">
      <c r="B8457" t="s">
        <v>138</v>
      </c>
      <c r="C8457" t="s">
        <v>139</v>
      </c>
    </row>
    <row r="8458" spans="2:3" x14ac:dyDescent="0.35">
      <c r="B8458" t="s">
        <v>236</v>
      </c>
      <c r="C8458" t="s">
        <v>237</v>
      </c>
    </row>
    <row r="8459" spans="2:3" x14ac:dyDescent="0.35">
      <c r="B8459" t="s">
        <v>74</v>
      </c>
      <c r="C8459" t="s">
        <v>75</v>
      </c>
    </row>
    <row r="8460" spans="2:3" x14ac:dyDescent="0.35">
      <c r="B8460" t="s">
        <v>105</v>
      </c>
      <c r="C8460" t="s">
        <v>106</v>
      </c>
    </row>
    <row r="8461" spans="2:3" x14ac:dyDescent="0.35">
      <c r="B8461" t="s">
        <v>74</v>
      </c>
      <c r="C8461" t="s">
        <v>75</v>
      </c>
    </row>
    <row r="8462" spans="2:3" x14ac:dyDescent="0.35">
      <c r="B8462" t="s">
        <v>703</v>
      </c>
      <c r="C8462" t="s">
        <v>704</v>
      </c>
    </row>
    <row r="8463" spans="2:3" x14ac:dyDescent="0.35">
      <c r="B8463" t="s">
        <v>74</v>
      </c>
      <c r="C8463" t="s">
        <v>75</v>
      </c>
    </row>
    <row r="8464" spans="2:3" x14ac:dyDescent="0.35">
      <c r="B8464" t="s">
        <v>112</v>
      </c>
      <c r="C8464" t="s">
        <v>113</v>
      </c>
    </row>
    <row r="8465" spans="2:3" x14ac:dyDescent="0.35">
      <c r="B8465" t="s">
        <v>236</v>
      </c>
      <c r="C8465" t="s">
        <v>237</v>
      </c>
    </row>
    <row r="8466" spans="2:3" x14ac:dyDescent="0.35">
      <c r="B8466" t="s">
        <v>680</v>
      </c>
      <c r="C8466" t="s">
        <v>681</v>
      </c>
    </row>
    <row r="8467" spans="2:3" x14ac:dyDescent="0.35">
      <c r="B8467" t="s">
        <v>236</v>
      </c>
      <c r="C8467" t="s">
        <v>237</v>
      </c>
    </row>
    <row r="8468" spans="2:3" x14ac:dyDescent="0.35">
      <c r="B8468" t="s">
        <v>680</v>
      </c>
      <c r="C8468" t="s">
        <v>681</v>
      </c>
    </row>
    <row r="8469" spans="2:3" x14ac:dyDescent="0.35">
      <c r="B8469" t="s">
        <v>703</v>
      </c>
      <c r="C8469" t="s">
        <v>704</v>
      </c>
    </row>
    <row r="8470" spans="2:3" x14ac:dyDescent="0.35">
      <c r="B8470" t="s">
        <v>67</v>
      </c>
      <c r="C8470" t="s">
        <v>68</v>
      </c>
    </row>
    <row r="8471" spans="2:3" x14ac:dyDescent="0.35">
      <c r="B8471" t="s">
        <v>138</v>
      </c>
      <c r="C8471" t="s">
        <v>139</v>
      </c>
    </row>
    <row r="8472" spans="2:3" x14ac:dyDescent="0.35">
      <c r="B8472" t="s">
        <v>236</v>
      </c>
      <c r="C8472" t="s">
        <v>237</v>
      </c>
    </row>
    <row r="8473" spans="2:3" x14ac:dyDescent="0.35">
      <c r="B8473" t="s">
        <v>48</v>
      </c>
      <c r="C8473" t="s">
        <v>49</v>
      </c>
    </row>
    <row r="8474" spans="2:3" x14ac:dyDescent="0.35">
      <c r="B8474" t="s">
        <v>236</v>
      </c>
      <c r="C8474" t="s">
        <v>237</v>
      </c>
    </row>
    <row r="8475" spans="2:3" x14ac:dyDescent="0.35">
      <c r="B8475" t="s">
        <v>105</v>
      </c>
      <c r="C8475" t="s">
        <v>106</v>
      </c>
    </row>
    <row r="8476" spans="2:3" x14ac:dyDescent="0.35">
      <c r="B8476" t="s">
        <v>138</v>
      </c>
      <c r="C8476" t="s">
        <v>139</v>
      </c>
    </row>
    <row r="8477" spans="2:3" x14ac:dyDescent="0.35">
      <c r="B8477" t="s">
        <v>326</v>
      </c>
      <c r="C8477" t="s">
        <v>327</v>
      </c>
    </row>
    <row r="8478" spans="2:3" x14ac:dyDescent="0.35">
      <c r="B8478" t="s">
        <v>326</v>
      </c>
      <c r="C8478" t="s">
        <v>327</v>
      </c>
    </row>
    <row r="8479" spans="2:3" x14ac:dyDescent="0.35">
      <c r="B8479" t="s">
        <v>353</v>
      </c>
      <c r="C8479" t="s">
        <v>354</v>
      </c>
    </row>
    <row r="8480" spans="2:3" x14ac:dyDescent="0.35">
      <c r="B8480" t="s">
        <v>131</v>
      </c>
      <c r="C8480" t="s">
        <v>132</v>
      </c>
    </row>
    <row r="8481" spans="2:3" x14ac:dyDescent="0.35">
      <c r="B8481" t="s">
        <v>105</v>
      </c>
      <c r="C8481" t="s">
        <v>106</v>
      </c>
    </row>
    <row r="8482" spans="2:3" x14ac:dyDescent="0.35">
      <c r="B8482" t="s">
        <v>362</v>
      </c>
      <c r="C8482" t="s">
        <v>363</v>
      </c>
    </row>
    <row r="8483" spans="2:3" x14ac:dyDescent="0.35">
      <c r="B8483" t="s">
        <v>131</v>
      </c>
      <c r="C8483" t="s">
        <v>132</v>
      </c>
    </row>
    <row r="8484" spans="2:3" x14ac:dyDescent="0.35">
      <c r="B8484" t="s">
        <v>326</v>
      </c>
      <c r="C8484" t="s">
        <v>327</v>
      </c>
    </row>
    <row r="8485" spans="2:3" x14ac:dyDescent="0.35">
      <c r="B8485" t="s">
        <v>138</v>
      </c>
      <c r="C8485" t="s">
        <v>139</v>
      </c>
    </row>
    <row r="8486" spans="2:3" x14ac:dyDescent="0.35">
      <c r="B8486" t="s">
        <v>138</v>
      </c>
      <c r="C8486" t="s">
        <v>139</v>
      </c>
    </row>
    <row r="8487" spans="2:3" x14ac:dyDescent="0.35">
      <c r="B8487" t="s">
        <v>74</v>
      </c>
      <c r="C8487" t="s">
        <v>75</v>
      </c>
    </row>
    <row r="8488" spans="2:3" x14ac:dyDescent="0.35">
      <c r="B8488" t="s">
        <v>362</v>
      </c>
      <c r="C8488" t="s">
        <v>363</v>
      </c>
    </row>
    <row r="8489" spans="2:3" x14ac:dyDescent="0.35">
      <c r="B8489" t="s">
        <v>74</v>
      </c>
      <c r="C8489" t="s">
        <v>75</v>
      </c>
    </row>
    <row r="8490" spans="2:3" x14ac:dyDescent="0.35">
      <c r="B8490" t="s">
        <v>680</v>
      </c>
      <c r="C8490" t="s">
        <v>681</v>
      </c>
    </row>
    <row r="8491" spans="2:3" x14ac:dyDescent="0.35">
      <c r="B8491" t="s">
        <v>420</v>
      </c>
      <c r="C8491" t="s">
        <v>421</v>
      </c>
    </row>
    <row r="8492" spans="2:3" x14ac:dyDescent="0.35">
      <c r="B8492" t="s">
        <v>138</v>
      </c>
      <c r="C8492" t="s">
        <v>139</v>
      </c>
    </row>
    <row r="8493" spans="2:3" x14ac:dyDescent="0.35">
      <c r="B8493" t="s">
        <v>112</v>
      </c>
      <c r="C8493" t="s">
        <v>113</v>
      </c>
    </row>
    <row r="8494" spans="2:3" x14ac:dyDescent="0.35">
      <c r="B8494" t="s">
        <v>680</v>
      </c>
      <c r="C8494" t="s">
        <v>681</v>
      </c>
    </row>
    <row r="8495" spans="2:3" x14ac:dyDescent="0.35">
      <c r="B8495" t="s">
        <v>362</v>
      </c>
      <c r="C8495" t="s">
        <v>363</v>
      </c>
    </row>
    <row r="8496" spans="2:3" x14ac:dyDescent="0.35">
      <c r="B8496" t="s">
        <v>236</v>
      </c>
      <c r="C8496" t="s">
        <v>237</v>
      </c>
    </row>
    <row r="8497" spans="2:3" x14ac:dyDescent="0.35">
      <c r="B8497" t="s">
        <v>138</v>
      </c>
      <c r="C8497" t="s">
        <v>139</v>
      </c>
    </row>
    <row r="8498" spans="2:3" x14ac:dyDescent="0.35">
      <c r="B8498" t="s">
        <v>236</v>
      </c>
      <c r="C8498" t="s">
        <v>237</v>
      </c>
    </row>
    <row r="8499" spans="2:3" x14ac:dyDescent="0.35">
      <c r="B8499" t="s">
        <v>234</v>
      </c>
      <c r="C8499" t="s">
        <v>235</v>
      </c>
    </row>
    <row r="8500" spans="2:3" x14ac:dyDescent="0.35">
      <c r="B8500" t="s">
        <v>138</v>
      </c>
      <c r="C8500" t="s">
        <v>139</v>
      </c>
    </row>
    <row r="8501" spans="2:3" x14ac:dyDescent="0.35">
      <c r="B8501" t="s">
        <v>362</v>
      </c>
      <c r="C8501" t="s">
        <v>363</v>
      </c>
    </row>
    <row r="8502" spans="2:3" x14ac:dyDescent="0.35">
      <c r="B8502" t="s">
        <v>74</v>
      </c>
      <c r="C8502" t="s">
        <v>75</v>
      </c>
    </row>
    <row r="8503" spans="2:3" x14ac:dyDescent="0.35">
      <c r="B8503" t="s">
        <v>74</v>
      </c>
      <c r="C8503" t="s">
        <v>75</v>
      </c>
    </row>
    <row r="8504" spans="2:3" x14ac:dyDescent="0.35">
      <c r="B8504" t="s">
        <v>680</v>
      </c>
      <c r="C8504" t="s">
        <v>681</v>
      </c>
    </row>
    <row r="8505" spans="2:3" x14ac:dyDescent="0.35">
      <c r="B8505" t="s">
        <v>680</v>
      </c>
      <c r="C8505" t="s">
        <v>681</v>
      </c>
    </row>
    <row r="8506" spans="2:3" x14ac:dyDescent="0.35">
      <c r="B8506" t="s">
        <v>680</v>
      </c>
      <c r="C8506" t="s">
        <v>681</v>
      </c>
    </row>
    <row r="8507" spans="2:3" x14ac:dyDescent="0.35">
      <c r="B8507" t="s">
        <v>362</v>
      </c>
      <c r="C8507" t="s">
        <v>363</v>
      </c>
    </row>
    <row r="8508" spans="2:3" x14ac:dyDescent="0.35">
      <c r="B8508" t="s">
        <v>138</v>
      </c>
      <c r="C8508" t="s">
        <v>139</v>
      </c>
    </row>
    <row r="8509" spans="2:3" x14ac:dyDescent="0.35">
      <c r="B8509" t="s">
        <v>353</v>
      </c>
      <c r="C8509" t="s">
        <v>354</v>
      </c>
    </row>
    <row r="8510" spans="2:3" x14ac:dyDescent="0.35">
      <c r="B8510" t="s">
        <v>131</v>
      </c>
      <c r="C8510" t="s">
        <v>132</v>
      </c>
    </row>
    <row r="8511" spans="2:3" x14ac:dyDescent="0.35">
      <c r="B8511" t="s">
        <v>236</v>
      </c>
      <c r="C8511" t="s">
        <v>237</v>
      </c>
    </row>
    <row r="8512" spans="2:3" x14ac:dyDescent="0.35">
      <c r="B8512" t="s">
        <v>112</v>
      </c>
      <c r="C8512" t="s">
        <v>113</v>
      </c>
    </row>
    <row r="8513" spans="2:3" x14ac:dyDescent="0.35">
      <c r="B8513" t="s">
        <v>234</v>
      </c>
      <c r="C8513" t="s">
        <v>235</v>
      </c>
    </row>
    <row r="8514" spans="2:3" x14ac:dyDescent="0.35">
      <c r="B8514" t="s">
        <v>680</v>
      </c>
      <c r="C8514" t="s">
        <v>681</v>
      </c>
    </row>
    <row r="8515" spans="2:3" x14ac:dyDescent="0.35">
      <c r="B8515" t="s">
        <v>48</v>
      </c>
      <c r="C8515" t="s">
        <v>49</v>
      </c>
    </row>
    <row r="8516" spans="2:3" x14ac:dyDescent="0.35">
      <c r="B8516" t="s">
        <v>680</v>
      </c>
      <c r="C8516" t="s">
        <v>681</v>
      </c>
    </row>
    <row r="8517" spans="2:3" x14ac:dyDescent="0.35">
      <c r="B8517" t="s">
        <v>48</v>
      </c>
      <c r="C8517" t="s">
        <v>49</v>
      </c>
    </row>
    <row r="8518" spans="2:3" x14ac:dyDescent="0.35">
      <c r="B8518" t="s">
        <v>236</v>
      </c>
      <c r="C8518" t="s">
        <v>237</v>
      </c>
    </row>
    <row r="8519" spans="2:3" x14ac:dyDescent="0.35">
      <c r="B8519" t="s">
        <v>234</v>
      </c>
      <c r="C8519" t="s">
        <v>235</v>
      </c>
    </row>
    <row r="8520" spans="2:3" x14ac:dyDescent="0.35">
      <c r="B8520" t="s">
        <v>138</v>
      </c>
      <c r="C8520" t="s">
        <v>139</v>
      </c>
    </row>
    <row r="8521" spans="2:3" x14ac:dyDescent="0.35">
      <c r="B8521" t="s">
        <v>353</v>
      </c>
      <c r="C8521" t="s">
        <v>354</v>
      </c>
    </row>
    <row r="8522" spans="2:3" x14ac:dyDescent="0.35">
      <c r="B8522" t="s">
        <v>234</v>
      </c>
      <c r="C8522" t="s">
        <v>235</v>
      </c>
    </row>
    <row r="8523" spans="2:3" x14ac:dyDescent="0.35">
      <c r="B8523" t="s">
        <v>138</v>
      </c>
      <c r="C8523" t="s">
        <v>139</v>
      </c>
    </row>
    <row r="8524" spans="2:3" x14ac:dyDescent="0.35">
      <c r="B8524" t="s">
        <v>112</v>
      </c>
      <c r="C8524" t="s">
        <v>113</v>
      </c>
    </row>
    <row r="8525" spans="2:3" x14ac:dyDescent="0.35">
      <c r="B8525" t="s">
        <v>236</v>
      </c>
      <c r="C8525" t="s">
        <v>237</v>
      </c>
    </row>
    <row r="8526" spans="2:3" x14ac:dyDescent="0.35">
      <c r="B8526" t="s">
        <v>362</v>
      </c>
      <c r="C8526" t="s">
        <v>363</v>
      </c>
    </row>
    <row r="8527" spans="2:3" x14ac:dyDescent="0.35">
      <c r="B8527" t="s">
        <v>112</v>
      </c>
      <c r="C8527" t="s">
        <v>113</v>
      </c>
    </row>
    <row r="8528" spans="2:3" x14ac:dyDescent="0.35">
      <c r="B8528" t="s">
        <v>406</v>
      </c>
      <c r="C8528" t="s">
        <v>407</v>
      </c>
    </row>
    <row r="8529" spans="2:3" x14ac:dyDescent="0.35">
      <c r="B8529" t="s">
        <v>326</v>
      </c>
      <c r="C8529" t="s">
        <v>327</v>
      </c>
    </row>
    <row r="8530" spans="2:3" x14ac:dyDescent="0.35">
      <c r="B8530" t="s">
        <v>326</v>
      </c>
      <c r="C8530" t="s">
        <v>327</v>
      </c>
    </row>
    <row r="8531" spans="2:3" x14ac:dyDescent="0.35">
      <c r="B8531" t="s">
        <v>420</v>
      </c>
      <c r="C8531" t="s">
        <v>421</v>
      </c>
    </row>
    <row r="8532" spans="2:3" x14ac:dyDescent="0.35">
      <c r="B8532" t="s">
        <v>138</v>
      </c>
      <c r="C8532" t="s">
        <v>139</v>
      </c>
    </row>
    <row r="8533" spans="2:3" x14ac:dyDescent="0.35">
      <c r="B8533" t="s">
        <v>680</v>
      </c>
      <c r="C8533" t="s">
        <v>681</v>
      </c>
    </row>
    <row r="8534" spans="2:3" x14ac:dyDescent="0.35">
      <c r="B8534" t="s">
        <v>138</v>
      </c>
      <c r="C8534" t="s">
        <v>139</v>
      </c>
    </row>
    <row r="8535" spans="2:3" x14ac:dyDescent="0.35">
      <c r="B8535" t="s">
        <v>680</v>
      </c>
      <c r="C8535" t="s">
        <v>681</v>
      </c>
    </row>
    <row r="8536" spans="2:3" x14ac:dyDescent="0.35">
      <c r="B8536" t="s">
        <v>362</v>
      </c>
      <c r="C8536" t="s">
        <v>363</v>
      </c>
    </row>
    <row r="8537" spans="2:3" x14ac:dyDescent="0.35">
      <c r="B8537" t="s">
        <v>362</v>
      </c>
      <c r="C8537" t="s">
        <v>363</v>
      </c>
    </row>
    <row r="8538" spans="2:3" x14ac:dyDescent="0.35">
      <c r="B8538" t="s">
        <v>703</v>
      </c>
      <c r="C8538" t="s">
        <v>704</v>
      </c>
    </row>
    <row r="8539" spans="2:3" x14ac:dyDescent="0.35">
      <c r="B8539" t="s">
        <v>680</v>
      </c>
      <c r="C8539" t="s">
        <v>681</v>
      </c>
    </row>
    <row r="8540" spans="2:3" x14ac:dyDescent="0.35">
      <c r="B8540" t="s">
        <v>48</v>
      </c>
      <c r="C8540" t="s">
        <v>49</v>
      </c>
    </row>
    <row r="8541" spans="2:3" x14ac:dyDescent="0.35">
      <c r="B8541" t="s">
        <v>694</v>
      </c>
      <c r="C8541" t="s">
        <v>695</v>
      </c>
    </row>
    <row r="8542" spans="2:3" x14ac:dyDescent="0.35">
      <c r="B8542" t="s">
        <v>138</v>
      </c>
      <c r="C8542" t="s">
        <v>139</v>
      </c>
    </row>
    <row r="8543" spans="2:3" x14ac:dyDescent="0.35">
      <c r="B8543" t="s">
        <v>143</v>
      </c>
      <c r="C8543" t="s">
        <v>144</v>
      </c>
    </row>
    <row r="8544" spans="2:3" x14ac:dyDescent="0.35">
      <c r="B8544" t="s">
        <v>362</v>
      </c>
      <c r="C8544" t="s">
        <v>363</v>
      </c>
    </row>
    <row r="8545" spans="2:3" x14ac:dyDescent="0.35">
      <c r="B8545" t="s">
        <v>420</v>
      </c>
      <c r="C8545" t="s">
        <v>421</v>
      </c>
    </row>
    <row r="8546" spans="2:3" x14ac:dyDescent="0.35">
      <c r="B8546" t="s">
        <v>100</v>
      </c>
      <c r="C8546" t="s">
        <v>101</v>
      </c>
    </row>
    <row r="8547" spans="2:3" x14ac:dyDescent="0.35">
      <c r="B8547" t="s">
        <v>680</v>
      </c>
      <c r="C8547" t="s">
        <v>681</v>
      </c>
    </row>
    <row r="8548" spans="2:3" x14ac:dyDescent="0.35">
      <c r="B8548" t="s">
        <v>48</v>
      </c>
      <c r="C8548" t="s">
        <v>49</v>
      </c>
    </row>
    <row r="8549" spans="2:3" x14ac:dyDescent="0.35">
      <c r="B8549" t="s">
        <v>138</v>
      </c>
      <c r="C8549" t="s">
        <v>139</v>
      </c>
    </row>
    <row r="8550" spans="2:3" x14ac:dyDescent="0.35">
      <c r="B8550" t="s">
        <v>680</v>
      </c>
      <c r="C8550" t="s">
        <v>681</v>
      </c>
    </row>
    <row r="8551" spans="2:3" x14ac:dyDescent="0.35">
      <c r="B8551" t="s">
        <v>138</v>
      </c>
      <c r="C8551" t="s">
        <v>139</v>
      </c>
    </row>
    <row r="8552" spans="2:3" x14ac:dyDescent="0.35">
      <c r="B8552" t="s">
        <v>105</v>
      </c>
      <c r="C8552" t="s">
        <v>106</v>
      </c>
    </row>
    <row r="8553" spans="2:3" x14ac:dyDescent="0.35">
      <c r="B8553" t="s">
        <v>74</v>
      </c>
      <c r="C8553" t="s">
        <v>75</v>
      </c>
    </row>
    <row r="8554" spans="2:3" x14ac:dyDescent="0.35">
      <c r="B8554" t="s">
        <v>131</v>
      </c>
      <c r="C8554" t="s">
        <v>132</v>
      </c>
    </row>
    <row r="8555" spans="2:3" x14ac:dyDescent="0.35">
      <c r="B8555" t="s">
        <v>105</v>
      </c>
      <c r="C8555" t="s">
        <v>106</v>
      </c>
    </row>
    <row r="8556" spans="2:3" x14ac:dyDescent="0.35">
      <c r="B8556" t="s">
        <v>362</v>
      </c>
      <c r="C8556" t="s">
        <v>363</v>
      </c>
    </row>
    <row r="8557" spans="2:3" x14ac:dyDescent="0.35">
      <c r="B8557" t="s">
        <v>703</v>
      </c>
      <c r="C8557" t="s">
        <v>704</v>
      </c>
    </row>
    <row r="8558" spans="2:3" x14ac:dyDescent="0.35">
      <c r="B8558" t="s">
        <v>680</v>
      </c>
      <c r="C8558" t="s">
        <v>681</v>
      </c>
    </row>
    <row r="8559" spans="2:3" x14ac:dyDescent="0.35">
      <c r="B8559" t="s">
        <v>362</v>
      </c>
      <c r="C8559" t="s">
        <v>363</v>
      </c>
    </row>
    <row r="8560" spans="2:3" x14ac:dyDescent="0.35">
      <c r="B8560" t="s">
        <v>138</v>
      </c>
      <c r="C8560" t="s">
        <v>139</v>
      </c>
    </row>
    <row r="8561" spans="2:3" x14ac:dyDescent="0.35">
      <c r="B8561" t="s">
        <v>308</v>
      </c>
      <c r="C8561" t="s">
        <v>309</v>
      </c>
    </row>
    <row r="8562" spans="2:3" x14ac:dyDescent="0.35">
      <c r="B8562" t="s">
        <v>138</v>
      </c>
      <c r="C8562" t="s">
        <v>139</v>
      </c>
    </row>
    <row r="8563" spans="2:3" x14ac:dyDescent="0.35">
      <c r="B8563" t="s">
        <v>406</v>
      </c>
      <c r="C8563" t="s">
        <v>407</v>
      </c>
    </row>
    <row r="8564" spans="2:3" x14ac:dyDescent="0.35">
      <c r="B8564" t="s">
        <v>48</v>
      </c>
      <c r="C8564" t="s">
        <v>49</v>
      </c>
    </row>
    <row r="8565" spans="2:3" x14ac:dyDescent="0.35">
      <c r="B8565" t="s">
        <v>362</v>
      </c>
      <c r="C8565" t="s">
        <v>363</v>
      </c>
    </row>
    <row r="8566" spans="2:3" x14ac:dyDescent="0.35">
      <c r="B8566" t="s">
        <v>236</v>
      </c>
      <c r="C8566" t="s">
        <v>237</v>
      </c>
    </row>
    <row r="8567" spans="2:3" x14ac:dyDescent="0.35">
      <c r="B8567" t="s">
        <v>131</v>
      </c>
      <c r="C8567" t="s">
        <v>132</v>
      </c>
    </row>
    <row r="8568" spans="2:3" x14ac:dyDescent="0.35">
      <c r="B8568" t="s">
        <v>48</v>
      </c>
      <c r="C8568" t="s">
        <v>49</v>
      </c>
    </row>
    <row r="8569" spans="2:3" x14ac:dyDescent="0.35">
      <c r="B8569" t="s">
        <v>138</v>
      </c>
      <c r="C8569" t="s">
        <v>139</v>
      </c>
    </row>
    <row r="8570" spans="2:3" x14ac:dyDescent="0.35">
      <c r="B8570" t="s">
        <v>236</v>
      </c>
      <c r="C8570" t="s">
        <v>237</v>
      </c>
    </row>
    <row r="8571" spans="2:3" x14ac:dyDescent="0.35">
      <c r="B8571" t="s">
        <v>131</v>
      </c>
      <c r="C8571" t="s">
        <v>132</v>
      </c>
    </row>
    <row r="8572" spans="2:3" x14ac:dyDescent="0.35">
      <c r="B8572" t="s">
        <v>112</v>
      </c>
      <c r="C8572" t="s">
        <v>113</v>
      </c>
    </row>
    <row r="8573" spans="2:3" x14ac:dyDescent="0.35">
      <c r="B8573" t="s">
        <v>112</v>
      </c>
      <c r="C8573" t="s">
        <v>113</v>
      </c>
    </row>
    <row r="8574" spans="2:3" x14ac:dyDescent="0.35">
      <c r="B8574" t="s">
        <v>48</v>
      </c>
      <c r="C8574" t="s">
        <v>49</v>
      </c>
    </row>
    <row r="8575" spans="2:3" x14ac:dyDescent="0.35">
      <c r="B8575" t="s">
        <v>420</v>
      </c>
      <c r="C8575" t="s">
        <v>421</v>
      </c>
    </row>
    <row r="8576" spans="2:3" x14ac:dyDescent="0.35">
      <c r="B8576" t="s">
        <v>362</v>
      </c>
      <c r="C8576" t="s">
        <v>363</v>
      </c>
    </row>
    <row r="8577" spans="2:3" x14ac:dyDescent="0.35">
      <c r="B8577" t="s">
        <v>680</v>
      </c>
      <c r="C8577" t="s">
        <v>681</v>
      </c>
    </row>
    <row r="8578" spans="2:3" x14ac:dyDescent="0.35">
      <c r="B8578" t="s">
        <v>406</v>
      </c>
      <c r="C8578" t="s">
        <v>407</v>
      </c>
    </row>
    <row r="8579" spans="2:3" x14ac:dyDescent="0.35">
      <c r="B8579" t="s">
        <v>138</v>
      </c>
      <c r="C8579" t="s">
        <v>139</v>
      </c>
    </row>
    <row r="8580" spans="2:3" x14ac:dyDescent="0.35">
      <c r="B8580" t="s">
        <v>112</v>
      </c>
      <c r="C8580" t="s">
        <v>113</v>
      </c>
    </row>
    <row r="8581" spans="2:3" x14ac:dyDescent="0.35">
      <c r="B8581" t="s">
        <v>48</v>
      </c>
      <c r="C8581" t="s">
        <v>49</v>
      </c>
    </row>
    <row r="8582" spans="2:3" x14ac:dyDescent="0.35">
      <c r="B8582" t="s">
        <v>420</v>
      </c>
      <c r="C8582" t="s">
        <v>421</v>
      </c>
    </row>
    <row r="8583" spans="2:3" x14ac:dyDescent="0.35">
      <c r="B8583" t="s">
        <v>308</v>
      </c>
      <c r="C8583" t="s">
        <v>309</v>
      </c>
    </row>
    <row r="8584" spans="2:3" x14ac:dyDescent="0.35">
      <c r="B8584" t="s">
        <v>112</v>
      </c>
      <c r="C8584" t="s">
        <v>113</v>
      </c>
    </row>
    <row r="8585" spans="2:3" x14ac:dyDescent="0.35">
      <c r="B8585" t="s">
        <v>680</v>
      </c>
      <c r="C8585" t="s">
        <v>681</v>
      </c>
    </row>
    <row r="8586" spans="2:3" x14ac:dyDescent="0.35">
      <c r="B8586" t="s">
        <v>680</v>
      </c>
      <c r="C8586" t="s">
        <v>681</v>
      </c>
    </row>
    <row r="8587" spans="2:3" x14ac:dyDescent="0.35">
      <c r="B8587" t="s">
        <v>362</v>
      </c>
      <c r="C8587" t="s">
        <v>363</v>
      </c>
    </row>
    <row r="8588" spans="2:3" x14ac:dyDescent="0.35">
      <c r="B8588" t="s">
        <v>138</v>
      </c>
      <c r="C8588" t="s">
        <v>139</v>
      </c>
    </row>
    <row r="8589" spans="2:3" x14ac:dyDescent="0.35">
      <c r="B8589" t="s">
        <v>105</v>
      </c>
      <c r="C8589" t="s">
        <v>106</v>
      </c>
    </row>
    <row r="8590" spans="2:3" x14ac:dyDescent="0.35">
      <c r="B8590" t="s">
        <v>236</v>
      </c>
      <c r="C8590" t="s">
        <v>237</v>
      </c>
    </row>
    <row r="8591" spans="2:3" x14ac:dyDescent="0.35">
      <c r="B8591" t="s">
        <v>138</v>
      </c>
      <c r="C8591" t="s">
        <v>139</v>
      </c>
    </row>
    <row r="8592" spans="2:3" x14ac:dyDescent="0.35">
      <c r="B8592" t="s">
        <v>362</v>
      </c>
      <c r="C8592" t="s">
        <v>363</v>
      </c>
    </row>
    <row r="8593" spans="2:3" x14ac:dyDescent="0.35">
      <c r="B8593" t="s">
        <v>680</v>
      </c>
      <c r="C8593" t="s">
        <v>681</v>
      </c>
    </row>
    <row r="8594" spans="2:3" x14ac:dyDescent="0.35">
      <c r="B8594" t="s">
        <v>236</v>
      </c>
      <c r="C8594" t="s">
        <v>237</v>
      </c>
    </row>
    <row r="8595" spans="2:3" x14ac:dyDescent="0.35">
      <c r="B8595" t="s">
        <v>326</v>
      </c>
      <c r="C8595" t="s">
        <v>327</v>
      </c>
    </row>
    <row r="8596" spans="2:3" x14ac:dyDescent="0.35">
      <c r="B8596" t="s">
        <v>236</v>
      </c>
      <c r="C8596" t="s">
        <v>237</v>
      </c>
    </row>
    <row r="8597" spans="2:3" x14ac:dyDescent="0.35">
      <c r="B8597" t="s">
        <v>362</v>
      </c>
      <c r="C8597" t="s">
        <v>363</v>
      </c>
    </row>
    <row r="8598" spans="2:3" x14ac:dyDescent="0.35">
      <c r="B8598" t="s">
        <v>112</v>
      </c>
      <c r="C8598" t="s">
        <v>113</v>
      </c>
    </row>
    <row r="8599" spans="2:3" x14ac:dyDescent="0.35">
      <c r="B8599" t="s">
        <v>234</v>
      </c>
      <c r="C8599" t="s">
        <v>235</v>
      </c>
    </row>
    <row r="8600" spans="2:3" x14ac:dyDescent="0.35">
      <c r="B8600" t="s">
        <v>112</v>
      </c>
      <c r="C8600" t="s">
        <v>113</v>
      </c>
    </row>
    <row r="8601" spans="2:3" x14ac:dyDescent="0.35">
      <c r="B8601" t="s">
        <v>48</v>
      </c>
      <c r="C8601" t="s">
        <v>49</v>
      </c>
    </row>
    <row r="8602" spans="2:3" x14ac:dyDescent="0.35">
      <c r="B8602" t="s">
        <v>308</v>
      </c>
      <c r="C8602" t="s">
        <v>309</v>
      </c>
    </row>
    <row r="8603" spans="2:3" x14ac:dyDescent="0.35">
      <c r="B8603" t="s">
        <v>74</v>
      </c>
      <c r="C8603" t="s">
        <v>75</v>
      </c>
    </row>
    <row r="8604" spans="2:3" x14ac:dyDescent="0.35">
      <c r="B8604" t="s">
        <v>131</v>
      </c>
      <c r="C8604" t="s">
        <v>132</v>
      </c>
    </row>
    <row r="8605" spans="2:3" x14ac:dyDescent="0.35">
      <c r="B8605" t="s">
        <v>680</v>
      </c>
      <c r="C8605" t="s">
        <v>681</v>
      </c>
    </row>
    <row r="8606" spans="2:3" x14ac:dyDescent="0.35">
      <c r="B8606" t="s">
        <v>362</v>
      </c>
      <c r="C8606" t="s">
        <v>363</v>
      </c>
    </row>
    <row r="8607" spans="2:3" x14ac:dyDescent="0.35">
      <c r="B8607" t="s">
        <v>362</v>
      </c>
      <c r="C8607" t="s">
        <v>363</v>
      </c>
    </row>
    <row r="8608" spans="2:3" x14ac:dyDescent="0.35">
      <c r="B8608" t="s">
        <v>680</v>
      </c>
      <c r="C8608" t="s">
        <v>681</v>
      </c>
    </row>
    <row r="8609" spans="2:3" x14ac:dyDescent="0.35">
      <c r="B8609" t="s">
        <v>112</v>
      </c>
      <c r="C8609" t="s">
        <v>113</v>
      </c>
    </row>
    <row r="8610" spans="2:3" x14ac:dyDescent="0.35">
      <c r="B8610" t="s">
        <v>362</v>
      </c>
      <c r="C8610" t="s">
        <v>363</v>
      </c>
    </row>
    <row r="8611" spans="2:3" x14ac:dyDescent="0.35">
      <c r="B8611" t="s">
        <v>234</v>
      </c>
      <c r="C8611" t="s">
        <v>235</v>
      </c>
    </row>
    <row r="8612" spans="2:3" x14ac:dyDescent="0.35">
      <c r="B8612" t="s">
        <v>48</v>
      </c>
      <c r="C8612" t="s">
        <v>49</v>
      </c>
    </row>
    <row r="8613" spans="2:3" x14ac:dyDescent="0.35">
      <c r="B8613" t="s">
        <v>362</v>
      </c>
      <c r="C8613" t="s">
        <v>363</v>
      </c>
    </row>
    <row r="8614" spans="2:3" x14ac:dyDescent="0.35">
      <c r="B8614" t="s">
        <v>234</v>
      </c>
      <c r="C8614" t="s">
        <v>235</v>
      </c>
    </row>
    <row r="8615" spans="2:3" x14ac:dyDescent="0.35">
      <c r="B8615" t="s">
        <v>362</v>
      </c>
      <c r="C8615" t="s">
        <v>363</v>
      </c>
    </row>
    <row r="8616" spans="2:3" x14ac:dyDescent="0.35">
      <c r="B8616" t="s">
        <v>48</v>
      </c>
      <c r="C8616" t="s">
        <v>49</v>
      </c>
    </row>
    <row r="8617" spans="2:3" x14ac:dyDescent="0.35">
      <c r="B8617" t="s">
        <v>680</v>
      </c>
      <c r="C8617" t="s">
        <v>681</v>
      </c>
    </row>
    <row r="8618" spans="2:3" x14ac:dyDescent="0.35">
      <c r="B8618" t="s">
        <v>362</v>
      </c>
      <c r="C8618" t="s">
        <v>363</v>
      </c>
    </row>
    <row r="8619" spans="2:3" x14ac:dyDescent="0.35">
      <c r="B8619" t="s">
        <v>362</v>
      </c>
      <c r="C8619" t="s">
        <v>363</v>
      </c>
    </row>
    <row r="8620" spans="2:3" x14ac:dyDescent="0.35">
      <c r="B8620" t="s">
        <v>112</v>
      </c>
      <c r="C8620" t="s">
        <v>113</v>
      </c>
    </row>
    <row r="8621" spans="2:3" x14ac:dyDescent="0.35">
      <c r="B8621" t="s">
        <v>74</v>
      </c>
      <c r="C8621" t="s">
        <v>75</v>
      </c>
    </row>
    <row r="8622" spans="2:3" x14ac:dyDescent="0.35">
      <c r="B8622" t="s">
        <v>703</v>
      </c>
      <c r="C8622" t="s">
        <v>704</v>
      </c>
    </row>
    <row r="8623" spans="2:3" x14ac:dyDescent="0.35">
      <c r="B8623" t="s">
        <v>680</v>
      </c>
      <c r="C8623" t="s">
        <v>681</v>
      </c>
    </row>
    <row r="8624" spans="2:3" x14ac:dyDescent="0.35">
      <c r="B8624" t="s">
        <v>703</v>
      </c>
      <c r="C8624" t="s">
        <v>704</v>
      </c>
    </row>
    <row r="8625" spans="2:3" x14ac:dyDescent="0.35">
      <c r="B8625" t="s">
        <v>680</v>
      </c>
      <c r="C8625" t="s">
        <v>681</v>
      </c>
    </row>
    <row r="8626" spans="2:3" x14ac:dyDescent="0.35">
      <c r="B8626" t="s">
        <v>362</v>
      </c>
      <c r="C8626" t="s">
        <v>363</v>
      </c>
    </row>
    <row r="8627" spans="2:3" x14ac:dyDescent="0.35">
      <c r="B8627" t="s">
        <v>389</v>
      </c>
      <c r="C8627" t="s">
        <v>390</v>
      </c>
    </row>
    <row r="8628" spans="2:3" x14ac:dyDescent="0.35">
      <c r="B8628" t="s">
        <v>234</v>
      </c>
      <c r="C8628" t="s">
        <v>235</v>
      </c>
    </row>
    <row r="8629" spans="2:3" x14ac:dyDescent="0.35">
      <c r="B8629" t="s">
        <v>362</v>
      </c>
      <c r="C8629" t="s">
        <v>363</v>
      </c>
    </row>
    <row r="8630" spans="2:3" x14ac:dyDescent="0.35">
      <c r="B8630" t="s">
        <v>680</v>
      </c>
      <c r="C8630" t="s">
        <v>681</v>
      </c>
    </row>
    <row r="8631" spans="2:3" x14ac:dyDescent="0.35">
      <c r="B8631" t="s">
        <v>362</v>
      </c>
      <c r="C8631" t="s">
        <v>363</v>
      </c>
    </row>
    <row r="8632" spans="2:3" x14ac:dyDescent="0.35">
      <c r="B8632" t="s">
        <v>680</v>
      </c>
      <c r="C8632" t="s">
        <v>681</v>
      </c>
    </row>
    <row r="8633" spans="2:3" x14ac:dyDescent="0.35">
      <c r="B8633" t="s">
        <v>131</v>
      </c>
      <c r="C8633" t="s">
        <v>132</v>
      </c>
    </row>
    <row r="8634" spans="2:3" x14ac:dyDescent="0.35">
      <c r="B8634" t="s">
        <v>93</v>
      </c>
      <c r="C8634" t="s">
        <v>94</v>
      </c>
    </row>
    <row r="8635" spans="2:3" x14ac:dyDescent="0.35">
      <c r="B8635" t="s">
        <v>234</v>
      </c>
      <c r="C8635" t="s">
        <v>235</v>
      </c>
    </row>
    <row r="8636" spans="2:3" x14ac:dyDescent="0.35">
      <c r="B8636" t="s">
        <v>406</v>
      </c>
      <c r="C8636" t="s">
        <v>407</v>
      </c>
    </row>
    <row r="8637" spans="2:3" x14ac:dyDescent="0.35">
      <c r="B8637" t="s">
        <v>138</v>
      </c>
      <c r="C8637" t="s">
        <v>139</v>
      </c>
    </row>
    <row r="8638" spans="2:3" x14ac:dyDescent="0.35">
      <c r="B8638" t="s">
        <v>138</v>
      </c>
      <c r="C8638" t="s">
        <v>139</v>
      </c>
    </row>
    <row r="8639" spans="2:3" x14ac:dyDescent="0.35">
      <c r="B8639" t="s">
        <v>680</v>
      </c>
      <c r="C8639" t="s">
        <v>681</v>
      </c>
    </row>
    <row r="8640" spans="2:3" x14ac:dyDescent="0.35">
      <c r="B8640" t="s">
        <v>420</v>
      </c>
      <c r="C8640" t="s">
        <v>421</v>
      </c>
    </row>
    <row r="8641" spans="2:3" x14ac:dyDescent="0.35">
      <c r="B8641" t="s">
        <v>703</v>
      </c>
      <c r="C8641" t="s">
        <v>704</v>
      </c>
    </row>
    <row r="8642" spans="2:3" x14ac:dyDescent="0.35">
      <c r="B8642" t="s">
        <v>236</v>
      </c>
      <c r="C8642" t="s">
        <v>237</v>
      </c>
    </row>
    <row r="8643" spans="2:3" x14ac:dyDescent="0.35">
      <c r="B8643" t="s">
        <v>138</v>
      </c>
      <c r="C8643" t="s">
        <v>139</v>
      </c>
    </row>
    <row r="8644" spans="2:3" x14ac:dyDescent="0.35">
      <c r="B8644" t="s">
        <v>236</v>
      </c>
      <c r="C8644" t="s">
        <v>237</v>
      </c>
    </row>
    <row r="8645" spans="2:3" x14ac:dyDescent="0.35">
      <c r="B8645" t="s">
        <v>112</v>
      </c>
      <c r="C8645" t="s">
        <v>113</v>
      </c>
    </row>
    <row r="8646" spans="2:3" x14ac:dyDescent="0.35">
      <c r="B8646" t="s">
        <v>74</v>
      </c>
      <c r="C8646" t="s">
        <v>75</v>
      </c>
    </row>
    <row r="8647" spans="2:3" x14ac:dyDescent="0.35">
      <c r="B8647" t="s">
        <v>138</v>
      </c>
      <c r="C8647" t="s">
        <v>139</v>
      </c>
    </row>
    <row r="8648" spans="2:3" x14ac:dyDescent="0.35">
      <c r="B8648" t="s">
        <v>1110</v>
      </c>
      <c r="C8648" t="s">
        <v>1111</v>
      </c>
    </row>
    <row r="8649" spans="2:3" x14ac:dyDescent="0.35">
      <c r="B8649" t="s">
        <v>105</v>
      </c>
      <c r="C8649" t="s">
        <v>106</v>
      </c>
    </row>
    <row r="8650" spans="2:3" x14ac:dyDescent="0.35">
      <c r="B8650" t="s">
        <v>236</v>
      </c>
      <c r="C8650" t="s">
        <v>237</v>
      </c>
    </row>
    <row r="8651" spans="2:3" x14ac:dyDescent="0.35">
      <c r="B8651" t="s">
        <v>703</v>
      </c>
      <c r="C8651" t="s">
        <v>704</v>
      </c>
    </row>
    <row r="8652" spans="2:3" x14ac:dyDescent="0.35">
      <c r="B8652" t="s">
        <v>107</v>
      </c>
      <c r="C8652" t="s">
        <v>108</v>
      </c>
    </row>
    <row r="8653" spans="2:3" x14ac:dyDescent="0.35">
      <c r="B8653" t="s">
        <v>105</v>
      </c>
      <c r="C8653" t="s">
        <v>106</v>
      </c>
    </row>
    <row r="8654" spans="2:3" x14ac:dyDescent="0.35">
      <c r="B8654" t="s">
        <v>105</v>
      </c>
      <c r="C8654" t="s">
        <v>106</v>
      </c>
    </row>
    <row r="8655" spans="2:3" x14ac:dyDescent="0.35">
      <c r="B8655" t="s">
        <v>353</v>
      </c>
      <c r="C8655" t="s">
        <v>354</v>
      </c>
    </row>
    <row r="8656" spans="2:3" x14ac:dyDescent="0.35">
      <c r="B8656" t="s">
        <v>138</v>
      </c>
      <c r="C8656" t="s">
        <v>139</v>
      </c>
    </row>
    <row r="8657" spans="2:3" x14ac:dyDescent="0.35">
      <c r="B8657" t="s">
        <v>131</v>
      </c>
      <c r="C8657" t="s">
        <v>132</v>
      </c>
    </row>
    <row r="8658" spans="2:3" x14ac:dyDescent="0.35">
      <c r="B8658" t="s">
        <v>326</v>
      </c>
      <c r="C8658" t="s">
        <v>327</v>
      </c>
    </row>
    <row r="8659" spans="2:3" x14ac:dyDescent="0.35">
      <c r="B8659" t="s">
        <v>67</v>
      </c>
      <c r="C8659" t="s">
        <v>68</v>
      </c>
    </row>
    <row r="8660" spans="2:3" x14ac:dyDescent="0.35">
      <c r="B8660" t="s">
        <v>362</v>
      </c>
      <c r="C8660" t="s">
        <v>363</v>
      </c>
    </row>
    <row r="8661" spans="2:3" x14ac:dyDescent="0.35">
      <c r="B8661" t="s">
        <v>353</v>
      </c>
      <c r="C8661" t="s">
        <v>354</v>
      </c>
    </row>
    <row r="8662" spans="2:3" x14ac:dyDescent="0.35">
      <c r="B8662" t="s">
        <v>74</v>
      </c>
      <c r="C8662" t="s">
        <v>75</v>
      </c>
    </row>
    <row r="8663" spans="2:3" x14ac:dyDescent="0.35">
      <c r="B8663" t="s">
        <v>74</v>
      </c>
      <c r="C8663" t="s">
        <v>75</v>
      </c>
    </row>
    <row r="8664" spans="2:3" x14ac:dyDescent="0.35">
      <c r="B8664" t="s">
        <v>64</v>
      </c>
      <c r="C8664" t="s">
        <v>65</v>
      </c>
    </row>
    <row r="8665" spans="2:3" x14ac:dyDescent="0.35">
      <c r="B8665" t="s">
        <v>680</v>
      </c>
      <c r="C8665" t="s">
        <v>681</v>
      </c>
    </row>
    <row r="8666" spans="2:3" x14ac:dyDescent="0.35">
      <c r="B8666" t="s">
        <v>234</v>
      </c>
      <c r="C8666" t="s">
        <v>235</v>
      </c>
    </row>
    <row r="8667" spans="2:3" x14ac:dyDescent="0.35">
      <c r="B8667" t="s">
        <v>131</v>
      </c>
      <c r="C8667" t="s">
        <v>132</v>
      </c>
    </row>
    <row r="8668" spans="2:3" x14ac:dyDescent="0.35">
      <c r="B8668" t="s">
        <v>112</v>
      </c>
      <c r="C8668" t="s">
        <v>113</v>
      </c>
    </row>
    <row r="8669" spans="2:3" x14ac:dyDescent="0.35">
      <c r="B8669" t="s">
        <v>362</v>
      </c>
      <c r="C8669" t="s">
        <v>363</v>
      </c>
    </row>
    <row r="8670" spans="2:3" x14ac:dyDescent="0.35">
      <c r="B8670" t="s">
        <v>1110</v>
      </c>
      <c r="C8670" t="s">
        <v>1111</v>
      </c>
    </row>
    <row r="8671" spans="2:3" x14ac:dyDescent="0.35">
      <c r="B8671" t="s">
        <v>74</v>
      </c>
      <c r="C8671" t="s">
        <v>75</v>
      </c>
    </row>
    <row r="8672" spans="2:3" x14ac:dyDescent="0.35">
      <c r="B8672" t="s">
        <v>112</v>
      </c>
      <c r="C8672" t="s">
        <v>113</v>
      </c>
    </row>
    <row r="8673" spans="2:3" x14ac:dyDescent="0.35">
      <c r="B8673" t="s">
        <v>74</v>
      </c>
      <c r="C8673" t="s">
        <v>75</v>
      </c>
    </row>
    <row r="8674" spans="2:3" x14ac:dyDescent="0.35">
      <c r="B8674" t="s">
        <v>48</v>
      </c>
      <c r="C8674" t="s">
        <v>49</v>
      </c>
    </row>
    <row r="8675" spans="2:3" x14ac:dyDescent="0.35">
      <c r="B8675" t="s">
        <v>1137</v>
      </c>
      <c r="C8675" t="s">
        <v>1138</v>
      </c>
    </row>
    <row r="8676" spans="2:3" x14ac:dyDescent="0.35">
      <c r="B8676" t="s">
        <v>234</v>
      </c>
      <c r="C8676" t="s">
        <v>235</v>
      </c>
    </row>
    <row r="8677" spans="2:3" x14ac:dyDescent="0.35">
      <c r="B8677" t="s">
        <v>112</v>
      </c>
      <c r="C8677" t="s">
        <v>113</v>
      </c>
    </row>
    <row r="8678" spans="2:3" x14ac:dyDescent="0.35">
      <c r="B8678" t="s">
        <v>138</v>
      </c>
      <c r="C8678" t="s">
        <v>139</v>
      </c>
    </row>
    <row r="8679" spans="2:3" x14ac:dyDescent="0.35">
      <c r="B8679" t="s">
        <v>131</v>
      </c>
      <c r="C8679" t="s">
        <v>132</v>
      </c>
    </row>
    <row r="8680" spans="2:3" x14ac:dyDescent="0.35">
      <c r="B8680" t="s">
        <v>680</v>
      </c>
      <c r="C8680" t="s">
        <v>681</v>
      </c>
    </row>
    <row r="8681" spans="2:3" x14ac:dyDescent="0.35">
      <c r="B8681" t="s">
        <v>703</v>
      </c>
      <c r="C8681" t="s">
        <v>704</v>
      </c>
    </row>
    <row r="8682" spans="2:3" x14ac:dyDescent="0.35">
      <c r="B8682" t="s">
        <v>138</v>
      </c>
      <c r="C8682" t="s">
        <v>139</v>
      </c>
    </row>
    <row r="8683" spans="2:3" x14ac:dyDescent="0.35">
      <c r="B8683" t="s">
        <v>90</v>
      </c>
      <c r="C8683" t="s">
        <v>91</v>
      </c>
    </row>
    <row r="8684" spans="2:3" x14ac:dyDescent="0.35">
      <c r="B8684" t="s">
        <v>326</v>
      </c>
      <c r="C8684" t="s">
        <v>327</v>
      </c>
    </row>
    <row r="8685" spans="2:3" x14ac:dyDescent="0.35">
      <c r="B8685" t="s">
        <v>93</v>
      </c>
      <c r="C8685" t="s">
        <v>94</v>
      </c>
    </row>
    <row r="8686" spans="2:3" x14ac:dyDescent="0.35">
      <c r="B8686" t="s">
        <v>680</v>
      </c>
      <c r="C8686" t="s">
        <v>681</v>
      </c>
    </row>
    <row r="8687" spans="2:3" x14ac:dyDescent="0.35">
      <c r="B8687" t="s">
        <v>131</v>
      </c>
      <c r="C8687" t="s">
        <v>132</v>
      </c>
    </row>
    <row r="8688" spans="2:3" x14ac:dyDescent="0.35">
      <c r="B8688" t="s">
        <v>680</v>
      </c>
      <c r="C8688" t="s">
        <v>681</v>
      </c>
    </row>
    <row r="8689" spans="2:3" x14ac:dyDescent="0.35">
      <c r="B8689" t="s">
        <v>308</v>
      </c>
      <c r="C8689" t="s">
        <v>309</v>
      </c>
    </row>
    <row r="8690" spans="2:3" x14ac:dyDescent="0.35">
      <c r="B8690" t="s">
        <v>680</v>
      </c>
      <c r="C8690" t="s">
        <v>681</v>
      </c>
    </row>
    <row r="8691" spans="2:3" x14ac:dyDescent="0.35">
      <c r="B8691" t="s">
        <v>308</v>
      </c>
      <c r="C8691" t="s">
        <v>309</v>
      </c>
    </row>
    <row r="8692" spans="2:3" x14ac:dyDescent="0.35">
      <c r="B8692" t="s">
        <v>67</v>
      </c>
      <c r="C8692" t="s">
        <v>68</v>
      </c>
    </row>
    <row r="8693" spans="2:3" x14ac:dyDescent="0.35">
      <c r="B8693" t="s">
        <v>112</v>
      </c>
      <c r="C8693" t="s">
        <v>113</v>
      </c>
    </row>
    <row r="8694" spans="2:3" x14ac:dyDescent="0.35">
      <c r="B8694" t="s">
        <v>131</v>
      </c>
      <c r="C8694" t="s">
        <v>132</v>
      </c>
    </row>
    <row r="8695" spans="2:3" x14ac:dyDescent="0.35">
      <c r="B8695" t="s">
        <v>353</v>
      </c>
      <c r="C8695" t="s">
        <v>354</v>
      </c>
    </row>
    <row r="8696" spans="2:3" x14ac:dyDescent="0.35">
      <c r="B8696" t="s">
        <v>236</v>
      </c>
      <c r="C8696" t="s">
        <v>237</v>
      </c>
    </row>
    <row r="8697" spans="2:3" x14ac:dyDescent="0.35">
      <c r="B8697" t="s">
        <v>112</v>
      </c>
      <c r="C8697" t="s">
        <v>113</v>
      </c>
    </row>
    <row r="8698" spans="2:3" x14ac:dyDescent="0.35">
      <c r="B8698" t="s">
        <v>138</v>
      </c>
      <c r="C8698" t="s">
        <v>139</v>
      </c>
    </row>
    <row r="8699" spans="2:3" x14ac:dyDescent="0.35">
      <c r="B8699" t="s">
        <v>143</v>
      </c>
      <c r="C8699" t="s">
        <v>144</v>
      </c>
    </row>
    <row r="8700" spans="2:3" x14ac:dyDescent="0.35">
      <c r="B8700" t="s">
        <v>680</v>
      </c>
      <c r="C8700" t="s">
        <v>681</v>
      </c>
    </row>
    <row r="8701" spans="2:3" x14ac:dyDescent="0.35">
      <c r="B8701" t="s">
        <v>680</v>
      </c>
      <c r="C8701" t="s">
        <v>681</v>
      </c>
    </row>
    <row r="8702" spans="2:3" x14ac:dyDescent="0.35">
      <c r="B8702" t="s">
        <v>362</v>
      </c>
      <c r="C8702" t="s">
        <v>363</v>
      </c>
    </row>
    <row r="8703" spans="2:3" x14ac:dyDescent="0.35">
      <c r="B8703" t="s">
        <v>138</v>
      </c>
      <c r="C8703" t="s">
        <v>139</v>
      </c>
    </row>
    <row r="8704" spans="2:3" x14ac:dyDescent="0.35">
      <c r="B8704" t="s">
        <v>112</v>
      </c>
      <c r="C8704" t="s">
        <v>113</v>
      </c>
    </row>
    <row r="8705" spans="2:3" x14ac:dyDescent="0.35">
      <c r="B8705" t="s">
        <v>680</v>
      </c>
      <c r="C8705" t="s">
        <v>681</v>
      </c>
    </row>
    <row r="8706" spans="2:3" x14ac:dyDescent="0.35">
      <c r="B8706" t="s">
        <v>138</v>
      </c>
      <c r="C8706" t="s">
        <v>139</v>
      </c>
    </row>
    <row r="8707" spans="2:3" x14ac:dyDescent="0.35">
      <c r="B8707" t="s">
        <v>234</v>
      </c>
      <c r="C8707" t="s">
        <v>235</v>
      </c>
    </row>
    <row r="8708" spans="2:3" x14ac:dyDescent="0.35">
      <c r="B8708" t="s">
        <v>680</v>
      </c>
      <c r="C8708" t="s">
        <v>681</v>
      </c>
    </row>
    <row r="8709" spans="2:3" x14ac:dyDescent="0.35">
      <c r="B8709" t="s">
        <v>308</v>
      </c>
      <c r="C8709" t="s">
        <v>309</v>
      </c>
    </row>
    <row r="8710" spans="2:3" x14ac:dyDescent="0.35">
      <c r="B8710" t="s">
        <v>362</v>
      </c>
      <c r="C8710" t="s">
        <v>363</v>
      </c>
    </row>
    <row r="8711" spans="2:3" x14ac:dyDescent="0.35">
      <c r="B8711" t="s">
        <v>680</v>
      </c>
      <c r="C8711" t="s">
        <v>681</v>
      </c>
    </row>
    <row r="8712" spans="2:3" x14ac:dyDescent="0.35">
      <c r="B8712" t="s">
        <v>680</v>
      </c>
      <c r="C8712" t="s">
        <v>681</v>
      </c>
    </row>
    <row r="8713" spans="2:3" x14ac:dyDescent="0.35">
      <c r="B8713" t="s">
        <v>131</v>
      </c>
      <c r="C8713" t="s">
        <v>132</v>
      </c>
    </row>
    <row r="8714" spans="2:3" x14ac:dyDescent="0.35">
      <c r="B8714" t="s">
        <v>93</v>
      </c>
      <c r="C8714" t="s">
        <v>94</v>
      </c>
    </row>
    <row r="8715" spans="2:3" x14ac:dyDescent="0.35">
      <c r="B8715" t="s">
        <v>680</v>
      </c>
      <c r="C8715" t="s">
        <v>681</v>
      </c>
    </row>
    <row r="8716" spans="2:3" x14ac:dyDescent="0.35">
      <c r="B8716" t="s">
        <v>680</v>
      </c>
      <c r="C8716" t="s">
        <v>681</v>
      </c>
    </row>
    <row r="8717" spans="2:3" x14ac:dyDescent="0.35">
      <c r="B8717" t="s">
        <v>680</v>
      </c>
      <c r="C8717" t="s">
        <v>681</v>
      </c>
    </row>
    <row r="8718" spans="2:3" x14ac:dyDescent="0.35">
      <c r="B8718" t="s">
        <v>131</v>
      </c>
      <c r="C8718" t="s">
        <v>132</v>
      </c>
    </row>
    <row r="8719" spans="2:3" x14ac:dyDescent="0.35">
      <c r="B8719" t="s">
        <v>703</v>
      </c>
      <c r="C8719" t="s">
        <v>704</v>
      </c>
    </row>
    <row r="8720" spans="2:3" x14ac:dyDescent="0.35">
      <c r="B8720" t="s">
        <v>48</v>
      </c>
      <c r="C8720" t="s">
        <v>49</v>
      </c>
    </row>
    <row r="8721" spans="2:3" x14ac:dyDescent="0.35">
      <c r="B8721" t="s">
        <v>308</v>
      </c>
      <c r="C8721" t="s">
        <v>309</v>
      </c>
    </row>
    <row r="8722" spans="2:3" x14ac:dyDescent="0.35">
      <c r="B8722" t="s">
        <v>362</v>
      </c>
      <c r="C8722" t="s">
        <v>363</v>
      </c>
    </row>
    <row r="8723" spans="2:3" x14ac:dyDescent="0.35">
      <c r="B8723" t="s">
        <v>234</v>
      </c>
      <c r="C8723" t="s">
        <v>235</v>
      </c>
    </row>
    <row r="8724" spans="2:3" x14ac:dyDescent="0.35">
      <c r="B8724" t="s">
        <v>131</v>
      </c>
      <c r="C8724" t="s">
        <v>132</v>
      </c>
    </row>
    <row r="8725" spans="2:3" x14ac:dyDescent="0.35">
      <c r="B8725" t="s">
        <v>680</v>
      </c>
      <c r="C8725" t="s">
        <v>681</v>
      </c>
    </row>
    <row r="8726" spans="2:3" x14ac:dyDescent="0.35">
      <c r="B8726" t="s">
        <v>48</v>
      </c>
      <c r="C8726" t="s">
        <v>49</v>
      </c>
    </row>
    <row r="8727" spans="2:3" x14ac:dyDescent="0.35">
      <c r="B8727" t="s">
        <v>138</v>
      </c>
      <c r="C8727" t="s">
        <v>139</v>
      </c>
    </row>
    <row r="8728" spans="2:3" x14ac:dyDescent="0.35">
      <c r="B8728" t="s">
        <v>105</v>
      </c>
      <c r="C8728" t="s">
        <v>106</v>
      </c>
    </row>
    <row r="8729" spans="2:3" x14ac:dyDescent="0.35">
      <c r="B8729" t="s">
        <v>362</v>
      </c>
      <c r="C8729" t="s">
        <v>363</v>
      </c>
    </row>
    <row r="8730" spans="2:3" x14ac:dyDescent="0.35">
      <c r="B8730" t="s">
        <v>389</v>
      </c>
      <c r="C8730" t="s">
        <v>390</v>
      </c>
    </row>
    <row r="8731" spans="2:3" x14ac:dyDescent="0.35">
      <c r="B8731" t="s">
        <v>74</v>
      </c>
      <c r="C8731" t="s">
        <v>75</v>
      </c>
    </row>
    <row r="8732" spans="2:3" x14ac:dyDescent="0.35">
      <c r="B8732" t="s">
        <v>236</v>
      </c>
      <c r="C8732" t="s">
        <v>237</v>
      </c>
    </row>
    <row r="8733" spans="2:3" x14ac:dyDescent="0.35">
      <c r="B8733" t="s">
        <v>326</v>
      </c>
      <c r="C8733" t="s">
        <v>327</v>
      </c>
    </row>
    <row r="8734" spans="2:3" x14ac:dyDescent="0.35">
      <c r="B8734" t="s">
        <v>236</v>
      </c>
      <c r="C8734" t="s">
        <v>237</v>
      </c>
    </row>
    <row r="8735" spans="2:3" x14ac:dyDescent="0.35">
      <c r="B8735" t="s">
        <v>362</v>
      </c>
      <c r="C8735" t="s">
        <v>363</v>
      </c>
    </row>
    <row r="8736" spans="2:3" x14ac:dyDescent="0.35">
      <c r="B8736" t="s">
        <v>93</v>
      </c>
      <c r="C8736" t="s">
        <v>94</v>
      </c>
    </row>
    <row r="8737" spans="2:3" x14ac:dyDescent="0.35">
      <c r="B8737" t="s">
        <v>74</v>
      </c>
      <c r="C8737" t="s">
        <v>75</v>
      </c>
    </row>
    <row r="8738" spans="2:3" x14ac:dyDescent="0.35">
      <c r="B8738" t="s">
        <v>362</v>
      </c>
      <c r="C8738" t="s">
        <v>363</v>
      </c>
    </row>
    <row r="8739" spans="2:3" x14ac:dyDescent="0.35">
      <c r="B8739" t="s">
        <v>308</v>
      </c>
      <c r="C8739" t="s">
        <v>309</v>
      </c>
    </row>
    <row r="8740" spans="2:3" x14ac:dyDescent="0.35">
      <c r="B8740" t="s">
        <v>680</v>
      </c>
      <c r="C8740" t="s">
        <v>681</v>
      </c>
    </row>
    <row r="8741" spans="2:3" x14ac:dyDescent="0.35">
      <c r="B8741" t="s">
        <v>48</v>
      </c>
      <c r="C8741" t="s">
        <v>49</v>
      </c>
    </row>
    <row r="8742" spans="2:3" x14ac:dyDescent="0.35">
      <c r="B8742" t="s">
        <v>138</v>
      </c>
      <c r="C8742" t="s">
        <v>139</v>
      </c>
    </row>
    <row r="8743" spans="2:3" x14ac:dyDescent="0.35">
      <c r="B8743" t="s">
        <v>353</v>
      </c>
      <c r="C8743" t="s">
        <v>354</v>
      </c>
    </row>
    <row r="8744" spans="2:3" x14ac:dyDescent="0.35">
      <c r="B8744" t="s">
        <v>234</v>
      </c>
      <c r="C8744" t="s">
        <v>235</v>
      </c>
    </row>
    <row r="8745" spans="2:3" x14ac:dyDescent="0.35">
      <c r="B8745" t="s">
        <v>48</v>
      </c>
      <c r="C8745" t="s">
        <v>49</v>
      </c>
    </row>
    <row r="8746" spans="2:3" x14ac:dyDescent="0.35">
      <c r="B8746" t="s">
        <v>131</v>
      </c>
      <c r="C8746" t="s">
        <v>132</v>
      </c>
    </row>
    <row r="8747" spans="2:3" x14ac:dyDescent="0.35">
      <c r="B8747" t="s">
        <v>362</v>
      </c>
      <c r="C8747" t="s">
        <v>363</v>
      </c>
    </row>
    <row r="8748" spans="2:3" x14ac:dyDescent="0.35">
      <c r="B8748" t="s">
        <v>112</v>
      </c>
      <c r="C8748" t="s">
        <v>113</v>
      </c>
    </row>
    <row r="8749" spans="2:3" x14ac:dyDescent="0.35">
      <c r="B8749" t="s">
        <v>112</v>
      </c>
      <c r="C8749" t="s">
        <v>113</v>
      </c>
    </row>
    <row r="8750" spans="2:3" x14ac:dyDescent="0.35">
      <c r="B8750" t="s">
        <v>112</v>
      </c>
      <c r="C8750" t="s">
        <v>113</v>
      </c>
    </row>
    <row r="8751" spans="2:3" x14ac:dyDescent="0.35">
      <c r="B8751" t="s">
        <v>138</v>
      </c>
      <c r="C8751" t="s">
        <v>139</v>
      </c>
    </row>
    <row r="8752" spans="2:3" x14ac:dyDescent="0.35">
      <c r="B8752" t="s">
        <v>680</v>
      </c>
      <c r="C8752" t="s">
        <v>681</v>
      </c>
    </row>
    <row r="8753" spans="2:3" x14ac:dyDescent="0.35">
      <c r="B8753" t="s">
        <v>138</v>
      </c>
      <c r="C8753" t="s">
        <v>139</v>
      </c>
    </row>
    <row r="8754" spans="2:3" x14ac:dyDescent="0.35">
      <c r="B8754" t="s">
        <v>353</v>
      </c>
      <c r="C8754" t="s">
        <v>354</v>
      </c>
    </row>
    <row r="8755" spans="2:3" x14ac:dyDescent="0.35">
      <c r="B8755" t="s">
        <v>138</v>
      </c>
      <c r="C8755" t="s">
        <v>139</v>
      </c>
    </row>
    <row r="8756" spans="2:3" x14ac:dyDescent="0.35">
      <c r="B8756" t="s">
        <v>362</v>
      </c>
      <c r="C8756" t="s">
        <v>363</v>
      </c>
    </row>
    <row r="8757" spans="2:3" x14ac:dyDescent="0.35">
      <c r="B8757" t="s">
        <v>308</v>
      </c>
      <c r="C8757" t="s">
        <v>309</v>
      </c>
    </row>
    <row r="8758" spans="2:3" x14ac:dyDescent="0.35">
      <c r="B8758" t="s">
        <v>680</v>
      </c>
      <c r="C8758" t="s">
        <v>681</v>
      </c>
    </row>
    <row r="8759" spans="2:3" x14ac:dyDescent="0.35">
      <c r="B8759" t="s">
        <v>48</v>
      </c>
      <c r="C8759" t="s">
        <v>49</v>
      </c>
    </row>
    <row r="8760" spans="2:3" x14ac:dyDescent="0.35">
      <c r="B8760" t="s">
        <v>131</v>
      </c>
      <c r="C8760" t="s">
        <v>132</v>
      </c>
    </row>
    <row r="8761" spans="2:3" x14ac:dyDescent="0.35">
      <c r="B8761" t="s">
        <v>680</v>
      </c>
      <c r="C8761" t="s">
        <v>681</v>
      </c>
    </row>
    <row r="8762" spans="2:3" x14ac:dyDescent="0.35">
      <c r="B8762" t="s">
        <v>131</v>
      </c>
      <c r="C8762" t="s">
        <v>132</v>
      </c>
    </row>
    <row r="8763" spans="2:3" x14ac:dyDescent="0.35">
      <c r="B8763" t="s">
        <v>48</v>
      </c>
      <c r="C8763" t="s">
        <v>49</v>
      </c>
    </row>
    <row r="8764" spans="2:3" x14ac:dyDescent="0.35">
      <c r="B8764" t="s">
        <v>680</v>
      </c>
      <c r="C8764" t="s">
        <v>681</v>
      </c>
    </row>
    <row r="8765" spans="2:3" x14ac:dyDescent="0.35">
      <c r="B8765" t="s">
        <v>236</v>
      </c>
      <c r="C8765" t="s">
        <v>237</v>
      </c>
    </row>
    <row r="8766" spans="2:3" x14ac:dyDescent="0.35">
      <c r="B8766" t="s">
        <v>64</v>
      </c>
      <c r="C8766" t="s">
        <v>65</v>
      </c>
    </row>
    <row r="8767" spans="2:3" x14ac:dyDescent="0.35">
      <c r="B8767" t="s">
        <v>420</v>
      </c>
      <c r="C8767" t="s">
        <v>421</v>
      </c>
    </row>
    <row r="8768" spans="2:3" x14ac:dyDescent="0.35">
      <c r="B8768" t="s">
        <v>234</v>
      </c>
      <c r="C8768" t="s">
        <v>235</v>
      </c>
    </row>
    <row r="8769" spans="2:3" x14ac:dyDescent="0.35">
      <c r="B8769" t="s">
        <v>326</v>
      </c>
      <c r="C8769" t="s">
        <v>327</v>
      </c>
    </row>
    <row r="8770" spans="2:3" x14ac:dyDescent="0.35">
      <c r="B8770" t="s">
        <v>138</v>
      </c>
      <c r="C8770" t="s">
        <v>139</v>
      </c>
    </row>
    <row r="8771" spans="2:3" x14ac:dyDescent="0.35">
      <c r="B8771" t="s">
        <v>362</v>
      </c>
      <c r="C8771" t="s">
        <v>363</v>
      </c>
    </row>
    <row r="8772" spans="2:3" x14ac:dyDescent="0.35">
      <c r="B8772" t="s">
        <v>420</v>
      </c>
      <c r="C8772" t="s">
        <v>421</v>
      </c>
    </row>
    <row r="8773" spans="2:3" x14ac:dyDescent="0.35">
      <c r="B8773" t="s">
        <v>48</v>
      </c>
      <c r="C8773" t="s">
        <v>49</v>
      </c>
    </row>
    <row r="8774" spans="2:3" x14ac:dyDescent="0.35">
      <c r="B8774" t="s">
        <v>138</v>
      </c>
      <c r="C8774" t="s">
        <v>139</v>
      </c>
    </row>
    <row r="8775" spans="2:3" x14ac:dyDescent="0.35">
      <c r="B8775" t="s">
        <v>700</v>
      </c>
      <c r="C8775" t="s">
        <v>701</v>
      </c>
    </row>
    <row r="8776" spans="2:3" x14ac:dyDescent="0.35">
      <c r="B8776" t="s">
        <v>703</v>
      </c>
      <c r="C8776" t="s">
        <v>704</v>
      </c>
    </row>
    <row r="8777" spans="2:3" x14ac:dyDescent="0.35">
      <c r="B8777" t="s">
        <v>48</v>
      </c>
      <c r="C8777" t="s">
        <v>49</v>
      </c>
    </row>
    <row r="8778" spans="2:3" x14ac:dyDescent="0.35">
      <c r="B8778" t="s">
        <v>703</v>
      </c>
      <c r="C8778" t="s">
        <v>704</v>
      </c>
    </row>
    <row r="8779" spans="2:3" x14ac:dyDescent="0.35">
      <c r="B8779" t="s">
        <v>131</v>
      </c>
      <c r="C8779" t="s">
        <v>132</v>
      </c>
    </row>
    <row r="8780" spans="2:3" x14ac:dyDescent="0.35">
      <c r="B8780" t="s">
        <v>236</v>
      </c>
      <c r="C8780" t="s">
        <v>237</v>
      </c>
    </row>
    <row r="8781" spans="2:3" x14ac:dyDescent="0.35">
      <c r="B8781" t="s">
        <v>420</v>
      </c>
      <c r="C8781" t="s">
        <v>421</v>
      </c>
    </row>
    <row r="8782" spans="2:3" x14ac:dyDescent="0.35">
      <c r="B8782" t="s">
        <v>93</v>
      </c>
      <c r="C8782" t="s">
        <v>94</v>
      </c>
    </row>
    <row r="8783" spans="2:3" x14ac:dyDescent="0.35">
      <c r="B8783" t="s">
        <v>303</v>
      </c>
      <c r="C8783" t="s">
        <v>304</v>
      </c>
    </row>
    <row r="8784" spans="2:3" x14ac:dyDescent="0.35">
      <c r="B8784" t="s">
        <v>680</v>
      </c>
      <c r="C8784" t="s">
        <v>681</v>
      </c>
    </row>
    <row r="8785" spans="2:3" x14ac:dyDescent="0.35">
      <c r="B8785" t="s">
        <v>420</v>
      </c>
      <c r="C8785" t="s">
        <v>421</v>
      </c>
    </row>
    <row r="8786" spans="2:3" x14ac:dyDescent="0.35">
      <c r="B8786" t="s">
        <v>74</v>
      </c>
      <c r="C8786" t="s">
        <v>75</v>
      </c>
    </row>
    <row r="8787" spans="2:3" x14ac:dyDescent="0.35">
      <c r="B8787" t="s">
        <v>67</v>
      </c>
      <c r="C8787" t="s">
        <v>68</v>
      </c>
    </row>
    <row r="8788" spans="2:3" x14ac:dyDescent="0.35">
      <c r="B8788" t="s">
        <v>74</v>
      </c>
      <c r="C8788" t="s">
        <v>75</v>
      </c>
    </row>
    <row r="8789" spans="2:3" x14ac:dyDescent="0.35">
      <c r="B8789" t="s">
        <v>308</v>
      </c>
      <c r="C8789" t="s">
        <v>309</v>
      </c>
    </row>
    <row r="8790" spans="2:3" x14ac:dyDescent="0.35">
      <c r="B8790" t="s">
        <v>680</v>
      </c>
      <c r="C8790" t="s">
        <v>681</v>
      </c>
    </row>
    <row r="8791" spans="2:3" x14ac:dyDescent="0.35">
      <c r="B8791" t="s">
        <v>48</v>
      </c>
      <c r="C8791" t="s">
        <v>49</v>
      </c>
    </row>
    <row r="8792" spans="2:3" x14ac:dyDescent="0.35">
      <c r="B8792" t="s">
        <v>234</v>
      </c>
      <c r="C8792" t="s">
        <v>235</v>
      </c>
    </row>
    <row r="8793" spans="2:3" x14ac:dyDescent="0.35">
      <c r="B8793" t="s">
        <v>362</v>
      </c>
      <c r="C8793" t="s">
        <v>363</v>
      </c>
    </row>
    <row r="8794" spans="2:3" x14ac:dyDescent="0.35">
      <c r="B8794" t="s">
        <v>326</v>
      </c>
      <c r="C8794" t="s">
        <v>327</v>
      </c>
    </row>
    <row r="8795" spans="2:3" x14ac:dyDescent="0.35">
      <c r="B8795" t="s">
        <v>406</v>
      </c>
      <c r="C8795" t="s">
        <v>407</v>
      </c>
    </row>
    <row r="8796" spans="2:3" x14ac:dyDescent="0.35">
      <c r="B8796" t="s">
        <v>680</v>
      </c>
      <c r="C8796" t="s">
        <v>681</v>
      </c>
    </row>
    <row r="8797" spans="2:3" x14ac:dyDescent="0.35">
      <c r="B8797" t="s">
        <v>362</v>
      </c>
      <c r="C8797" t="s">
        <v>363</v>
      </c>
    </row>
    <row r="8798" spans="2:3" x14ac:dyDescent="0.35">
      <c r="B8798" t="s">
        <v>48</v>
      </c>
      <c r="C8798" t="s">
        <v>49</v>
      </c>
    </row>
    <row r="8799" spans="2:3" x14ac:dyDescent="0.35">
      <c r="B8799" t="s">
        <v>74</v>
      </c>
      <c r="C8799" t="s">
        <v>75</v>
      </c>
    </row>
    <row r="8800" spans="2:3" x14ac:dyDescent="0.35">
      <c r="B8800" t="s">
        <v>362</v>
      </c>
      <c r="C8800" t="s">
        <v>363</v>
      </c>
    </row>
    <row r="8801" spans="2:3" x14ac:dyDescent="0.35">
      <c r="B8801" t="s">
        <v>131</v>
      </c>
      <c r="C8801" t="s">
        <v>132</v>
      </c>
    </row>
    <row r="8802" spans="2:3" x14ac:dyDescent="0.35">
      <c r="B8802" t="s">
        <v>138</v>
      </c>
      <c r="C8802" t="s">
        <v>139</v>
      </c>
    </row>
    <row r="8803" spans="2:3" x14ac:dyDescent="0.35">
      <c r="B8803" t="s">
        <v>93</v>
      </c>
      <c r="C8803" t="s">
        <v>94</v>
      </c>
    </row>
    <row r="8804" spans="2:3" x14ac:dyDescent="0.35">
      <c r="B8804" t="s">
        <v>420</v>
      </c>
      <c r="C8804" t="s">
        <v>421</v>
      </c>
    </row>
    <row r="8805" spans="2:3" x14ac:dyDescent="0.35">
      <c r="B8805" t="s">
        <v>362</v>
      </c>
      <c r="C8805" t="s">
        <v>363</v>
      </c>
    </row>
    <row r="8806" spans="2:3" x14ac:dyDescent="0.35">
      <c r="B8806" t="s">
        <v>362</v>
      </c>
      <c r="C8806" t="s">
        <v>363</v>
      </c>
    </row>
    <row r="8807" spans="2:3" x14ac:dyDescent="0.35">
      <c r="B8807" t="s">
        <v>362</v>
      </c>
      <c r="C8807" t="s">
        <v>363</v>
      </c>
    </row>
    <row r="8808" spans="2:3" x14ac:dyDescent="0.35">
      <c r="B8808" t="s">
        <v>131</v>
      </c>
      <c r="C8808" t="s">
        <v>132</v>
      </c>
    </row>
    <row r="8809" spans="2:3" x14ac:dyDescent="0.35">
      <c r="B8809" t="s">
        <v>48</v>
      </c>
      <c r="C8809" t="s">
        <v>49</v>
      </c>
    </row>
    <row r="8810" spans="2:3" x14ac:dyDescent="0.35">
      <c r="B8810" t="s">
        <v>680</v>
      </c>
      <c r="C8810" t="s">
        <v>681</v>
      </c>
    </row>
    <row r="8811" spans="2:3" x14ac:dyDescent="0.35">
      <c r="B8811" t="s">
        <v>138</v>
      </c>
      <c r="C8811" t="s">
        <v>139</v>
      </c>
    </row>
    <row r="8812" spans="2:3" x14ac:dyDescent="0.35">
      <c r="B8812" t="s">
        <v>64</v>
      </c>
      <c r="C8812" t="s">
        <v>65</v>
      </c>
    </row>
    <row r="8813" spans="2:3" x14ac:dyDescent="0.35">
      <c r="B8813" t="s">
        <v>353</v>
      </c>
      <c r="C8813" t="s">
        <v>354</v>
      </c>
    </row>
    <row r="8814" spans="2:3" x14ac:dyDescent="0.35">
      <c r="B8814" t="s">
        <v>353</v>
      </c>
      <c r="C8814" t="s">
        <v>354</v>
      </c>
    </row>
    <row r="8815" spans="2:3" x14ac:dyDescent="0.35">
      <c r="B8815" t="s">
        <v>112</v>
      </c>
      <c r="C8815" t="s">
        <v>113</v>
      </c>
    </row>
    <row r="8816" spans="2:3" x14ac:dyDescent="0.35">
      <c r="B8816" t="s">
        <v>420</v>
      </c>
      <c r="C8816" t="s">
        <v>421</v>
      </c>
    </row>
    <row r="8817" spans="2:3" x14ac:dyDescent="0.35">
      <c r="B8817" t="s">
        <v>131</v>
      </c>
      <c r="C8817" t="s">
        <v>132</v>
      </c>
    </row>
    <row r="8818" spans="2:3" x14ac:dyDescent="0.35">
      <c r="B8818" t="s">
        <v>131</v>
      </c>
      <c r="C8818" t="s">
        <v>132</v>
      </c>
    </row>
    <row r="8819" spans="2:3" x14ac:dyDescent="0.35">
      <c r="B8819" t="s">
        <v>138</v>
      </c>
      <c r="C8819" t="s">
        <v>139</v>
      </c>
    </row>
    <row r="8820" spans="2:3" x14ac:dyDescent="0.35">
      <c r="B8820" t="s">
        <v>308</v>
      </c>
      <c r="C8820" t="s">
        <v>309</v>
      </c>
    </row>
    <row r="8821" spans="2:3" x14ac:dyDescent="0.35">
      <c r="B8821" t="s">
        <v>74</v>
      </c>
      <c r="C8821" t="s">
        <v>75</v>
      </c>
    </row>
    <row r="8822" spans="2:3" x14ac:dyDescent="0.35">
      <c r="B8822" t="s">
        <v>326</v>
      </c>
      <c r="C8822" t="s">
        <v>327</v>
      </c>
    </row>
    <row r="8823" spans="2:3" x14ac:dyDescent="0.35">
      <c r="B8823" t="s">
        <v>48</v>
      </c>
      <c r="C8823" t="s">
        <v>49</v>
      </c>
    </row>
    <row r="8824" spans="2:3" x14ac:dyDescent="0.35">
      <c r="B8824" t="s">
        <v>420</v>
      </c>
      <c r="C8824" t="s">
        <v>421</v>
      </c>
    </row>
    <row r="8825" spans="2:3" x14ac:dyDescent="0.35">
      <c r="B8825" t="s">
        <v>703</v>
      </c>
      <c r="C8825" t="s">
        <v>704</v>
      </c>
    </row>
    <row r="8826" spans="2:3" x14ac:dyDescent="0.35">
      <c r="B8826" t="s">
        <v>131</v>
      </c>
      <c r="C8826" t="s">
        <v>132</v>
      </c>
    </row>
    <row r="8827" spans="2:3" x14ac:dyDescent="0.35">
      <c r="B8827" t="s">
        <v>48</v>
      </c>
      <c r="C8827" t="s">
        <v>49</v>
      </c>
    </row>
    <row r="8828" spans="2:3" x14ac:dyDescent="0.35">
      <c r="B8828" t="s">
        <v>138</v>
      </c>
      <c r="C8828" t="s">
        <v>139</v>
      </c>
    </row>
    <row r="8829" spans="2:3" x14ac:dyDescent="0.35">
      <c r="B8829" t="s">
        <v>389</v>
      </c>
      <c r="C8829" t="s">
        <v>390</v>
      </c>
    </row>
    <row r="8830" spans="2:3" x14ac:dyDescent="0.35">
      <c r="B8830" t="s">
        <v>236</v>
      </c>
      <c r="C8830" t="s">
        <v>237</v>
      </c>
    </row>
    <row r="8831" spans="2:3" x14ac:dyDescent="0.35">
      <c r="B8831" t="s">
        <v>74</v>
      </c>
      <c r="C8831" t="s">
        <v>75</v>
      </c>
    </row>
    <row r="8832" spans="2:3" x14ac:dyDescent="0.35">
      <c r="B8832" t="s">
        <v>234</v>
      </c>
      <c r="C8832" t="s">
        <v>235</v>
      </c>
    </row>
    <row r="8833" spans="2:3" x14ac:dyDescent="0.35">
      <c r="B8833" t="s">
        <v>236</v>
      </c>
      <c r="C8833" t="s">
        <v>237</v>
      </c>
    </row>
    <row r="8834" spans="2:3" x14ac:dyDescent="0.35">
      <c r="B8834" t="s">
        <v>100</v>
      </c>
      <c r="C8834" t="s">
        <v>101</v>
      </c>
    </row>
    <row r="8835" spans="2:3" x14ac:dyDescent="0.35">
      <c r="B8835" t="s">
        <v>131</v>
      </c>
      <c r="C8835" t="s">
        <v>132</v>
      </c>
    </row>
    <row r="8836" spans="2:3" x14ac:dyDescent="0.35">
      <c r="B8836" t="s">
        <v>74</v>
      </c>
      <c r="C8836" t="s">
        <v>75</v>
      </c>
    </row>
    <row r="8837" spans="2:3" x14ac:dyDescent="0.35">
      <c r="B8837" t="s">
        <v>48</v>
      </c>
      <c r="C8837" t="s">
        <v>49</v>
      </c>
    </row>
    <row r="8838" spans="2:3" x14ac:dyDescent="0.35">
      <c r="B8838" t="s">
        <v>362</v>
      </c>
      <c r="C8838" t="s">
        <v>363</v>
      </c>
    </row>
    <row r="8839" spans="2:3" x14ac:dyDescent="0.35">
      <c r="B8839" t="s">
        <v>112</v>
      </c>
      <c r="C8839" t="s">
        <v>113</v>
      </c>
    </row>
    <row r="8840" spans="2:3" x14ac:dyDescent="0.35">
      <c r="B8840" t="s">
        <v>703</v>
      </c>
      <c r="C8840" t="s">
        <v>704</v>
      </c>
    </row>
    <row r="8841" spans="2:3" x14ac:dyDescent="0.35">
      <c r="B8841" t="s">
        <v>362</v>
      </c>
      <c r="C8841" t="s">
        <v>363</v>
      </c>
    </row>
    <row r="8842" spans="2:3" x14ac:dyDescent="0.35">
      <c r="B8842" t="s">
        <v>362</v>
      </c>
      <c r="C8842" t="s">
        <v>363</v>
      </c>
    </row>
    <row r="8843" spans="2:3" x14ac:dyDescent="0.35">
      <c r="B8843" t="s">
        <v>406</v>
      </c>
      <c r="C8843" t="s">
        <v>407</v>
      </c>
    </row>
    <row r="8844" spans="2:3" x14ac:dyDescent="0.35">
      <c r="B8844" t="s">
        <v>353</v>
      </c>
      <c r="C8844" t="s">
        <v>354</v>
      </c>
    </row>
    <row r="8845" spans="2:3" x14ac:dyDescent="0.35">
      <c r="B8845" t="s">
        <v>74</v>
      </c>
      <c r="C8845" t="s">
        <v>75</v>
      </c>
    </row>
    <row r="8846" spans="2:3" x14ac:dyDescent="0.35">
      <c r="B8846" t="s">
        <v>420</v>
      </c>
      <c r="C8846" t="s">
        <v>421</v>
      </c>
    </row>
    <row r="8847" spans="2:3" x14ac:dyDescent="0.35">
      <c r="B8847" t="s">
        <v>236</v>
      </c>
      <c r="C8847" t="s">
        <v>237</v>
      </c>
    </row>
    <row r="8848" spans="2:3" x14ac:dyDescent="0.35">
      <c r="B8848" t="s">
        <v>112</v>
      </c>
      <c r="C8848" t="s">
        <v>113</v>
      </c>
    </row>
    <row r="8849" spans="2:3" x14ac:dyDescent="0.35">
      <c r="B8849" t="s">
        <v>406</v>
      </c>
      <c r="C8849" t="s">
        <v>407</v>
      </c>
    </row>
    <row r="8850" spans="2:3" x14ac:dyDescent="0.35">
      <c r="B8850" t="s">
        <v>236</v>
      </c>
      <c r="C8850" t="s">
        <v>237</v>
      </c>
    </row>
    <row r="8851" spans="2:3" x14ac:dyDescent="0.35">
      <c r="B8851" t="s">
        <v>680</v>
      </c>
      <c r="C8851" t="s">
        <v>681</v>
      </c>
    </row>
    <row r="8852" spans="2:3" x14ac:dyDescent="0.35">
      <c r="B8852" t="s">
        <v>236</v>
      </c>
      <c r="C8852" t="s">
        <v>237</v>
      </c>
    </row>
    <row r="8853" spans="2:3" x14ac:dyDescent="0.35">
      <c r="B8853" t="s">
        <v>326</v>
      </c>
      <c r="C8853" t="s">
        <v>327</v>
      </c>
    </row>
    <row r="8854" spans="2:3" x14ac:dyDescent="0.35">
      <c r="B8854" t="s">
        <v>703</v>
      </c>
      <c r="C8854" t="s">
        <v>704</v>
      </c>
    </row>
    <row r="8855" spans="2:3" x14ac:dyDescent="0.35">
      <c r="B8855" t="s">
        <v>236</v>
      </c>
      <c r="C8855" t="s">
        <v>237</v>
      </c>
    </row>
    <row r="8856" spans="2:3" x14ac:dyDescent="0.35">
      <c r="B8856" t="s">
        <v>112</v>
      </c>
      <c r="C8856" t="s">
        <v>113</v>
      </c>
    </row>
    <row r="8857" spans="2:3" x14ac:dyDescent="0.35">
      <c r="B8857" t="s">
        <v>112</v>
      </c>
      <c r="C8857" t="s">
        <v>113</v>
      </c>
    </row>
    <row r="8858" spans="2:3" x14ac:dyDescent="0.35">
      <c r="B8858" t="s">
        <v>680</v>
      </c>
      <c r="C8858" t="s">
        <v>681</v>
      </c>
    </row>
    <row r="8859" spans="2:3" x14ac:dyDescent="0.35">
      <c r="B8859" t="s">
        <v>64</v>
      </c>
      <c r="C8859" t="s">
        <v>65</v>
      </c>
    </row>
    <row r="8860" spans="2:3" x14ac:dyDescent="0.35">
      <c r="B8860" t="s">
        <v>138</v>
      </c>
      <c r="C8860" t="s">
        <v>139</v>
      </c>
    </row>
    <row r="8861" spans="2:3" x14ac:dyDescent="0.35">
      <c r="B8861" t="s">
        <v>680</v>
      </c>
      <c r="C8861" t="s">
        <v>681</v>
      </c>
    </row>
    <row r="8862" spans="2:3" x14ac:dyDescent="0.35">
      <c r="B8862" t="s">
        <v>680</v>
      </c>
      <c r="C8862" t="s">
        <v>681</v>
      </c>
    </row>
    <row r="8863" spans="2:3" x14ac:dyDescent="0.35">
      <c r="B8863" t="s">
        <v>362</v>
      </c>
      <c r="C8863" t="s">
        <v>363</v>
      </c>
    </row>
    <row r="8864" spans="2:3" x14ac:dyDescent="0.35">
      <c r="B8864" t="s">
        <v>131</v>
      </c>
      <c r="C8864" t="s">
        <v>132</v>
      </c>
    </row>
    <row r="8865" spans="2:3" x14ac:dyDescent="0.35">
      <c r="B8865" t="s">
        <v>138</v>
      </c>
      <c r="C8865" t="s">
        <v>139</v>
      </c>
    </row>
    <row r="8866" spans="2:3" x14ac:dyDescent="0.35">
      <c r="B8866" t="s">
        <v>64</v>
      </c>
      <c r="C8866" t="s">
        <v>65</v>
      </c>
    </row>
    <row r="8867" spans="2:3" x14ac:dyDescent="0.35">
      <c r="B8867" t="s">
        <v>143</v>
      </c>
      <c r="C8867" t="s">
        <v>144</v>
      </c>
    </row>
    <row r="8868" spans="2:3" x14ac:dyDescent="0.35">
      <c r="B8868" t="s">
        <v>131</v>
      </c>
      <c r="C8868" t="s">
        <v>132</v>
      </c>
    </row>
    <row r="8869" spans="2:3" x14ac:dyDescent="0.35">
      <c r="B8869" t="s">
        <v>362</v>
      </c>
      <c r="C8869" t="s">
        <v>363</v>
      </c>
    </row>
    <row r="8870" spans="2:3" x14ac:dyDescent="0.35">
      <c r="B8870" t="s">
        <v>234</v>
      </c>
      <c r="C8870" t="s">
        <v>235</v>
      </c>
    </row>
    <row r="8871" spans="2:3" x14ac:dyDescent="0.35">
      <c r="B8871" t="s">
        <v>680</v>
      </c>
      <c r="C8871" t="s">
        <v>681</v>
      </c>
    </row>
    <row r="8872" spans="2:3" x14ac:dyDescent="0.35">
      <c r="B8872" t="s">
        <v>234</v>
      </c>
      <c r="C8872" t="s">
        <v>235</v>
      </c>
    </row>
    <row r="8873" spans="2:3" x14ac:dyDescent="0.35">
      <c r="B8873" t="s">
        <v>420</v>
      </c>
      <c r="C8873" t="s">
        <v>421</v>
      </c>
    </row>
    <row r="8874" spans="2:3" x14ac:dyDescent="0.35">
      <c r="B8874" t="s">
        <v>74</v>
      </c>
      <c r="C8874" t="s">
        <v>75</v>
      </c>
    </row>
    <row r="8875" spans="2:3" x14ac:dyDescent="0.35">
      <c r="B8875" t="s">
        <v>680</v>
      </c>
      <c r="C8875" t="s">
        <v>681</v>
      </c>
    </row>
    <row r="8876" spans="2:3" x14ac:dyDescent="0.35">
      <c r="B8876" t="s">
        <v>389</v>
      </c>
      <c r="C8876" t="s">
        <v>390</v>
      </c>
    </row>
    <row r="8877" spans="2:3" x14ac:dyDescent="0.35">
      <c r="B8877" t="s">
        <v>138</v>
      </c>
      <c r="C8877" t="s">
        <v>139</v>
      </c>
    </row>
    <row r="8878" spans="2:3" x14ac:dyDescent="0.35">
      <c r="B8878" t="s">
        <v>353</v>
      </c>
      <c r="C8878" t="s">
        <v>354</v>
      </c>
    </row>
    <row r="8879" spans="2:3" x14ac:dyDescent="0.35">
      <c r="B8879" t="s">
        <v>308</v>
      </c>
      <c r="C8879" t="s">
        <v>309</v>
      </c>
    </row>
    <row r="8880" spans="2:3" x14ac:dyDescent="0.35">
      <c r="B8880" t="s">
        <v>131</v>
      </c>
      <c r="C8880" t="s">
        <v>132</v>
      </c>
    </row>
    <row r="8881" spans="2:3" x14ac:dyDescent="0.35">
      <c r="B8881" t="s">
        <v>138</v>
      </c>
      <c r="C8881" t="s">
        <v>139</v>
      </c>
    </row>
    <row r="8882" spans="2:3" x14ac:dyDescent="0.35">
      <c r="B8882" t="s">
        <v>112</v>
      </c>
      <c r="C8882" t="s">
        <v>113</v>
      </c>
    </row>
    <row r="8883" spans="2:3" x14ac:dyDescent="0.35">
      <c r="B8883" t="s">
        <v>362</v>
      </c>
      <c r="C8883" t="s">
        <v>363</v>
      </c>
    </row>
    <row r="8884" spans="2:3" x14ac:dyDescent="0.35">
      <c r="B8884" t="s">
        <v>74</v>
      </c>
      <c r="C8884" t="s">
        <v>75</v>
      </c>
    </row>
    <row r="8885" spans="2:3" x14ac:dyDescent="0.35">
      <c r="B8885" t="s">
        <v>236</v>
      </c>
      <c r="C8885" t="s">
        <v>237</v>
      </c>
    </row>
    <row r="8886" spans="2:3" x14ac:dyDescent="0.35">
      <c r="B8886" t="s">
        <v>48</v>
      </c>
      <c r="C8886" t="s">
        <v>49</v>
      </c>
    </row>
    <row r="8887" spans="2:3" x14ac:dyDescent="0.35">
      <c r="B8887" t="s">
        <v>112</v>
      </c>
      <c r="C8887" t="s">
        <v>113</v>
      </c>
    </row>
    <row r="8888" spans="2:3" x14ac:dyDescent="0.35">
      <c r="B8888" t="s">
        <v>131</v>
      </c>
      <c r="C8888" t="s">
        <v>132</v>
      </c>
    </row>
    <row r="8889" spans="2:3" x14ac:dyDescent="0.35">
      <c r="B8889" t="s">
        <v>74</v>
      </c>
      <c r="C8889" t="s">
        <v>75</v>
      </c>
    </row>
    <row r="8890" spans="2:3" x14ac:dyDescent="0.35">
      <c r="B8890" t="s">
        <v>680</v>
      </c>
      <c r="C8890" t="s">
        <v>681</v>
      </c>
    </row>
    <row r="8891" spans="2:3" x14ac:dyDescent="0.35">
      <c r="B8891" t="s">
        <v>308</v>
      </c>
      <c r="C8891" t="s">
        <v>309</v>
      </c>
    </row>
    <row r="8892" spans="2:3" x14ac:dyDescent="0.35">
      <c r="B8892" t="s">
        <v>74</v>
      </c>
      <c r="C8892" t="s">
        <v>75</v>
      </c>
    </row>
    <row r="8893" spans="2:3" x14ac:dyDescent="0.35">
      <c r="B8893" t="s">
        <v>131</v>
      </c>
      <c r="C8893" t="s">
        <v>132</v>
      </c>
    </row>
    <row r="8894" spans="2:3" x14ac:dyDescent="0.35">
      <c r="B8894" t="s">
        <v>138</v>
      </c>
      <c r="C8894" t="s">
        <v>139</v>
      </c>
    </row>
    <row r="8895" spans="2:3" x14ac:dyDescent="0.35">
      <c r="B8895" t="s">
        <v>420</v>
      </c>
      <c r="C8895" t="s">
        <v>421</v>
      </c>
    </row>
    <row r="8896" spans="2:3" x14ac:dyDescent="0.35">
      <c r="B8896" t="s">
        <v>236</v>
      </c>
      <c r="C8896" t="s">
        <v>237</v>
      </c>
    </row>
    <row r="8897" spans="2:3" x14ac:dyDescent="0.35">
      <c r="B8897" t="s">
        <v>353</v>
      </c>
      <c r="C8897" t="s">
        <v>354</v>
      </c>
    </row>
    <row r="8898" spans="2:3" x14ac:dyDescent="0.35">
      <c r="B8898" t="s">
        <v>131</v>
      </c>
      <c r="C8898" t="s">
        <v>132</v>
      </c>
    </row>
    <row r="8899" spans="2:3" x14ac:dyDescent="0.35">
      <c r="B8899" t="s">
        <v>112</v>
      </c>
      <c r="C8899" t="s">
        <v>113</v>
      </c>
    </row>
    <row r="8900" spans="2:3" x14ac:dyDescent="0.35">
      <c r="B8900" t="s">
        <v>406</v>
      </c>
      <c r="C8900" t="s">
        <v>407</v>
      </c>
    </row>
    <row r="8901" spans="2:3" x14ac:dyDescent="0.35">
      <c r="B8901" t="s">
        <v>236</v>
      </c>
      <c r="C8901" t="s">
        <v>237</v>
      </c>
    </row>
    <row r="8902" spans="2:3" x14ac:dyDescent="0.35">
      <c r="B8902" t="s">
        <v>131</v>
      </c>
      <c r="C8902" t="s">
        <v>132</v>
      </c>
    </row>
    <row r="8903" spans="2:3" x14ac:dyDescent="0.35">
      <c r="B8903" t="s">
        <v>703</v>
      </c>
      <c r="C8903" t="s">
        <v>704</v>
      </c>
    </row>
    <row r="8904" spans="2:3" x14ac:dyDescent="0.35">
      <c r="B8904" t="s">
        <v>389</v>
      </c>
      <c r="C8904" t="s">
        <v>390</v>
      </c>
    </row>
    <row r="8905" spans="2:3" x14ac:dyDescent="0.35">
      <c r="B8905" t="s">
        <v>48</v>
      </c>
      <c r="C8905" t="s">
        <v>49</v>
      </c>
    </row>
    <row r="8906" spans="2:3" x14ac:dyDescent="0.35">
      <c r="B8906" t="s">
        <v>93</v>
      </c>
      <c r="C8906" t="s">
        <v>94</v>
      </c>
    </row>
    <row r="8907" spans="2:3" x14ac:dyDescent="0.35">
      <c r="B8907" t="s">
        <v>703</v>
      </c>
      <c r="C8907" t="s">
        <v>704</v>
      </c>
    </row>
    <row r="8908" spans="2:3" x14ac:dyDescent="0.35">
      <c r="B8908" t="s">
        <v>353</v>
      </c>
      <c r="C8908" t="s">
        <v>354</v>
      </c>
    </row>
    <row r="8909" spans="2:3" x14ac:dyDescent="0.35">
      <c r="B8909" t="s">
        <v>308</v>
      </c>
      <c r="C8909" t="s">
        <v>309</v>
      </c>
    </row>
    <row r="8910" spans="2:3" x14ac:dyDescent="0.35">
      <c r="B8910" t="s">
        <v>362</v>
      </c>
      <c r="C8910" t="s">
        <v>363</v>
      </c>
    </row>
    <row r="8911" spans="2:3" x14ac:dyDescent="0.35">
      <c r="B8911" t="s">
        <v>138</v>
      </c>
      <c r="C8911" t="s">
        <v>139</v>
      </c>
    </row>
    <row r="8912" spans="2:3" x14ac:dyDescent="0.35">
      <c r="B8912" t="s">
        <v>308</v>
      </c>
      <c r="C8912" t="s">
        <v>309</v>
      </c>
    </row>
    <row r="8913" spans="2:3" x14ac:dyDescent="0.35">
      <c r="B8913" t="s">
        <v>362</v>
      </c>
      <c r="C8913" t="s">
        <v>363</v>
      </c>
    </row>
    <row r="8914" spans="2:3" x14ac:dyDescent="0.35">
      <c r="B8914" t="s">
        <v>74</v>
      </c>
      <c r="C8914" t="s">
        <v>75</v>
      </c>
    </row>
    <row r="8915" spans="2:3" x14ac:dyDescent="0.35">
      <c r="B8915" t="s">
        <v>362</v>
      </c>
      <c r="C8915" t="s">
        <v>363</v>
      </c>
    </row>
    <row r="8916" spans="2:3" x14ac:dyDescent="0.35">
      <c r="B8916" t="s">
        <v>48</v>
      </c>
      <c r="C8916" t="s">
        <v>49</v>
      </c>
    </row>
    <row r="8917" spans="2:3" x14ac:dyDescent="0.35">
      <c r="B8917" t="s">
        <v>680</v>
      </c>
      <c r="C8917" t="s">
        <v>681</v>
      </c>
    </row>
    <row r="8918" spans="2:3" x14ac:dyDescent="0.35">
      <c r="B8918" t="s">
        <v>353</v>
      </c>
      <c r="C8918" t="s">
        <v>354</v>
      </c>
    </row>
    <row r="8919" spans="2:3" x14ac:dyDescent="0.35">
      <c r="B8919" t="s">
        <v>48</v>
      </c>
      <c r="C8919" t="s">
        <v>49</v>
      </c>
    </row>
    <row r="8920" spans="2:3" x14ac:dyDescent="0.35">
      <c r="B8920" t="s">
        <v>308</v>
      </c>
      <c r="C8920" t="s">
        <v>309</v>
      </c>
    </row>
    <row r="8921" spans="2:3" x14ac:dyDescent="0.35">
      <c r="B8921" t="s">
        <v>74</v>
      </c>
      <c r="C8921" t="s">
        <v>75</v>
      </c>
    </row>
    <row r="8922" spans="2:3" x14ac:dyDescent="0.35">
      <c r="B8922" t="s">
        <v>303</v>
      </c>
      <c r="C8922" t="s">
        <v>304</v>
      </c>
    </row>
    <row r="8923" spans="2:3" x14ac:dyDescent="0.35">
      <c r="B8923" t="s">
        <v>131</v>
      </c>
      <c r="C8923" t="s">
        <v>132</v>
      </c>
    </row>
    <row r="8924" spans="2:3" x14ac:dyDescent="0.35">
      <c r="B8924" t="s">
        <v>112</v>
      </c>
      <c r="C8924" t="s">
        <v>113</v>
      </c>
    </row>
    <row r="8925" spans="2:3" x14ac:dyDescent="0.35">
      <c r="B8925" t="s">
        <v>74</v>
      </c>
      <c r="C8925" t="s">
        <v>75</v>
      </c>
    </row>
    <row r="8926" spans="2:3" x14ac:dyDescent="0.35">
      <c r="B8926" t="s">
        <v>362</v>
      </c>
      <c r="C8926" t="s">
        <v>363</v>
      </c>
    </row>
    <row r="8927" spans="2:3" x14ac:dyDescent="0.35">
      <c r="B8927" t="s">
        <v>362</v>
      </c>
      <c r="C8927" t="s">
        <v>363</v>
      </c>
    </row>
    <row r="8928" spans="2:3" x14ac:dyDescent="0.35">
      <c r="B8928" t="s">
        <v>74</v>
      </c>
      <c r="C8928" t="s">
        <v>75</v>
      </c>
    </row>
    <row r="8929" spans="2:3" x14ac:dyDescent="0.35">
      <c r="B8929" t="s">
        <v>703</v>
      </c>
      <c r="C8929" t="s">
        <v>704</v>
      </c>
    </row>
    <row r="8930" spans="2:3" x14ac:dyDescent="0.35">
      <c r="B8930" t="s">
        <v>308</v>
      </c>
      <c r="C8930" t="s">
        <v>309</v>
      </c>
    </row>
    <row r="8931" spans="2:3" x14ac:dyDescent="0.35">
      <c r="B8931" t="s">
        <v>138</v>
      </c>
      <c r="C8931" t="s">
        <v>139</v>
      </c>
    </row>
    <row r="8932" spans="2:3" x14ac:dyDescent="0.35">
      <c r="B8932" t="s">
        <v>680</v>
      </c>
      <c r="C8932" t="s">
        <v>681</v>
      </c>
    </row>
    <row r="8933" spans="2:3" x14ac:dyDescent="0.35">
      <c r="B8933" t="s">
        <v>362</v>
      </c>
      <c r="C8933" t="s">
        <v>363</v>
      </c>
    </row>
    <row r="8934" spans="2:3" x14ac:dyDescent="0.35">
      <c r="B8934" t="s">
        <v>131</v>
      </c>
      <c r="C8934" t="s">
        <v>132</v>
      </c>
    </row>
    <row r="8935" spans="2:3" x14ac:dyDescent="0.35">
      <c r="B8935" t="s">
        <v>362</v>
      </c>
      <c r="C8935" t="s">
        <v>363</v>
      </c>
    </row>
    <row r="8936" spans="2:3" x14ac:dyDescent="0.35">
      <c r="B8936" t="s">
        <v>131</v>
      </c>
      <c r="C8936" t="s">
        <v>132</v>
      </c>
    </row>
    <row r="8937" spans="2:3" x14ac:dyDescent="0.35">
      <c r="B8937" t="s">
        <v>234</v>
      </c>
      <c r="C8937" t="s">
        <v>235</v>
      </c>
    </row>
    <row r="8938" spans="2:3" x14ac:dyDescent="0.35">
      <c r="B8938" t="s">
        <v>236</v>
      </c>
      <c r="C8938" t="s">
        <v>237</v>
      </c>
    </row>
    <row r="8939" spans="2:3" x14ac:dyDescent="0.35">
      <c r="B8939" t="s">
        <v>48</v>
      </c>
      <c r="C8939" t="s">
        <v>49</v>
      </c>
    </row>
    <row r="8940" spans="2:3" x14ac:dyDescent="0.35">
      <c r="B8940" t="s">
        <v>74</v>
      </c>
      <c r="C8940" t="s">
        <v>75</v>
      </c>
    </row>
    <row r="8941" spans="2:3" x14ac:dyDescent="0.35">
      <c r="B8941" t="s">
        <v>74</v>
      </c>
      <c r="C8941" t="s">
        <v>75</v>
      </c>
    </row>
    <row r="8942" spans="2:3" x14ac:dyDescent="0.35">
      <c r="B8942" t="s">
        <v>138</v>
      </c>
      <c r="C8942" t="s">
        <v>139</v>
      </c>
    </row>
    <row r="8943" spans="2:3" x14ac:dyDescent="0.35">
      <c r="B8943" t="s">
        <v>143</v>
      </c>
      <c r="C8943" t="s">
        <v>144</v>
      </c>
    </row>
    <row r="8944" spans="2:3" x14ac:dyDescent="0.35">
      <c r="B8944" t="s">
        <v>680</v>
      </c>
      <c r="C8944" t="s">
        <v>681</v>
      </c>
    </row>
    <row r="8945" spans="2:3" x14ac:dyDescent="0.35">
      <c r="B8945" t="s">
        <v>353</v>
      </c>
      <c r="C8945" t="s">
        <v>354</v>
      </c>
    </row>
    <row r="8946" spans="2:3" x14ac:dyDescent="0.35">
      <c r="B8946" t="s">
        <v>234</v>
      </c>
      <c r="C8946" t="s">
        <v>235</v>
      </c>
    </row>
    <row r="8947" spans="2:3" x14ac:dyDescent="0.35">
      <c r="B8947" t="s">
        <v>420</v>
      </c>
      <c r="C8947" t="s">
        <v>421</v>
      </c>
    </row>
    <row r="8948" spans="2:3" x14ac:dyDescent="0.35">
      <c r="B8948" t="s">
        <v>236</v>
      </c>
      <c r="C8948" t="s">
        <v>237</v>
      </c>
    </row>
    <row r="8949" spans="2:3" x14ac:dyDescent="0.35">
      <c r="B8949" t="s">
        <v>234</v>
      </c>
      <c r="C8949" t="s">
        <v>235</v>
      </c>
    </row>
    <row r="8950" spans="2:3" x14ac:dyDescent="0.35">
      <c r="B8950" t="s">
        <v>308</v>
      </c>
      <c r="C8950" t="s">
        <v>309</v>
      </c>
    </row>
    <row r="8951" spans="2:3" x14ac:dyDescent="0.35">
      <c r="B8951" t="s">
        <v>48</v>
      </c>
      <c r="C8951" t="s">
        <v>49</v>
      </c>
    </row>
    <row r="8952" spans="2:3" x14ac:dyDescent="0.35">
      <c r="B8952" t="s">
        <v>420</v>
      </c>
      <c r="C8952" t="s">
        <v>421</v>
      </c>
    </row>
    <row r="8953" spans="2:3" x14ac:dyDescent="0.35">
      <c r="B8953" t="s">
        <v>326</v>
      </c>
      <c r="C8953" t="s">
        <v>327</v>
      </c>
    </row>
    <row r="8954" spans="2:3" x14ac:dyDescent="0.35">
      <c r="B8954" t="s">
        <v>420</v>
      </c>
      <c r="C8954" t="s">
        <v>421</v>
      </c>
    </row>
    <row r="8955" spans="2:3" x14ac:dyDescent="0.35">
      <c r="B8955" t="s">
        <v>362</v>
      </c>
      <c r="C8955" t="s">
        <v>363</v>
      </c>
    </row>
    <row r="8956" spans="2:3" x14ac:dyDescent="0.35">
      <c r="B8956" t="s">
        <v>326</v>
      </c>
      <c r="C8956" t="s">
        <v>327</v>
      </c>
    </row>
    <row r="8957" spans="2:3" x14ac:dyDescent="0.35">
      <c r="B8957" t="s">
        <v>234</v>
      </c>
      <c r="C8957" t="s">
        <v>235</v>
      </c>
    </row>
    <row r="8958" spans="2:3" x14ac:dyDescent="0.35">
      <c r="B8958" t="s">
        <v>138</v>
      </c>
      <c r="C8958" t="s">
        <v>139</v>
      </c>
    </row>
    <row r="8959" spans="2:3" x14ac:dyDescent="0.35">
      <c r="B8959" t="s">
        <v>48</v>
      </c>
      <c r="C8959" t="s">
        <v>49</v>
      </c>
    </row>
    <row r="8960" spans="2:3" x14ac:dyDescent="0.35">
      <c r="B8960" t="s">
        <v>112</v>
      </c>
      <c r="C8960" t="s">
        <v>113</v>
      </c>
    </row>
    <row r="8961" spans="2:3" x14ac:dyDescent="0.35">
      <c r="B8961" t="s">
        <v>406</v>
      </c>
      <c r="C8961" t="s">
        <v>407</v>
      </c>
    </row>
    <row r="8962" spans="2:3" x14ac:dyDescent="0.35">
      <c r="B8962" t="s">
        <v>48</v>
      </c>
      <c r="C8962" t="s">
        <v>49</v>
      </c>
    </row>
    <row r="8963" spans="2:3" x14ac:dyDescent="0.35">
      <c r="B8963" t="s">
        <v>143</v>
      </c>
      <c r="C8963" t="s">
        <v>144</v>
      </c>
    </row>
    <row r="8964" spans="2:3" x14ac:dyDescent="0.35">
      <c r="B8964" t="s">
        <v>236</v>
      </c>
      <c r="C8964" t="s">
        <v>237</v>
      </c>
    </row>
    <row r="8965" spans="2:3" x14ac:dyDescent="0.35">
      <c r="B8965" t="s">
        <v>138</v>
      </c>
      <c r="C8965" t="s">
        <v>139</v>
      </c>
    </row>
    <row r="8966" spans="2:3" x14ac:dyDescent="0.35">
      <c r="B8966" t="s">
        <v>362</v>
      </c>
      <c r="C8966" t="s">
        <v>363</v>
      </c>
    </row>
    <row r="8967" spans="2:3" x14ac:dyDescent="0.35">
      <c r="B8967" t="s">
        <v>362</v>
      </c>
      <c r="C8967" t="s">
        <v>363</v>
      </c>
    </row>
    <row r="8968" spans="2:3" x14ac:dyDescent="0.35">
      <c r="B8968" t="s">
        <v>138</v>
      </c>
      <c r="C8968" t="s">
        <v>139</v>
      </c>
    </row>
    <row r="8969" spans="2:3" x14ac:dyDescent="0.35">
      <c r="B8969" t="s">
        <v>362</v>
      </c>
      <c r="C8969" t="s">
        <v>363</v>
      </c>
    </row>
    <row r="8970" spans="2:3" x14ac:dyDescent="0.35">
      <c r="B8970" t="s">
        <v>420</v>
      </c>
      <c r="C8970" t="s">
        <v>421</v>
      </c>
    </row>
    <row r="8971" spans="2:3" x14ac:dyDescent="0.35">
      <c r="B8971" t="s">
        <v>112</v>
      </c>
      <c r="C8971" t="s">
        <v>113</v>
      </c>
    </row>
    <row r="8972" spans="2:3" x14ac:dyDescent="0.35">
      <c r="B8972" t="s">
        <v>362</v>
      </c>
      <c r="C8972" t="s">
        <v>363</v>
      </c>
    </row>
    <row r="8973" spans="2:3" x14ac:dyDescent="0.35">
      <c r="B8973" t="s">
        <v>234</v>
      </c>
      <c r="C8973" t="s">
        <v>235</v>
      </c>
    </row>
    <row r="8974" spans="2:3" x14ac:dyDescent="0.35">
      <c r="B8974" t="s">
        <v>131</v>
      </c>
      <c r="C8974" t="s">
        <v>132</v>
      </c>
    </row>
    <row r="8975" spans="2:3" x14ac:dyDescent="0.35">
      <c r="B8975" t="s">
        <v>234</v>
      </c>
      <c r="C8975" t="s">
        <v>235</v>
      </c>
    </row>
    <row r="8976" spans="2:3" x14ac:dyDescent="0.35">
      <c r="B8976" t="s">
        <v>112</v>
      </c>
      <c r="C8976" t="s">
        <v>113</v>
      </c>
    </row>
    <row r="8977" spans="2:3" x14ac:dyDescent="0.35">
      <c r="B8977" t="s">
        <v>74</v>
      </c>
      <c r="C8977" t="s">
        <v>75</v>
      </c>
    </row>
    <row r="8978" spans="2:3" x14ac:dyDescent="0.35">
      <c r="B8978" t="s">
        <v>138</v>
      </c>
      <c r="C8978" t="s">
        <v>139</v>
      </c>
    </row>
    <row r="8979" spans="2:3" x14ac:dyDescent="0.35">
      <c r="B8979" t="s">
        <v>362</v>
      </c>
      <c r="C8979" t="s">
        <v>363</v>
      </c>
    </row>
    <row r="8980" spans="2:3" x14ac:dyDescent="0.35">
      <c r="B8980" t="s">
        <v>362</v>
      </c>
      <c r="C8980" t="s">
        <v>363</v>
      </c>
    </row>
    <row r="8981" spans="2:3" x14ac:dyDescent="0.35">
      <c r="B8981" t="s">
        <v>236</v>
      </c>
      <c r="C8981" t="s">
        <v>237</v>
      </c>
    </row>
    <row r="8982" spans="2:3" x14ac:dyDescent="0.35">
      <c r="B8982" t="s">
        <v>236</v>
      </c>
      <c r="C8982" t="s">
        <v>237</v>
      </c>
    </row>
    <row r="8983" spans="2:3" x14ac:dyDescent="0.35">
      <c r="B8983" t="s">
        <v>234</v>
      </c>
      <c r="C8983" t="s">
        <v>235</v>
      </c>
    </row>
    <row r="8984" spans="2:3" x14ac:dyDescent="0.35">
      <c r="B8984" t="s">
        <v>112</v>
      </c>
      <c r="C8984" t="s">
        <v>113</v>
      </c>
    </row>
    <row r="8985" spans="2:3" x14ac:dyDescent="0.35">
      <c r="B8985" t="s">
        <v>680</v>
      </c>
      <c r="C8985" t="s">
        <v>681</v>
      </c>
    </row>
    <row r="8986" spans="2:3" x14ac:dyDescent="0.35">
      <c r="B8986" t="s">
        <v>74</v>
      </c>
      <c r="C8986" t="s">
        <v>75</v>
      </c>
    </row>
    <row r="8987" spans="2:3" x14ac:dyDescent="0.35">
      <c r="B8987" t="s">
        <v>131</v>
      </c>
      <c r="C8987" t="s">
        <v>132</v>
      </c>
    </row>
    <row r="8988" spans="2:3" x14ac:dyDescent="0.35">
      <c r="B8988" t="s">
        <v>362</v>
      </c>
      <c r="C8988" t="s">
        <v>363</v>
      </c>
    </row>
    <row r="8989" spans="2:3" x14ac:dyDescent="0.35">
      <c r="B8989" t="s">
        <v>143</v>
      </c>
      <c r="C8989" t="s">
        <v>144</v>
      </c>
    </row>
    <row r="8990" spans="2:3" x14ac:dyDescent="0.35">
      <c r="B8990" t="s">
        <v>138</v>
      </c>
      <c r="C8990" t="s">
        <v>139</v>
      </c>
    </row>
    <row r="8991" spans="2:3" x14ac:dyDescent="0.35">
      <c r="B8991" t="s">
        <v>703</v>
      </c>
      <c r="C8991" t="s">
        <v>704</v>
      </c>
    </row>
    <row r="8992" spans="2:3" x14ac:dyDescent="0.35">
      <c r="B8992" t="s">
        <v>143</v>
      </c>
      <c r="C8992" t="s">
        <v>144</v>
      </c>
    </row>
    <row r="8993" spans="2:3" x14ac:dyDescent="0.35">
      <c r="B8993" t="s">
        <v>680</v>
      </c>
      <c r="C8993" t="s">
        <v>681</v>
      </c>
    </row>
    <row r="8994" spans="2:3" x14ac:dyDescent="0.35">
      <c r="B8994" t="s">
        <v>48</v>
      </c>
      <c r="C8994" t="s">
        <v>49</v>
      </c>
    </row>
    <row r="8995" spans="2:3" x14ac:dyDescent="0.35">
      <c r="B8995" t="s">
        <v>48</v>
      </c>
      <c r="C8995" t="s">
        <v>49</v>
      </c>
    </row>
    <row r="8996" spans="2:3" x14ac:dyDescent="0.35">
      <c r="B8996" t="s">
        <v>112</v>
      </c>
      <c r="C8996" t="s">
        <v>113</v>
      </c>
    </row>
    <row r="8997" spans="2:3" x14ac:dyDescent="0.35">
      <c r="B8997" t="s">
        <v>131</v>
      </c>
      <c r="C8997" t="s">
        <v>132</v>
      </c>
    </row>
    <row r="8998" spans="2:3" x14ac:dyDescent="0.35">
      <c r="B8998" t="s">
        <v>112</v>
      </c>
      <c r="C8998" t="s">
        <v>113</v>
      </c>
    </row>
    <row r="8999" spans="2:3" x14ac:dyDescent="0.35">
      <c r="B8999" t="s">
        <v>362</v>
      </c>
      <c r="C8999" t="s">
        <v>363</v>
      </c>
    </row>
    <row r="9000" spans="2:3" x14ac:dyDescent="0.35">
      <c r="B9000" t="s">
        <v>131</v>
      </c>
      <c r="C9000" t="s">
        <v>132</v>
      </c>
    </row>
    <row r="9001" spans="2:3" x14ac:dyDescent="0.35">
      <c r="B9001" t="s">
        <v>234</v>
      </c>
      <c r="C9001" t="s">
        <v>235</v>
      </c>
    </row>
    <row r="9002" spans="2:3" x14ac:dyDescent="0.35">
      <c r="B9002" t="s">
        <v>326</v>
      </c>
      <c r="C9002" t="s">
        <v>327</v>
      </c>
    </row>
    <row r="9003" spans="2:3" x14ac:dyDescent="0.35">
      <c r="B9003" t="s">
        <v>234</v>
      </c>
      <c r="C9003" t="s">
        <v>235</v>
      </c>
    </row>
    <row r="9004" spans="2:3" x14ac:dyDescent="0.35">
      <c r="B9004" t="s">
        <v>703</v>
      </c>
      <c r="C9004" t="s">
        <v>704</v>
      </c>
    </row>
    <row r="9005" spans="2:3" x14ac:dyDescent="0.35">
      <c r="B9005" t="s">
        <v>308</v>
      </c>
      <c r="C9005" t="s">
        <v>309</v>
      </c>
    </row>
    <row r="9006" spans="2:3" x14ac:dyDescent="0.35">
      <c r="B9006" t="s">
        <v>93</v>
      </c>
      <c r="C9006" t="s">
        <v>94</v>
      </c>
    </row>
    <row r="9007" spans="2:3" x14ac:dyDescent="0.35">
      <c r="B9007" t="s">
        <v>48</v>
      </c>
      <c r="C9007" t="s">
        <v>49</v>
      </c>
    </row>
    <row r="9008" spans="2:3" x14ac:dyDescent="0.35">
      <c r="B9008" t="s">
        <v>48</v>
      </c>
      <c r="C9008" t="s">
        <v>49</v>
      </c>
    </row>
    <row r="9009" spans="2:3" x14ac:dyDescent="0.35">
      <c r="B9009" t="s">
        <v>326</v>
      </c>
      <c r="C9009" t="s">
        <v>327</v>
      </c>
    </row>
    <row r="9010" spans="2:3" x14ac:dyDescent="0.35">
      <c r="B9010" t="s">
        <v>362</v>
      </c>
      <c r="C9010" t="s">
        <v>363</v>
      </c>
    </row>
    <row r="9011" spans="2:3" x14ac:dyDescent="0.35">
      <c r="B9011" t="s">
        <v>362</v>
      </c>
      <c r="C9011" t="s">
        <v>363</v>
      </c>
    </row>
    <row r="9012" spans="2:3" x14ac:dyDescent="0.35">
      <c r="B9012" t="s">
        <v>131</v>
      </c>
      <c r="C9012" t="s">
        <v>132</v>
      </c>
    </row>
    <row r="9013" spans="2:3" x14ac:dyDescent="0.35">
      <c r="B9013" t="s">
        <v>74</v>
      </c>
      <c r="C9013" t="s">
        <v>75</v>
      </c>
    </row>
    <row r="9014" spans="2:3" x14ac:dyDescent="0.35">
      <c r="B9014" t="s">
        <v>308</v>
      </c>
      <c r="C9014" t="s">
        <v>309</v>
      </c>
    </row>
    <row r="9015" spans="2:3" x14ac:dyDescent="0.35">
      <c r="B9015" t="s">
        <v>680</v>
      </c>
      <c r="C9015" t="s">
        <v>681</v>
      </c>
    </row>
    <row r="9016" spans="2:3" x14ac:dyDescent="0.35">
      <c r="B9016" t="s">
        <v>112</v>
      </c>
      <c r="C9016" t="s">
        <v>113</v>
      </c>
    </row>
    <row r="9017" spans="2:3" x14ac:dyDescent="0.35">
      <c r="B9017" t="s">
        <v>362</v>
      </c>
      <c r="C9017" t="s">
        <v>363</v>
      </c>
    </row>
    <row r="9018" spans="2:3" x14ac:dyDescent="0.35">
      <c r="B9018" t="s">
        <v>93</v>
      </c>
      <c r="C9018" t="s">
        <v>94</v>
      </c>
    </row>
    <row r="9019" spans="2:3" x14ac:dyDescent="0.35">
      <c r="B9019" t="s">
        <v>420</v>
      </c>
      <c r="C9019" t="s">
        <v>421</v>
      </c>
    </row>
    <row r="9020" spans="2:3" x14ac:dyDescent="0.35">
      <c r="B9020" t="s">
        <v>308</v>
      </c>
      <c r="C9020" t="s">
        <v>309</v>
      </c>
    </row>
    <row r="9021" spans="2:3" x14ac:dyDescent="0.35">
      <c r="B9021" t="s">
        <v>680</v>
      </c>
      <c r="C9021" t="s">
        <v>681</v>
      </c>
    </row>
    <row r="9022" spans="2:3" x14ac:dyDescent="0.35">
      <c r="B9022" t="s">
        <v>362</v>
      </c>
      <c r="C9022" t="s">
        <v>363</v>
      </c>
    </row>
    <row r="9023" spans="2:3" x14ac:dyDescent="0.35">
      <c r="B9023" t="s">
        <v>74</v>
      </c>
      <c r="C9023" t="s">
        <v>75</v>
      </c>
    </row>
    <row r="9024" spans="2:3" x14ac:dyDescent="0.35">
      <c r="B9024" t="s">
        <v>131</v>
      </c>
      <c r="C9024" t="s">
        <v>132</v>
      </c>
    </row>
    <row r="9025" spans="2:3" x14ac:dyDescent="0.35">
      <c r="B9025" t="s">
        <v>236</v>
      </c>
      <c r="C9025" t="s">
        <v>237</v>
      </c>
    </row>
    <row r="9026" spans="2:3" x14ac:dyDescent="0.35">
      <c r="B9026" t="s">
        <v>112</v>
      </c>
      <c r="C9026" t="s">
        <v>113</v>
      </c>
    </row>
    <row r="9027" spans="2:3" x14ac:dyDescent="0.35">
      <c r="B9027" t="s">
        <v>93</v>
      </c>
      <c r="C9027" t="s">
        <v>94</v>
      </c>
    </row>
    <row r="9028" spans="2:3" x14ac:dyDescent="0.35">
      <c r="B9028" t="s">
        <v>112</v>
      </c>
      <c r="C9028" t="s">
        <v>113</v>
      </c>
    </row>
    <row r="9029" spans="2:3" x14ac:dyDescent="0.35">
      <c r="B9029" t="s">
        <v>236</v>
      </c>
      <c r="C9029" t="s">
        <v>237</v>
      </c>
    </row>
    <row r="9030" spans="2:3" x14ac:dyDescent="0.35">
      <c r="B9030" t="s">
        <v>236</v>
      </c>
      <c r="C9030" t="s">
        <v>237</v>
      </c>
    </row>
    <row r="9031" spans="2:3" x14ac:dyDescent="0.35">
      <c r="B9031" t="s">
        <v>362</v>
      </c>
      <c r="C9031" t="s">
        <v>363</v>
      </c>
    </row>
    <row r="9032" spans="2:3" x14ac:dyDescent="0.35">
      <c r="B9032" t="s">
        <v>680</v>
      </c>
      <c r="C9032" t="s">
        <v>681</v>
      </c>
    </row>
    <row r="9033" spans="2:3" x14ac:dyDescent="0.35">
      <c r="B9033" t="s">
        <v>353</v>
      </c>
      <c r="C9033" t="s">
        <v>354</v>
      </c>
    </row>
    <row r="9034" spans="2:3" x14ac:dyDescent="0.35">
      <c r="B9034" t="s">
        <v>326</v>
      </c>
      <c r="C9034" t="s">
        <v>327</v>
      </c>
    </row>
    <row r="9035" spans="2:3" x14ac:dyDescent="0.35">
      <c r="B9035" t="s">
        <v>131</v>
      </c>
      <c r="C9035" t="s">
        <v>132</v>
      </c>
    </row>
    <row r="9036" spans="2:3" x14ac:dyDescent="0.35">
      <c r="B9036" t="s">
        <v>143</v>
      </c>
      <c r="C9036" t="s">
        <v>144</v>
      </c>
    </row>
    <row r="9037" spans="2:3" x14ac:dyDescent="0.35">
      <c r="B9037" t="s">
        <v>353</v>
      </c>
      <c r="C9037" t="s">
        <v>354</v>
      </c>
    </row>
    <row r="9038" spans="2:3" x14ac:dyDescent="0.35">
      <c r="B9038" t="s">
        <v>308</v>
      </c>
      <c r="C9038" t="s">
        <v>309</v>
      </c>
    </row>
    <row r="9039" spans="2:3" x14ac:dyDescent="0.35">
      <c r="B9039" t="s">
        <v>93</v>
      </c>
      <c r="C9039" t="s">
        <v>94</v>
      </c>
    </row>
    <row r="9040" spans="2:3" x14ac:dyDescent="0.35">
      <c r="B9040" t="s">
        <v>353</v>
      </c>
      <c r="C9040" t="s">
        <v>354</v>
      </c>
    </row>
    <row r="9041" spans="2:3" x14ac:dyDescent="0.35">
      <c r="B9041" t="s">
        <v>362</v>
      </c>
      <c r="C9041" t="s">
        <v>363</v>
      </c>
    </row>
    <row r="9042" spans="2:3" x14ac:dyDescent="0.35">
      <c r="B9042" t="s">
        <v>680</v>
      </c>
      <c r="C9042" t="s">
        <v>681</v>
      </c>
    </row>
    <row r="9043" spans="2:3" x14ac:dyDescent="0.35">
      <c r="B9043" t="s">
        <v>1195</v>
      </c>
      <c r="C9043" t="s">
        <v>1195</v>
      </c>
    </row>
    <row r="9044" spans="2:3" x14ac:dyDescent="0.35">
      <c r="B9044" t="s">
        <v>107</v>
      </c>
      <c r="C9044" t="s">
        <v>108</v>
      </c>
    </row>
    <row r="9045" spans="2:3" x14ac:dyDescent="0.35">
      <c r="B9045" t="s">
        <v>105</v>
      </c>
      <c r="C9045" t="s">
        <v>106</v>
      </c>
    </row>
    <row r="9046" spans="2:3" x14ac:dyDescent="0.35">
      <c r="B9046" t="s">
        <v>234</v>
      </c>
      <c r="C9046" t="s">
        <v>235</v>
      </c>
    </row>
    <row r="9047" spans="2:3" x14ac:dyDescent="0.35">
      <c r="B9047" t="s">
        <v>138</v>
      </c>
      <c r="C9047" t="s">
        <v>139</v>
      </c>
    </row>
    <row r="9048" spans="2:3" x14ac:dyDescent="0.35">
      <c r="B9048" t="s">
        <v>112</v>
      </c>
      <c r="C9048" t="s">
        <v>113</v>
      </c>
    </row>
    <row r="9049" spans="2:3" x14ac:dyDescent="0.35">
      <c r="B9049" t="s">
        <v>48</v>
      </c>
      <c r="C9049" t="s">
        <v>49</v>
      </c>
    </row>
    <row r="9050" spans="2:3" x14ac:dyDescent="0.35">
      <c r="B9050" t="s">
        <v>406</v>
      </c>
      <c r="C9050" t="s">
        <v>407</v>
      </c>
    </row>
    <row r="9051" spans="2:3" x14ac:dyDescent="0.35">
      <c r="B9051" t="s">
        <v>703</v>
      </c>
      <c r="C9051" t="s">
        <v>704</v>
      </c>
    </row>
    <row r="9052" spans="2:3" x14ac:dyDescent="0.35">
      <c r="B9052" t="s">
        <v>64</v>
      </c>
      <c r="C9052" t="s">
        <v>65</v>
      </c>
    </row>
    <row r="9053" spans="2:3" x14ac:dyDescent="0.35">
      <c r="B9053" t="s">
        <v>680</v>
      </c>
      <c r="C9053" t="s">
        <v>681</v>
      </c>
    </row>
    <row r="9054" spans="2:3" x14ac:dyDescent="0.35">
      <c r="B9054" t="s">
        <v>362</v>
      </c>
      <c r="C9054" t="s">
        <v>363</v>
      </c>
    </row>
    <row r="9055" spans="2:3" x14ac:dyDescent="0.35">
      <c r="B9055" t="s">
        <v>406</v>
      </c>
      <c r="C9055" t="s">
        <v>407</v>
      </c>
    </row>
    <row r="9056" spans="2:3" x14ac:dyDescent="0.35">
      <c r="B9056" t="s">
        <v>131</v>
      </c>
      <c r="C9056" t="s">
        <v>132</v>
      </c>
    </row>
    <row r="9057" spans="2:3" x14ac:dyDescent="0.35">
      <c r="B9057" t="s">
        <v>420</v>
      </c>
      <c r="C9057" t="s">
        <v>421</v>
      </c>
    </row>
    <row r="9058" spans="2:3" x14ac:dyDescent="0.35">
      <c r="B9058" t="s">
        <v>362</v>
      </c>
      <c r="C9058" t="s">
        <v>363</v>
      </c>
    </row>
    <row r="9059" spans="2:3" x14ac:dyDescent="0.35">
      <c r="B9059" t="s">
        <v>138</v>
      </c>
      <c r="C9059" t="s">
        <v>139</v>
      </c>
    </row>
    <row r="9060" spans="2:3" x14ac:dyDescent="0.35">
      <c r="B9060" t="s">
        <v>362</v>
      </c>
      <c r="C9060" t="s">
        <v>363</v>
      </c>
    </row>
    <row r="9061" spans="2:3" x14ac:dyDescent="0.35">
      <c r="B9061" t="s">
        <v>362</v>
      </c>
      <c r="C9061" t="s">
        <v>363</v>
      </c>
    </row>
    <row r="9062" spans="2:3" x14ac:dyDescent="0.35">
      <c r="B9062" t="s">
        <v>680</v>
      </c>
      <c r="C9062" t="s">
        <v>681</v>
      </c>
    </row>
    <row r="9063" spans="2:3" x14ac:dyDescent="0.35">
      <c r="B9063" t="s">
        <v>362</v>
      </c>
      <c r="C9063" t="s">
        <v>363</v>
      </c>
    </row>
    <row r="9064" spans="2:3" x14ac:dyDescent="0.35">
      <c r="B9064" t="s">
        <v>362</v>
      </c>
      <c r="C9064" t="s">
        <v>363</v>
      </c>
    </row>
    <row r="9065" spans="2:3" x14ac:dyDescent="0.35">
      <c r="B9065" t="s">
        <v>326</v>
      </c>
      <c r="C9065" t="s">
        <v>327</v>
      </c>
    </row>
    <row r="9066" spans="2:3" x14ac:dyDescent="0.35">
      <c r="B9066" t="s">
        <v>974</v>
      </c>
      <c r="C9066" t="s">
        <v>975</v>
      </c>
    </row>
    <row r="9067" spans="2:3" x14ac:dyDescent="0.35">
      <c r="B9067" t="s">
        <v>974</v>
      </c>
      <c r="C9067" t="s">
        <v>975</v>
      </c>
    </row>
    <row r="9068" spans="2:3" x14ac:dyDescent="0.35">
      <c r="B9068" t="s">
        <v>974</v>
      </c>
      <c r="C9068" t="s">
        <v>975</v>
      </c>
    </row>
    <row r="9069" spans="2:3" x14ac:dyDescent="0.35">
      <c r="B9069" t="s">
        <v>974</v>
      </c>
      <c r="C9069" t="s">
        <v>975</v>
      </c>
    </row>
    <row r="9070" spans="2:3" x14ac:dyDescent="0.35">
      <c r="B9070" t="s">
        <v>974</v>
      </c>
      <c r="C9070" t="s">
        <v>975</v>
      </c>
    </row>
    <row r="9071" spans="2:3" x14ac:dyDescent="0.35">
      <c r="B9071" t="s">
        <v>974</v>
      </c>
      <c r="C9071" t="s">
        <v>975</v>
      </c>
    </row>
    <row r="9072" spans="2:3" x14ac:dyDescent="0.35">
      <c r="B9072" t="s">
        <v>974</v>
      </c>
      <c r="C9072" t="s">
        <v>975</v>
      </c>
    </row>
    <row r="9073" spans="2:3" x14ac:dyDescent="0.35">
      <c r="B9073" t="s">
        <v>974</v>
      </c>
      <c r="C9073" t="s">
        <v>975</v>
      </c>
    </row>
    <row r="9074" spans="2:3" x14ac:dyDescent="0.35">
      <c r="B9074" t="s">
        <v>974</v>
      </c>
      <c r="C9074" t="s">
        <v>975</v>
      </c>
    </row>
    <row r="9075" spans="2:3" x14ac:dyDescent="0.35">
      <c r="B9075" t="s">
        <v>974</v>
      </c>
      <c r="C9075" t="s">
        <v>975</v>
      </c>
    </row>
    <row r="9076" spans="2:3" x14ac:dyDescent="0.35">
      <c r="B9076" t="s">
        <v>974</v>
      </c>
      <c r="C9076" t="s">
        <v>975</v>
      </c>
    </row>
    <row r="9077" spans="2:3" x14ac:dyDescent="0.35">
      <c r="B9077" t="s">
        <v>974</v>
      </c>
      <c r="C9077" t="s">
        <v>975</v>
      </c>
    </row>
    <row r="9078" spans="2:3" x14ac:dyDescent="0.35">
      <c r="B9078" t="s">
        <v>974</v>
      </c>
      <c r="C9078" t="s">
        <v>975</v>
      </c>
    </row>
    <row r="9079" spans="2:3" x14ac:dyDescent="0.35">
      <c r="B9079" t="s">
        <v>974</v>
      </c>
      <c r="C9079" t="s">
        <v>975</v>
      </c>
    </row>
    <row r="9080" spans="2:3" x14ac:dyDescent="0.35">
      <c r="B9080" t="s">
        <v>974</v>
      </c>
      <c r="C9080" t="s">
        <v>975</v>
      </c>
    </row>
    <row r="9081" spans="2:3" x14ac:dyDescent="0.35">
      <c r="B9081" t="s">
        <v>974</v>
      </c>
      <c r="C9081" t="s">
        <v>975</v>
      </c>
    </row>
    <row r="9082" spans="2:3" x14ac:dyDescent="0.35">
      <c r="B9082" t="s">
        <v>974</v>
      </c>
      <c r="C9082" t="s">
        <v>975</v>
      </c>
    </row>
    <row r="9083" spans="2:3" x14ac:dyDescent="0.35">
      <c r="B9083" t="s">
        <v>974</v>
      </c>
      <c r="C9083" t="s">
        <v>975</v>
      </c>
    </row>
    <row r="9084" spans="2:3" x14ac:dyDescent="0.35">
      <c r="B9084" t="s">
        <v>974</v>
      </c>
      <c r="C9084" t="s">
        <v>975</v>
      </c>
    </row>
    <row r="9085" spans="2:3" x14ac:dyDescent="0.35">
      <c r="B9085" t="s">
        <v>974</v>
      </c>
      <c r="C9085" t="s">
        <v>975</v>
      </c>
    </row>
    <row r="9086" spans="2:3" x14ac:dyDescent="0.35">
      <c r="B9086" t="s">
        <v>974</v>
      </c>
      <c r="C9086" t="s">
        <v>975</v>
      </c>
    </row>
    <row r="9087" spans="2:3" x14ac:dyDescent="0.35">
      <c r="B9087" t="s">
        <v>974</v>
      </c>
      <c r="C9087" t="s">
        <v>975</v>
      </c>
    </row>
    <row r="9088" spans="2:3" x14ac:dyDescent="0.35">
      <c r="B9088" t="s">
        <v>974</v>
      </c>
      <c r="C9088" t="s">
        <v>975</v>
      </c>
    </row>
    <row r="9089" spans="2:3" x14ac:dyDescent="0.35">
      <c r="B9089" t="s">
        <v>974</v>
      </c>
      <c r="C9089" t="s">
        <v>975</v>
      </c>
    </row>
    <row r="9090" spans="2:3" x14ac:dyDescent="0.35">
      <c r="B9090" t="s">
        <v>974</v>
      </c>
      <c r="C9090" t="s">
        <v>975</v>
      </c>
    </row>
    <row r="9091" spans="2:3" x14ac:dyDescent="0.35">
      <c r="B9091" t="s">
        <v>974</v>
      </c>
      <c r="C9091" t="s">
        <v>975</v>
      </c>
    </row>
    <row r="9092" spans="2:3" x14ac:dyDescent="0.35">
      <c r="B9092" t="s">
        <v>974</v>
      </c>
      <c r="C9092" t="s">
        <v>975</v>
      </c>
    </row>
    <row r="9093" spans="2:3" x14ac:dyDescent="0.35">
      <c r="B9093" t="s">
        <v>974</v>
      </c>
      <c r="C9093" t="s">
        <v>975</v>
      </c>
    </row>
    <row r="9094" spans="2:3" x14ac:dyDescent="0.35">
      <c r="B9094" t="s">
        <v>974</v>
      </c>
      <c r="C9094" t="s">
        <v>975</v>
      </c>
    </row>
    <row r="9095" spans="2:3" x14ac:dyDescent="0.35">
      <c r="B9095" t="s">
        <v>974</v>
      </c>
      <c r="C9095" t="s">
        <v>975</v>
      </c>
    </row>
    <row r="9096" spans="2:3" x14ac:dyDescent="0.35">
      <c r="B9096" t="s">
        <v>974</v>
      </c>
      <c r="C9096" t="s">
        <v>975</v>
      </c>
    </row>
    <row r="9097" spans="2:3" x14ac:dyDescent="0.35">
      <c r="B9097" t="s">
        <v>974</v>
      </c>
      <c r="C9097" t="s">
        <v>975</v>
      </c>
    </row>
    <row r="9098" spans="2:3" x14ac:dyDescent="0.35">
      <c r="B9098" t="s">
        <v>974</v>
      </c>
      <c r="C9098" t="s">
        <v>975</v>
      </c>
    </row>
    <row r="9099" spans="2:3" x14ac:dyDescent="0.35">
      <c r="B9099" t="s">
        <v>974</v>
      </c>
      <c r="C9099" t="s">
        <v>975</v>
      </c>
    </row>
    <row r="9100" spans="2:3" x14ac:dyDescent="0.35">
      <c r="B9100" t="s">
        <v>974</v>
      </c>
      <c r="C9100" t="s">
        <v>975</v>
      </c>
    </row>
    <row r="9101" spans="2:3" x14ac:dyDescent="0.35">
      <c r="B9101" t="s">
        <v>974</v>
      </c>
      <c r="C9101" t="s">
        <v>975</v>
      </c>
    </row>
    <row r="9102" spans="2:3" x14ac:dyDescent="0.35">
      <c r="B9102" t="s">
        <v>974</v>
      </c>
      <c r="C9102" t="s">
        <v>975</v>
      </c>
    </row>
    <row r="9103" spans="2:3" x14ac:dyDescent="0.35">
      <c r="B9103" t="s">
        <v>974</v>
      </c>
      <c r="C9103" t="s">
        <v>975</v>
      </c>
    </row>
    <row r="9104" spans="2:3" x14ac:dyDescent="0.35">
      <c r="B9104" t="s">
        <v>974</v>
      </c>
      <c r="C9104" t="s">
        <v>975</v>
      </c>
    </row>
    <row r="9105" spans="2:3" x14ac:dyDescent="0.35">
      <c r="B9105" t="s">
        <v>974</v>
      </c>
      <c r="C9105" t="s">
        <v>975</v>
      </c>
    </row>
    <row r="9106" spans="2:3" x14ac:dyDescent="0.35">
      <c r="B9106" t="s">
        <v>974</v>
      </c>
      <c r="C9106" t="s">
        <v>975</v>
      </c>
    </row>
    <row r="9107" spans="2:3" x14ac:dyDescent="0.35">
      <c r="B9107" t="s">
        <v>974</v>
      </c>
      <c r="C9107" t="s">
        <v>975</v>
      </c>
    </row>
    <row r="9108" spans="2:3" x14ac:dyDescent="0.35">
      <c r="B9108" t="s">
        <v>974</v>
      </c>
      <c r="C9108" t="s">
        <v>975</v>
      </c>
    </row>
    <row r="9109" spans="2:3" x14ac:dyDescent="0.35">
      <c r="B9109" t="s">
        <v>974</v>
      </c>
      <c r="C9109" t="s">
        <v>975</v>
      </c>
    </row>
    <row r="9110" spans="2:3" x14ac:dyDescent="0.35">
      <c r="B9110" t="s">
        <v>974</v>
      </c>
      <c r="C9110" t="s">
        <v>975</v>
      </c>
    </row>
    <row r="9111" spans="2:3" x14ac:dyDescent="0.35">
      <c r="B9111" t="s">
        <v>974</v>
      </c>
      <c r="C9111" t="s">
        <v>975</v>
      </c>
    </row>
    <row r="9112" spans="2:3" x14ac:dyDescent="0.35">
      <c r="B9112" t="s">
        <v>974</v>
      </c>
      <c r="C9112" t="s">
        <v>975</v>
      </c>
    </row>
    <row r="9113" spans="2:3" x14ac:dyDescent="0.35">
      <c r="B9113" t="s">
        <v>974</v>
      </c>
      <c r="C9113" t="s">
        <v>975</v>
      </c>
    </row>
    <row r="9114" spans="2:3" x14ac:dyDescent="0.35">
      <c r="B9114" t="s">
        <v>974</v>
      </c>
      <c r="C9114" t="s">
        <v>975</v>
      </c>
    </row>
    <row r="9115" spans="2:3" x14ac:dyDescent="0.35">
      <c r="B9115" t="s">
        <v>974</v>
      </c>
      <c r="C9115" t="s">
        <v>975</v>
      </c>
    </row>
    <row r="9116" spans="2:3" x14ac:dyDescent="0.35">
      <c r="B9116" t="s">
        <v>974</v>
      </c>
      <c r="C9116" t="s">
        <v>975</v>
      </c>
    </row>
    <row r="9117" spans="2:3" x14ac:dyDescent="0.35">
      <c r="B9117" t="s">
        <v>678</v>
      </c>
      <c r="C9117" t="s">
        <v>679</v>
      </c>
    </row>
    <row r="9118" spans="2:3" x14ac:dyDescent="0.35">
      <c r="B9118" t="s">
        <v>974</v>
      </c>
      <c r="C9118" t="s">
        <v>975</v>
      </c>
    </row>
    <row r="9119" spans="2:3" x14ac:dyDescent="0.35">
      <c r="B9119" t="s">
        <v>974</v>
      </c>
      <c r="C9119" t="s">
        <v>975</v>
      </c>
    </row>
    <row r="9120" spans="2:3" x14ac:dyDescent="0.35">
      <c r="B9120" t="s">
        <v>974</v>
      </c>
      <c r="C9120" t="s">
        <v>975</v>
      </c>
    </row>
    <row r="9121" spans="2:3" x14ac:dyDescent="0.35">
      <c r="B9121" t="s">
        <v>974</v>
      </c>
      <c r="C9121" t="s">
        <v>975</v>
      </c>
    </row>
    <row r="9122" spans="2:3" x14ac:dyDescent="0.35">
      <c r="B9122" t="s">
        <v>974</v>
      </c>
      <c r="C9122" t="s">
        <v>975</v>
      </c>
    </row>
    <row r="9123" spans="2:3" x14ac:dyDescent="0.35">
      <c r="B9123" t="s">
        <v>974</v>
      </c>
      <c r="C9123" t="s">
        <v>975</v>
      </c>
    </row>
    <row r="9124" spans="2:3" x14ac:dyDescent="0.35">
      <c r="B9124" t="s">
        <v>974</v>
      </c>
      <c r="C9124" t="s">
        <v>975</v>
      </c>
    </row>
    <row r="9125" spans="2:3" x14ac:dyDescent="0.35">
      <c r="B9125" t="s">
        <v>974</v>
      </c>
      <c r="C9125" t="s">
        <v>975</v>
      </c>
    </row>
    <row r="9126" spans="2:3" x14ac:dyDescent="0.35">
      <c r="B9126" t="s">
        <v>974</v>
      </c>
      <c r="C9126" t="s">
        <v>975</v>
      </c>
    </row>
    <row r="9127" spans="2:3" x14ac:dyDescent="0.35">
      <c r="B9127" t="s">
        <v>974</v>
      </c>
      <c r="C9127" t="s">
        <v>975</v>
      </c>
    </row>
    <row r="9128" spans="2:3" x14ac:dyDescent="0.35">
      <c r="B9128" t="s">
        <v>974</v>
      </c>
      <c r="C9128" t="s">
        <v>975</v>
      </c>
    </row>
    <row r="9129" spans="2:3" x14ac:dyDescent="0.35">
      <c r="B9129" t="s">
        <v>974</v>
      </c>
      <c r="C9129" t="s">
        <v>975</v>
      </c>
    </row>
    <row r="9130" spans="2:3" x14ac:dyDescent="0.35">
      <c r="B9130" t="s">
        <v>974</v>
      </c>
      <c r="C9130" t="s">
        <v>975</v>
      </c>
    </row>
    <row r="9131" spans="2:3" x14ac:dyDescent="0.35">
      <c r="B9131" t="s">
        <v>974</v>
      </c>
      <c r="C9131" t="s">
        <v>975</v>
      </c>
    </row>
    <row r="9132" spans="2:3" x14ac:dyDescent="0.35">
      <c r="B9132" t="s">
        <v>974</v>
      </c>
      <c r="C9132" t="s">
        <v>975</v>
      </c>
    </row>
    <row r="9133" spans="2:3" x14ac:dyDescent="0.35">
      <c r="B9133" t="s">
        <v>974</v>
      </c>
      <c r="C9133" t="s">
        <v>975</v>
      </c>
    </row>
    <row r="9134" spans="2:3" x14ac:dyDescent="0.35">
      <c r="B9134" t="s">
        <v>974</v>
      </c>
      <c r="C9134" t="s">
        <v>975</v>
      </c>
    </row>
    <row r="9135" spans="2:3" x14ac:dyDescent="0.35">
      <c r="B9135" t="s">
        <v>974</v>
      </c>
      <c r="C9135" t="s">
        <v>975</v>
      </c>
    </row>
    <row r="9136" spans="2:3" x14ac:dyDescent="0.35">
      <c r="B9136" t="s">
        <v>974</v>
      </c>
      <c r="C9136" t="s">
        <v>975</v>
      </c>
    </row>
    <row r="9137" spans="2:3" x14ac:dyDescent="0.35">
      <c r="B9137" t="s">
        <v>974</v>
      </c>
      <c r="C9137" t="s">
        <v>975</v>
      </c>
    </row>
    <row r="9138" spans="2:3" x14ac:dyDescent="0.35">
      <c r="B9138" t="s">
        <v>974</v>
      </c>
      <c r="C9138" t="s">
        <v>975</v>
      </c>
    </row>
    <row r="9139" spans="2:3" x14ac:dyDescent="0.35">
      <c r="B9139" t="s">
        <v>974</v>
      </c>
      <c r="C9139" t="s">
        <v>975</v>
      </c>
    </row>
    <row r="9140" spans="2:3" x14ac:dyDescent="0.35">
      <c r="B9140" t="s">
        <v>974</v>
      </c>
      <c r="C9140" t="s">
        <v>975</v>
      </c>
    </row>
    <row r="9141" spans="2:3" x14ac:dyDescent="0.35">
      <c r="B9141" t="s">
        <v>974</v>
      </c>
      <c r="C9141" t="s">
        <v>975</v>
      </c>
    </row>
    <row r="9142" spans="2:3" x14ac:dyDescent="0.35">
      <c r="B9142" t="s">
        <v>974</v>
      </c>
      <c r="C9142" t="s">
        <v>975</v>
      </c>
    </row>
    <row r="9143" spans="2:3" x14ac:dyDescent="0.35">
      <c r="B9143" t="s">
        <v>974</v>
      </c>
      <c r="C9143" t="s">
        <v>975</v>
      </c>
    </row>
    <row r="9144" spans="2:3" x14ac:dyDescent="0.35">
      <c r="B9144" t="s">
        <v>974</v>
      </c>
      <c r="C9144" t="s">
        <v>975</v>
      </c>
    </row>
    <row r="9145" spans="2:3" x14ac:dyDescent="0.35">
      <c r="B9145" t="s">
        <v>974</v>
      </c>
      <c r="C9145" t="s">
        <v>975</v>
      </c>
    </row>
    <row r="9146" spans="2:3" x14ac:dyDescent="0.35">
      <c r="B9146" t="s">
        <v>974</v>
      </c>
      <c r="C9146" t="s">
        <v>975</v>
      </c>
    </row>
    <row r="9147" spans="2:3" x14ac:dyDescent="0.35">
      <c r="B9147" t="s">
        <v>974</v>
      </c>
      <c r="C9147" t="s">
        <v>975</v>
      </c>
    </row>
    <row r="9148" spans="2:3" x14ac:dyDescent="0.35">
      <c r="B9148" t="s">
        <v>974</v>
      </c>
      <c r="C9148" t="s">
        <v>975</v>
      </c>
    </row>
    <row r="9149" spans="2:3" x14ac:dyDescent="0.35">
      <c r="B9149" t="s">
        <v>974</v>
      </c>
      <c r="C9149" t="s">
        <v>975</v>
      </c>
    </row>
    <row r="9150" spans="2:3" x14ac:dyDescent="0.35">
      <c r="B9150" t="s">
        <v>974</v>
      </c>
      <c r="C9150" t="s">
        <v>975</v>
      </c>
    </row>
    <row r="9151" spans="2:3" x14ac:dyDescent="0.35">
      <c r="B9151" t="s">
        <v>974</v>
      </c>
      <c r="C9151" t="s">
        <v>975</v>
      </c>
    </row>
    <row r="9152" spans="2:3" x14ac:dyDescent="0.35">
      <c r="B9152" t="s">
        <v>974</v>
      </c>
      <c r="C9152" t="s">
        <v>975</v>
      </c>
    </row>
    <row r="9153" spans="2:3" x14ac:dyDescent="0.35">
      <c r="B9153" t="s">
        <v>974</v>
      </c>
      <c r="C9153" t="s">
        <v>975</v>
      </c>
    </row>
    <row r="9154" spans="2:3" x14ac:dyDescent="0.35">
      <c r="B9154" t="s">
        <v>974</v>
      </c>
      <c r="C9154" t="s">
        <v>975</v>
      </c>
    </row>
    <row r="9155" spans="2:3" x14ac:dyDescent="0.35">
      <c r="B9155" t="s">
        <v>974</v>
      </c>
      <c r="C9155" t="s">
        <v>975</v>
      </c>
    </row>
    <row r="9156" spans="2:3" x14ac:dyDescent="0.35">
      <c r="B9156" t="s">
        <v>974</v>
      </c>
      <c r="C9156" t="s">
        <v>975</v>
      </c>
    </row>
    <row r="9157" spans="2:3" x14ac:dyDescent="0.35">
      <c r="B9157" t="s">
        <v>974</v>
      </c>
      <c r="C9157" t="s">
        <v>975</v>
      </c>
    </row>
    <row r="9158" spans="2:3" x14ac:dyDescent="0.35">
      <c r="B9158" t="s">
        <v>974</v>
      </c>
      <c r="C9158" t="s">
        <v>975</v>
      </c>
    </row>
    <row r="9159" spans="2:3" x14ac:dyDescent="0.35">
      <c r="B9159" t="s">
        <v>974</v>
      </c>
      <c r="C9159" t="s">
        <v>975</v>
      </c>
    </row>
    <row r="9160" spans="2:3" x14ac:dyDescent="0.35">
      <c r="B9160" t="s">
        <v>974</v>
      </c>
      <c r="C9160" t="s">
        <v>975</v>
      </c>
    </row>
    <row r="9161" spans="2:3" x14ac:dyDescent="0.35">
      <c r="B9161" t="s">
        <v>974</v>
      </c>
      <c r="C9161" t="s">
        <v>975</v>
      </c>
    </row>
    <row r="9162" spans="2:3" x14ac:dyDescent="0.35">
      <c r="B9162" t="s">
        <v>974</v>
      </c>
      <c r="C9162" t="s">
        <v>975</v>
      </c>
    </row>
    <row r="9163" spans="2:3" x14ac:dyDescent="0.35">
      <c r="B9163" t="s">
        <v>974</v>
      </c>
      <c r="C9163" t="s">
        <v>975</v>
      </c>
    </row>
    <row r="9164" spans="2:3" x14ac:dyDescent="0.35">
      <c r="B9164" t="s">
        <v>974</v>
      </c>
      <c r="C9164" t="s">
        <v>975</v>
      </c>
    </row>
    <row r="9165" spans="2:3" x14ac:dyDescent="0.35">
      <c r="B9165" t="s">
        <v>974</v>
      </c>
      <c r="C9165" t="s">
        <v>975</v>
      </c>
    </row>
    <row r="9166" spans="2:3" x14ac:dyDescent="0.35">
      <c r="B9166" t="s">
        <v>974</v>
      </c>
      <c r="C9166" t="s">
        <v>975</v>
      </c>
    </row>
    <row r="9167" spans="2:3" x14ac:dyDescent="0.35">
      <c r="B9167" t="s">
        <v>974</v>
      </c>
      <c r="C9167" t="s">
        <v>975</v>
      </c>
    </row>
    <row r="9168" spans="2:3" x14ac:dyDescent="0.35">
      <c r="B9168" t="s">
        <v>974</v>
      </c>
      <c r="C9168" t="s">
        <v>975</v>
      </c>
    </row>
    <row r="9169" spans="2:3" x14ac:dyDescent="0.35">
      <c r="B9169" t="s">
        <v>974</v>
      </c>
      <c r="C9169" t="s">
        <v>975</v>
      </c>
    </row>
    <row r="9170" spans="2:3" x14ac:dyDescent="0.35">
      <c r="B9170" t="s">
        <v>974</v>
      </c>
      <c r="C9170" t="s">
        <v>975</v>
      </c>
    </row>
    <row r="9171" spans="2:3" x14ac:dyDescent="0.35">
      <c r="B9171" t="s">
        <v>974</v>
      </c>
      <c r="C9171" t="s">
        <v>975</v>
      </c>
    </row>
    <row r="9172" spans="2:3" x14ac:dyDescent="0.35">
      <c r="B9172" t="s">
        <v>974</v>
      </c>
      <c r="C9172" t="s">
        <v>975</v>
      </c>
    </row>
    <row r="9173" spans="2:3" x14ac:dyDescent="0.35">
      <c r="B9173" t="s">
        <v>974</v>
      </c>
      <c r="C9173" t="s">
        <v>975</v>
      </c>
    </row>
    <row r="9174" spans="2:3" x14ac:dyDescent="0.35">
      <c r="B9174" t="s">
        <v>974</v>
      </c>
      <c r="C9174" t="s">
        <v>975</v>
      </c>
    </row>
    <row r="9175" spans="2:3" x14ac:dyDescent="0.35">
      <c r="B9175" t="s">
        <v>254</v>
      </c>
      <c r="C9175" t="s">
        <v>255</v>
      </c>
    </row>
    <row r="9176" spans="2:3" x14ac:dyDescent="0.35">
      <c r="B9176" t="s">
        <v>974</v>
      </c>
      <c r="C9176" t="s">
        <v>975</v>
      </c>
    </row>
    <row r="9177" spans="2:3" x14ac:dyDescent="0.35">
      <c r="B9177" t="s">
        <v>974</v>
      </c>
      <c r="C9177" t="s">
        <v>975</v>
      </c>
    </row>
    <row r="9178" spans="2:3" x14ac:dyDescent="0.35">
      <c r="B9178" t="s">
        <v>974</v>
      </c>
      <c r="C9178" t="s">
        <v>975</v>
      </c>
    </row>
    <row r="9179" spans="2:3" x14ac:dyDescent="0.35">
      <c r="B9179" t="s">
        <v>974</v>
      </c>
      <c r="C9179" t="s">
        <v>975</v>
      </c>
    </row>
    <row r="9180" spans="2:3" x14ac:dyDescent="0.35">
      <c r="B9180" t="s">
        <v>974</v>
      </c>
      <c r="C9180" t="s">
        <v>975</v>
      </c>
    </row>
    <row r="9181" spans="2:3" x14ac:dyDescent="0.35">
      <c r="B9181" t="s">
        <v>974</v>
      </c>
      <c r="C9181" t="s">
        <v>975</v>
      </c>
    </row>
    <row r="9182" spans="2:3" x14ac:dyDescent="0.35">
      <c r="B9182" t="s">
        <v>974</v>
      </c>
      <c r="C9182" t="s">
        <v>975</v>
      </c>
    </row>
    <row r="9183" spans="2:3" x14ac:dyDescent="0.35">
      <c r="B9183" t="s">
        <v>974</v>
      </c>
      <c r="C9183" t="s">
        <v>975</v>
      </c>
    </row>
    <row r="9184" spans="2:3" x14ac:dyDescent="0.35">
      <c r="B9184" t="s">
        <v>974</v>
      </c>
      <c r="C9184" t="s">
        <v>975</v>
      </c>
    </row>
    <row r="9185" spans="2:3" x14ac:dyDescent="0.35">
      <c r="B9185" t="s">
        <v>974</v>
      </c>
      <c r="C9185" t="s">
        <v>975</v>
      </c>
    </row>
    <row r="9186" spans="2:3" x14ac:dyDescent="0.35">
      <c r="B9186" t="s">
        <v>974</v>
      </c>
      <c r="C9186" t="s">
        <v>975</v>
      </c>
    </row>
    <row r="9187" spans="2:3" x14ac:dyDescent="0.35">
      <c r="B9187" t="s">
        <v>974</v>
      </c>
      <c r="C9187" t="s">
        <v>975</v>
      </c>
    </row>
    <row r="9188" spans="2:3" x14ac:dyDescent="0.35">
      <c r="B9188" t="s">
        <v>974</v>
      </c>
      <c r="C9188" t="s">
        <v>975</v>
      </c>
    </row>
    <row r="9189" spans="2:3" x14ac:dyDescent="0.35">
      <c r="B9189" t="s">
        <v>974</v>
      </c>
      <c r="C9189" t="s">
        <v>975</v>
      </c>
    </row>
    <row r="9190" spans="2:3" x14ac:dyDescent="0.35">
      <c r="B9190" t="s">
        <v>974</v>
      </c>
      <c r="C9190" t="s">
        <v>975</v>
      </c>
    </row>
    <row r="9191" spans="2:3" x14ac:dyDescent="0.35">
      <c r="B9191" t="s">
        <v>974</v>
      </c>
      <c r="C9191" t="s">
        <v>975</v>
      </c>
    </row>
    <row r="9192" spans="2:3" x14ac:dyDescent="0.35">
      <c r="B9192" t="s">
        <v>974</v>
      </c>
      <c r="C9192" t="s">
        <v>975</v>
      </c>
    </row>
    <row r="9193" spans="2:3" x14ac:dyDescent="0.35">
      <c r="B9193" t="s">
        <v>974</v>
      </c>
      <c r="C9193" t="s">
        <v>975</v>
      </c>
    </row>
    <row r="9194" spans="2:3" x14ac:dyDescent="0.35">
      <c r="B9194" t="s">
        <v>277</v>
      </c>
      <c r="C9194" t="s">
        <v>278</v>
      </c>
    </row>
    <row r="9195" spans="2:3" x14ac:dyDescent="0.35">
      <c r="B9195" t="s">
        <v>222</v>
      </c>
      <c r="C9195" t="s">
        <v>223</v>
      </c>
    </row>
    <row r="9196" spans="2:3" x14ac:dyDescent="0.35">
      <c r="B9196" t="s">
        <v>234</v>
      </c>
      <c r="C9196" t="s">
        <v>235</v>
      </c>
    </row>
    <row r="9197" spans="2:3" x14ac:dyDescent="0.35">
      <c r="B9197" t="s">
        <v>277</v>
      </c>
      <c r="C9197" t="s">
        <v>278</v>
      </c>
    </row>
    <row r="9198" spans="2:3" x14ac:dyDescent="0.35">
      <c r="B9198" t="s">
        <v>277</v>
      </c>
      <c r="C9198" t="s">
        <v>278</v>
      </c>
    </row>
    <row r="9199" spans="2:3" x14ac:dyDescent="0.35">
      <c r="B9199" t="s">
        <v>1193</v>
      </c>
      <c r="C9199" t="s">
        <v>1194</v>
      </c>
    </row>
    <row r="9200" spans="2:3" x14ac:dyDescent="0.35">
      <c r="B9200" t="s">
        <v>277</v>
      </c>
      <c r="C9200" t="s">
        <v>278</v>
      </c>
    </row>
    <row r="9201" spans="2:3" x14ac:dyDescent="0.35">
      <c r="B9201" t="s">
        <v>471</v>
      </c>
      <c r="C9201" t="s">
        <v>472</v>
      </c>
    </row>
    <row r="9202" spans="2:3" x14ac:dyDescent="0.35">
      <c r="B9202" t="s">
        <v>277</v>
      </c>
      <c r="C9202" t="s">
        <v>278</v>
      </c>
    </row>
    <row r="9203" spans="2:3" x14ac:dyDescent="0.35">
      <c r="B9203" t="s">
        <v>222</v>
      </c>
      <c r="C9203" t="s">
        <v>223</v>
      </c>
    </row>
    <row r="9204" spans="2:3" x14ac:dyDescent="0.35">
      <c r="B9204" t="s">
        <v>277</v>
      </c>
      <c r="C9204" t="s">
        <v>278</v>
      </c>
    </row>
    <row r="9205" spans="2:3" x14ac:dyDescent="0.35">
      <c r="B9205" t="s">
        <v>1193</v>
      </c>
      <c r="C9205" t="s">
        <v>1194</v>
      </c>
    </row>
    <row r="9206" spans="2:3" x14ac:dyDescent="0.35">
      <c r="B9206" t="s">
        <v>277</v>
      </c>
      <c r="C9206" t="s">
        <v>278</v>
      </c>
    </row>
    <row r="9207" spans="2:3" x14ac:dyDescent="0.35">
      <c r="B9207" t="s">
        <v>234</v>
      </c>
      <c r="C9207" t="s">
        <v>235</v>
      </c>
    </row>
    <row r="9208" spans="2:3" x14ac:dyDescent="0.35">
      <c r="B9208" t="s">
        <v>473</v>
      </c>
      <c r="C9208" t="s">
        <v>474</v>
      </c>
    </row>
    <row r="9209" spans="2:3" x14ac:dyDescent="0.35">
      <c r="B9209" t="s">
        <v>236</v>
      </c>
      <c r="C9209" t="s">
        <v>237</v>
      </c>
    </row>
    <row r="9210" spans="2:3" x14ac:dyDescent="0.35">
      <c r="B9210" t="s">
        <v>234</v>
      </c>
      <c r="C9210" t="s">
        <v>235</v>
      </c>
    </row>
    <row r="9211" spans="2:3" x14ac:dyDescent="0.35">
      <c r="B9211" t="s">
        <v>163</v>
      </c>
      <c r="C9211" t="s">
        <v>164</v>
      </c>
    </row>
    <row r="9212" spans="2:3" x14ac:dyDescent="0.35">
      <c r="B9212" t="s">
        <v>277</v>
      </c>
      <c r="C9212" t="s">
        <v>278</v>
      </c>
    </row>
    <row r="9213" spans="2:3" x14ac:dyDescent="0.35">
      <c r="B9213" t="s">
        <v>234</v>
      </c>
      <c r="C9213" t="s">
        <v>235</v>
      </c>
    </row>
    <row r="9214" spans="2:3" x14ac:dyDescent="0.35">
      <c r="B9214" t="s">
        <v>163</v>
      </c>
      <c r="C9214" t="s">
        <v>164</v>
      </c>
    </row>
    <row r="9215" spans="2:3" x14ac:dyDescent="0.35">
      <c r="B9215" t="s">
        <v>182</v>
      </c>
      <c r="C9215" t="s">
        <v>183</v>
      </c>
    </row>
    <row r="9216" spans="2:3" x14ac:dyDescent="0.35">
      <c r="B9216" t="s">
        <v>184</v>
      </c>
      <c r="C9216" t="s">
        <v>185</v>
      </c>
    </row>
    <row r="9217" spans="2:3" x14ac:dyDescent="0.35">
      <c r="B9217" t="s">
        <v>182</v>
      </c>
      <c r="C9217" t="s">
        <v>183</v>
      </c>
    </row>
    <row r="9218" spans="2:3" x14ac:dyDescent="0.35">
      <c r="B9218" t="s">
        <v>1187</v>
      </c>
      <c r="C9218" t="s">
        <v>1188</v>
      </c>
    </row>
    <row r="9219" spans="2:3" x14ac:dyDescent="0.35">
      <c r="B9219" t="s">
        <v>234</v>
      </c>
      <c r="C9219" t="s">
        <v>235</v>
      </c>
    </row>
    <row r="9220" spans="2:3" x14ac:dyDescent="0.35">
      <c r="B9220" t="s">
        <v>1193</v>
      </c>
      <c r="C9220" t="s">
        <v>1194</v>
      </c>
    </row>
    <row r="9221" spans="2:3" x14ac:dyDescent="0.35">
      <c r="B9221" t="s">
        <v>471</v>
      </c>
      <c r="C9221" t="s">
        <v>472</v>
      </c>
    </row>
    <row r="9222" spans="2:3" x14ac:dyDescent="0.35">
      <c r="B9222" t="s">
        <v>163</v>
      </c>
      <c r="C9222" t="s">
        <v>164</v>
      </c>
    </row>
    <row r="9223" spans="2:3" x14ac:dyDescent="0.35">
      <c r="B9223" t="s">
        <v>182</v>
      </c>
      <c r="C9223" t="s">
        <v>183</v>
      </c>
    </row>
    <row r="9224" spans="2:3" x14ac:dyDescent="0.35">
      <c r="B9224" t="s">
        <v>277</v>
      </c>
      <c r="C9224" t="s">
        <v>278</v>
      </c>
    </row>
    <row r="9225" spans="2:3" x14ac:dyDescent="0.35">
      <c r="B9225" t="s">
        <v>219</v>
      </c>
      <c r="C9225" t="s">
        <v>220</v>
      </c>
    </row>
    <row r="9226" spans="2:3" x14ac:dyDescent="0.35">
      <c r="B9226" t="s">
        <v>182</v>
      </c>
      <c r="C9226" t="s">
        <v>183</v>
      </c>
    </row>
    <row r="9227" spans="2:3" x14ac:dyDescent="0.35">
      <c r="B9227" t="s">
        <v>277</v>
      </c>
      <c r="C9227" t="s">
        <v>278</v>
      </c>
    </row>
    <row r="9228" spans="2:3" x14ac:dyDescent="0.35">
      <c r="B9228" t="s">
        <v>473</v>
      </c>
      <c r="C9228" t="s">
        <v>474</v>
      </c>
    </row>
    <row r="9229" spans="2:3" x14ac:dyDescent="0.35">
      <c r="B9229" t="s">
        <v>471</v>
      </c>
      <c r="C9229" t="s">
        <v>472</v>
      </c>
    </row>
    <row r="9230" spans="2:3" x14ac:dyDescent="0.35">
      <c r="B9230" t="s">
        <v>234</v>
      </c>
      <c r="C9230" t="s">
        <v>235</v>
      </c>
    </row>
    <row r="9231" spans="2:3" x14ac:dyDescent="0.35">
      <c r="B9231" t="s">
        <v>163</v>
      </c>
      <c r="C9231" t="s">
        <v>164</v>
      </c>
    </row>
    <row r="9232" spans="2:3" x14ac:dyDescent="0.35">
      <c r="B9232" t="s">
        <v>473</v>
      </c>
      <c r="C9232" t="s">
        <v>474</v>
      </c>
    </row>
    <row r="9233" spans="2:3" x14ac:dyDescent="0.35">
      <c r="B9233" t="s">
        <v>471</v>
      </c>
      <c r="C9233" t="s">
        <v>472</v>
      </c>
    </row>
    <row r="9234" spans="2:3" x14ac:dyDescent="0.35">
      <c r="B9234" t="s">
        <v>473</v>
      </c>
      <c r="C9234" t="s">
        <v>474</v>
      </c>
    </row>
    <row r="9235" spans="2:3" x14ac:dyDescent="0.35">
      <c r="B9235" t="s">
        <v>277</v>
      </c>
      <c r="C9235" t="s">
        <v>278</v>
      </c>
    </row>
    <row r="9236" spans="2:3" x14ac:dyDescent="0.35">
      <c r="B9236" t="s">
        <v>236</v>
      </c>
      <c r="C9236" t="s">
        <v>237</v>
      </c>
    </row>
    <row r="9237" spans="2:3" x14ac:dyDescent="0.35">
      <c r="B9237" t="s">
        <v>277</v>
      </c>
      <c r="C9237" t="s">
        <v>278</v>
      </c>
    </row>
    <row r="9238" spans="2:3" x14ac:dyDescent="0.35">
      <c r="B9238" t="s">
        <v>234</v>
      </c>
      <c r="C9238" t="s">
        <v>235</v>
      </c>
    </row>
    <row r="9239" spans="2:3" x14ac:dyDescent="0.35">
      <c r="B9239" t="s">
        <v>219</v>
      </c>
      <c r="C9239" t="s">
        <v>220</v>
      </c>
    </row>
    <row r="9240" spans="2:3" x14ac:dyDescent="0.35">
      <c r="B9240" t="s">
        <v>163</v>
      </c>
      <c r="C9240" t="s">
        <v>164</v>
      </c>
    </row>
    <row r="9241" spans="2:3" x14ac:dyDescent="0.35">
      <c r="B9241" t="s">
        <v>163</v>
      </c>
      <c r="C9241" t="s">
        <v>164</v>
      </c>
    </row>
    <row r="9242" spans="2:3" x14ac:dyDescent="0.35">
      <c r="B9242" t="s">
        <v>1187</v>
      </c>
      <c r="C9242" t="s">
        <v>1188</v>
      </c>
    </row>
    <row r="9243" spans="2:3" x14ac:dyDescent="0.35">
      <c r="B9243" t="s">
        <v>182</v>
      </c>
      <c r="C9243" t="s">
        <v>183</v>
      </c>
    </row>
    <row r="9244" spans="2:3" x14ac:dyDescent="0.35">
      <c r="B9244" t="s">
        <v>473</v>
      </c>
      <c r="C9244" t="s">
        <v>474</v>
      </c>
    </row>
    <row r="9245" spans="2:3" x14ac:dyDescent="0.35">
      <c r="B9245" t="s">
        <v>163</v>
      </c>
      <c r="C9245" t="s">
        <v>164</v>
      </c>
    </row>
    <row r="9246" spans="2:3" x14ac:dyDescent="0.35">
      <c r="B9246" t="s">
        <v>234</v>
      </c>
      <c r="C9246" t="s">
        <v>235</v>
      </c>
    </row>
    <row r="9247" spans="2:3" x14ac:dyDescent="0.35">
      <c r="B9247" t="s">
        <v>277</v>
      </c>
      <c r="C9247" t="s">
        <v>278</v>
      </c>
    </row>
    <row r="9248" spans="2:3" x14ac:dyDescent="0.35">
      <c r="B9248" t="s">
        <v>1193</v>
      </c>
      <c r="C9248" t="s">
        <v>1194</v>
      </c>
    </row>
    <row r="9249" spans="2:3" x14ac:dyDescent="0.35">
      <c r="B9249" t="s">
        <v>163</v>
      </c>
      <c r="C9249" t="s">
        <v>164</v>
      </c>
    </row>
    <row r="9250" spans="2:3" x14ac:dyDescent="0.35">
      <c r="B9250" t="s">
        <v>277</v>
      </c>
      <c r="C9250" t="s">
        <v>278</v>
      </c>
    </row>
    <row r="9251" spans="2:3" x14ac:dyDescent="0.35">
      <c r="B9251" t="s">
        <v>277</v>
      </c>
      <c r="C9251" t="s">
        <v>278</v>
      </c>
    </row>
    <row r="9252" spans="2:3" x14ac:dyDescent="0.35">
      <c r="B9252" t="s">
        <v>473</v>
      </c>
      <c r="C9252" t="s">
        <v>474</v>
      </c>
    </row>
    <row r="9253" spans="2:3" x14ac:dyDescent="0.35">
      <c r="B9253" t="s">
        <v>277</v>
      </c>
      <c r="C9253" t="s">
        <v>278</v>
      </c>
    </row>
    <row r="9254" spans="2:3" x14ac:dyDescent="0.35">
      <c r="B9254" t="s">
        <v>277</v>
      </c>
      <c r="C9254" t="s">
        <v>278</v>
      </c>
    </row>
    <row r="9255" spans="2:3" x14ac:dyDescent="0.35">
      <c r="B9255" t="s">
        <v>277</v>
      </c>
      <c r="C9255" t="s">
        <v>278</v>
      </c>
    </row>
    <row r="9256" spans="2:3" x14ac:dyDescent="0.35">
      <c r="B9256" t="s">
        <v>473</v>
      </c>
      <c r="C9256" t="s">
        <v>474</v>
      </c>
    </row>
    <row r="9257" spans="2:3" x14ac:dyDescent="0.35">
      <c r="B9257" t="s">
        <v>473</v>
      </c>
      <c r="C9257" t="s">
        <v>474</v>
      </c>
    </row>
    <row r="9258" spans="2:3" x14ac:dyDescent="0.35">
      <c r="B9258" t="s">
        <v>1193</v>
      </c>
      <c r="C9258" t="s">
        <v>1194</v>
      </c>
    </row>
    <row r="9259" spans="2:3" x14ac:dyDescent="0.35">
      <c r="B9259" t="s">
        <v>163</v>
      </c>
      <c r="C9259" t="s">
        <v>164</v>
      </c>
    </row>
    <row r="9260" spans="2:3" x14ac:dyDescent="0.35">
      <c r="B9260" t="s">
        <v>163</v>
      </c>
      <c r="C9260" t="s">
        <v>164</v>
      </c>
    </row>
    <row r="9261" spans="2:3" x14ac:dyDescent="0.35">
      <c r="B9261" t="s">
        <v>473</v>
      </c>
      <c r="C9261" t="s">
        <v>474</v>
      </c>
    </row>
    <row r="9262" spans="2:3" x14ac:dyDescent="0.35">
      <c r="B9262" t="s">
        <v>236</v>
      </c>
      <c r="C9262" t="s">
        <v>237</v>
      </c>
    </row>
    <row r="9263" spans="2:3" x14ac:dyDescent="0.35">
      <c r="B9263" t="s">
        <v>163</v>
      </c>
      <c r="C9263" t="s">
        <v>164</v>
      </c>
    </row>
    <row r="9264" spans="2:3" x14ac:dyDescent="0.35">
      <c r="B9264" t="s">
        <v>1187</v>
      </c>
      <c r="C9264" t="s">
        <v>1188</v>
      </c>
    </row>
    <row r="9265" spans="2:3" x14ac:dyDescent="0.35">
      <c r="B9265" t="s">
        <v>473</v>
      </c>
      <c r="C9265" t="s">
        <v>474</v>
      </c>
    </row>
    <row r="9266" spans="2:3" x14ac:dyDescent="0.35">
      <c r="B9266" t="s">
        <v>1193</v>
      </c>
      <c r="C9266" t="s">
        <v>1194</v>
      </c>
    </row>
    <row r="9267" spans="2:3" x14ac:dyDescent="0.35">
      <c r="B9267" t="s">
        <v>473</v>
      </c>
      <c r="C9267" t="s">
        <v>474</v>
      </c>
    </row>
    <row r="9268" spans="2:3" x14ac:dyDescent="0.35">
      <c r="B9268" t="s">
        <v>184</v>
      </c>
      <c r="C9268" t="s">
        <v>185</v>
      </c>
    </row>
    <row r="9269" spans="2:3" x14ac:dyDescent="0.35">
      <c r="B9269" t="s">
        <v>277</v>
      </c>
      <c r="C9269" t="s">
        <v>278</v>
      </c>
    </row>
    <row r="9270" spans="2:3" x14ac:dyDescent="0.35">
      <c r="B9270" t="s">
        <v>182</v>
      </c>
      <c r="C9270" t="s">
        <v>183</v>
      </c>
    </row>
    <row r="9271" spans="2:3" x14ac:dyDescent="0.35">
      <c r="B9271" t="s">
        <v>219</v>
      </c>
      <c r="C9271" t="s">
        <v>220</v>
      </c>
    </row>
    <row r="9272" spans="2:3" x14ac:dyDescent="0.35">
      <c r="B9272" t="s">
        <v>222</v>
      </c>
      <c r="C9272" t="s">
        <v>223</v>
      </c>
    </row>
    <row r="9273" spans="2:3" x14ac:dyDescent="0.35">
      <c r="B9273" t="s">
        <v>182</v>
      </c>
      <c r="C9273" t="s">
        <v>183</v>
      </c>
    </row>
    <row r="9274" spans="2:3" x14ac:dyDescent="0.35">
      <c r="B9274" t="s">
        <v>184</v>
      </c>
      <c r="C9274" t="s">
        <v>185</v>
      </c>
    </row>
    <row r="9275" spans="2:3" x14ac:dyDescent="0.35">
      <c r="B9275" t="s">
        <v>1187</v>
      </c>
      <c r="C9275" t="s">
        <v>1188</v>
      </c>
    </row>
    <row r="9276" spans="2:3" x14ac:dyDescent="0.35">
      <c r="B9276" t="s">
        <v>277</v>
      </c>
      <c r="C9276" t="s">
        <v>278</v>
      </c>
    </row>
    <row r="9277" spans="2:3" x14ac:dyDescent="0.35">
      <c r="B9277" t="s">
        <v>277</v>
      </c>
      <c r="C9277" t="s">
        <v>278</v>
      </c>
    </row>
    <row r="9278" spans="2:3" x14ac:dyDescent="0.35">
      <c r="B9278" t="s">
        <v>1193</v>
      </c>
      <c r="C9278" t="s">
        <v>1194</v>
      </c>
    </row>
    <row r="9279" spans="2:3" x14ac:dyDescent="0.35">
      <c r="B9279" t="s">
        <v>222</v>
      </c>
      <c r="C9279" t="s">
        <v>223</v>
      </c>
    </row>
    <row r="9280" spans="2:3" x14ac:dyDescent="0.35">
      <c r="B9280" t="s">
        <v>225</v>
      </c>
      <c r="C9280" t="s">
        <v>226</v>
      </c>
    </row>
    <row r="9281" spans="2:3" x14ac:dyDescent="0.35">
      <c r="B9281" t="s">
        <v>277</v>
      </c>
      <c r="C9281" t="s">
        <v>278</v>
      </c>
    </row>
    <row r="9282" spans="2:3" x14ac:dyDescent="0.35">
      <c r="B9282" t="s">
        <v>277</v>
      </c>
      <c r="C9282" t="s">
        <v>278</v>
      </c>
    </row>
    <row r="9283" spans="2:3" x14ac:dyDescent="0.35">
      <c r="B9283" t="s">
        <v>182</v>
      </c>
      <c r="C9283" t="s">
        <v>183</v>
      </c>
    </row>
    <row r="9284" spans="2:3" x14ac:dyDescent="0.35">
      <c r="B9284" t="s">
        <v>234</v>
      </c>
      <c r="C9284" t="s">
        <v>235</v>
      </c>
    </row>
    <row r="9285" spans="2:3" x14ac:dyDescent="0.35">
      <c r="B9285" t="s">
        <v>277</v>
      </c>
      <c r="C9285" t="s">
        <v>278</v>
      </c>
    </row>
    <row r="9286" spans="2:3" x14ac:dyDescent="0.35">
      <c r="B9286" t="s">
        <v>277</v>
      </c>
      <c r="C9286" t="s">
        <v>278</v>
      </c>
    </row>
    <row r="9287" spans="2:3" x14ac:dyDescent="0.35">
      <c r="B9287" t="s">
        <v>277</v>
      </c>
      <c r="C9287" t="s">
        <v>278</v>
      </c>
    </row>
    <row r="9288" spans="2:3" x14ac:dyDescent="0.35">
      <c r="B9288" t="s">
        <v>1195</v>
      </c>
      <c r="C9288" t="s">
        <v>1195</v>
      </c>
    </row>
    <row r="9289" spans="2:3" x14ac:dyDescent="0.35">
      <c r="B9289" t="s">
        <v>1195</v>
      </c>
      <c r="C9289" t="s">
        <v>1195</v>
      </c>
    </row>
    <row r="9290" spans="2:3" x14ac:dyDescent="0.35">
      <c r="B9290" t="s">
        <v>1195</v>
      </c>
      <c r="C9290" t="s">
        <v>1195</v>
      </c>
    </row>
    <row r="9291" spans="2:3" x14ac:dyDescent="0.35">
      <c r="B9291" t="s">
        <v>1195</v>
      </c>
      <c r="C9291" t="s">
        <v>1195</v>
      </c>
    </row>
    <row r="9292" spans="2:3" x14ac:dyDescent="0.35">
      <c r="B9292" t="s">
        <v>1195</v>
      </c>
      <c r="C9292" t="s">
        <v>1195</v>
      </c>
    </row>
    <row r="9293" spans="2:3" x14ac:dyDescent="0.35">
      <c r="B9293" t="s">
        <v>1195</v>
      </c>
      <c r="C9293" t="s">
        <v>1195</v>
      </c>
    </row>
    <row r="9294" spans="2:3" x14ac:dyDescent="0.35">
      <c r="B9294" t="s">
        <v>1195</v>
      </c>
      <c r="C9294" t="s">
        <v>1195</v>
      </c>
    </row>
    <row r="9295" spans="2:3" x14ac:dyDescent="0.35">
      <c r="B9295" t="s">
        <v>1195</v>
      </c>
      <c r="C9295" t="s">
        <v>1195</v>
      </c>
    </row>
    <row r="9296" spans="2:3" x14ac:dyDescent="0.35">
      <c r="B9296" t="s">
        <v>1195</v>
      </c>
      <c r="C9296" t="s">
        <v>1195</v>
      </c>
    </row>
    <row r="9297" spans="2:3" x14ac:dyDescent="0.35">
      <c r="B9297" t="s">
        <v>1195</v>
      </c>
      <c r="C9297" t="s">
        <v>1195</v>
      </c>
    </row>
    <row r="9298" spans="2:3" x14ac:dyDescent="0.35">
      <c r="B9298" t="s">
        <v>1195</v>
      </c>
      <c r="C9298" t="s">
        <v>1195</v>
      </c>
    </row>
    <row r="9299" spans="2:3" x14ac:dyDescent="0.35">
      <c r="B9299" t="s">
        <v>1195</v>
      </c>
      <c r="C9299" t="s">
        <v>1195</v>
      </c>
    </row>
    <row r="9300" spans="2:3" x14ac:dyDescent="0.35">
      <c r="B9300" t="s">
        <v>1195</v>
      </c>
      <c r="C9300" t="s">
        <v>1195</v>
      </c>
    </row>
    <row r="9301" spans="2:3" x14ac:dyDescent="0.35">
      <c r="B9301" t="s">
        <v>1195</v>
      </c>
      <c r="C9301" t="s">
        <v>1195</v>
      </c>
    </row>
    <row r="9302" spans="2:3" x14ac:dyDescent="0.35">
      <c r="B9302" t="s">
        <v>1195</v>
      </c>
      <c r="C9302" t="s">
        <v>1195</v>
      </c>
    </row>
    <row r="9303" spans="2:3" x14ac:dyDescent="0.35">
      <c r="B9303" t="s">
        <v>1195</v>
      </c>
      <c r="C9303" t="s">
        <v>1195</v>
      </c>
    </row>
    <row r="9304" spans="2:3" x14ac:dyDescent="0.35">
      <c r="B9304" t="s">
        <v>1195</v>
      </c>
      <c r="C9304" t="s">
        <v>1195</v>
      </c>
    </row>
    <row r="9305" spans="2:3" x14ac:dyDescent="0.35">
      <c r="B9305" t="s">
        <v>1195</v>
      </c>
      <c r="C9305" t="s">
        <v>1195</v>
      </c>
    </row>
    <row r="9306" spans="2:3" x14ac:dyDescent="0.35">
      <c r="B9306" t="s">
        <v>1195</v>
      </c>
      <c r="C9306" t="s">
        <v>1195</v>
      </c>
    </row>
    <row r="9307" spans="2:3" x14ac:dyDescent="0.35">
      <c r="B9307" t="s">
        <v>1195</v>
      </c>
      <c r="C9307" t="s">
        <v>1195</v>
      </c>
    </row>
    <row r="9308" spans="2:3" x14ac:dyDescent="0.35">
      <c r="B9308" t="s">
        <v>1195</v>
      </c>
      <c r="C9308" t="s">
        <v>1195</v>
      </c>
    </row>
    <row r="9309" spans="2:3" x14ac:dyDescent="0.35">
      <c r="B9309" t="s">
        <v>1195</v>
      </c>
      <c r="C9309" t="s">
        <v>1195</v>
      </c>
    </row>
    <row r="9310" spans="2:3" x14ac:dyDescent="0.35">
      <c r="B9310" t="s">
        <v>1195</v>
      </c>
      <c r="C9310" t="s">
        <v>1195</v>
      </c>
    </row>
    <row r="9311" spans="2:3" x14ac:dyDescent="0.35">
      <c r="B9311" t="s">
        <v>1195</v>
      </c>
      <c r="C9311" t="s">
        <v>1195</v>
      </c>
    </row>
    <row r="9312" spans="2:3" x14ac:dyDescent="0.35">
      <c r="B9312" t="s">
        <v>1195</v>
      </c>
      <c r="C9312" t="s">
        <v>1195</v>
      </c>
    </row>
    <row r="9313" spans="2:3" x14ac:dyDescent="0.35">
      <c r="B9313" t="s">
        <v>1195</v>
      </c>
      <c r="C9313" t="s">
        <v>1195</v>
      </c>
    </row>
    <row r="9314" spans="2:3" x14ac:dyDescent="0.35">
      <c r="B9314" t="s">
        <v>1195</v>
      </c>
      <c r="C9314" t="s">
        <v>1195</v>
      </c>
    </row>
    <row r="9315" spans="2:3" x14ac:dyDescent="0.35">
      <c r="B9315" t="s">
        <v>1195</v>
      </c>
      <c r="C9315" t="s">
        <v>1195</v>
      </c>
    </row>
    <row r="9316" spans="2:3" x14ac:dyDescent="0.35">
      <c r="B9316" t="s">
        <v>1195</v>
      </c>
      <c r="C9316" t="s">
        <v>1195</v>
      </c>
    </row>
    <row r="9317" spans="2:3" x14ac:dyDescent="0.35">
      <c r="B9317" t="s">
        <v>1195</v>
      </c>
      <c r="C9317" t="s">
        <v>1195</v>
      </c>
    </row>
    <row r="9318" spans="2:3" x14ac:dyDescent="0.35">
      <c r="B9318" t="s">
        <v>1195</v>
      </c>
      <c r="C9318" t="s">
        <v>1195</v>
      </c>
    </row>
    <row r="9319" spans="2:3" x14ac:dyDescent="0.35">
      <c r="B9319" t="s">
        <v>1195</v>
      </c>
      <c r="C9319" t="s">
        <v>1195</v>
      </c>
    </row>
    <row r="9320" spans="2:3" x14ac:dyDescent="0.35">
      <c r="B9320" t="s">
        <v>1195</v>
      </c>
      <c r="C9320" t="s">
        <v>1195</v>
      </c>
    </row>
    <row r="9321" spans="2:3" x14ac:dyDescent="0.35">
      <c r="B9321" t="s">
        <v>1195</v>
      </c>
      <c r="C9321" t="s">
        <v>1195</v>
      </c>
    </row>
    <row r="9322" spans="2:3" x14ac:dyDescent="0.35">
      <c r="B9322" t="s">
        <v>1195</v>
      </c>
      <c r="C9322" t="s">
        <v>1195</v>
      </c>
    </row>
    <row r="9323" spans="2:3" x14ac:dyDescent="0.35">
      <c r="B9323" t="s">
        <v>1195</v>
      </c>
      <c r="C9323" t="s">
        <v>1195</v>
      </c>
    </row>
    <row r="9324" spans="2:3" x14ac:dyDescent="0.35">
      <c r="B9324" t="s">
        <v>1195</v>
      </c>
      <c r="C9324" t="s">
        <v>1195</v>
      </c>
    </row>
    <row r="9325" spans="2:3" x14ac:dyDescent="0.35">
      <c r="B9325" t="s">
        <v>1195</v>
      </c>
      <c r="C9325" t="s">
        <v>1195</v>
      </c>
    </row>
    <row r="9326" spans="2:3" x14ac:dyDescent="0.35">
      <c r="B9326" t="s">
        <v>1195</v>
      </c>
      <c r="C9326" t="s">
        <v>1195</v>
      </c>
    </row>
    <row r="9327" spans="2:3" x14ac:dyDescent="0.35">
      <c r="B9327" t="s">
        <v>1195</v>
      </c>
      <c r="C9327" t="s">
        <v>1195</v>
      </c>
    </row>
    <row r="9328" spans="2:3" x14ac:dyDescent="0.35">
      <c r="B9328" t="s">
        <v>1195</v>
      </c>
      <c r="C9328" t="s">
        <v>1195</v>
      </c>
    </row>
    <row r="9329" spans="2:3" x14ac:dyDescent="0.35">
      <c r="B9329" t="s">
        <v>1195</v>
      </c>
      <c r="C9329" t="s">
        <v>1195</v>
      </c>
    </row>
    <row r="9330" spans="2:3" x14ac:dyDescent="0.35">
      <c r="B9330" t="s">
        <v>1195</v>
      </c>
      <c r="C9330" t="s">
        <v>1195</v>
      </c>
    </row>
    <row r="9331" spans="2:3" x14ac:dyDescent="0.35">
      <c r="B9331" t="s">
        <v>1195</v>
      </c>
      <c r="C9331" t="s">
        <v>1195</v>
      </c>
    </row>
    <row r="9332" spans="2:3" x14ac:dyDescent="0.35">
      <c r="B9332" t="s">
        <v>1195</v>
      </c>
      <c r="C9332" t="s">
        <v>1195</v>
      </c>
    </row>
    <row r="9333" spans="2:3" x14ac:dyDescent="0.35">
      <c r="B9333" t="s">
        <v>1195</v>
      </c>
      <c r="C9333" t="s">
        <v>1195</v>
      </c>
    </row>
    <row r="9334" spans="2:3" x14ac:dyDescent="0.35">
      <c r="B9334" t="s">
        <v>1195</v>
      </c>
      <c r="C9334" t="s">
        <v>1195</v>
      </c>
    </row>
    <row r="9335" spans="2:3" x14ac:dyDescent="0.35">
      <c r="B9335" t="s">
        <v>1195</v>
      </c>
      <c r="C9335" t="s">
        <v>1195</v>
      </c>
    </row>
    <row r="9336" spans="2:3" x14ac:dyDescent="0.35">
      <c r="B9336" t="s">
        <v>1195</v>
      </c>
      <c r="C9336" t="s">
        <v>1195</v>
      </c>
    </row>
    <row r="9337" spans="2:3" x14ac:dyDescent="0.35">
      <c r="B9337" t="s">
        <v>1195</v>
      </c>
      <c r="C9337" t="s">
        <v>1195</v>
      </c>
    </row>
    <row r="9338" spans="2:3" x14ac:dyDescent="0.35">
      <c r="B9338" t="s">
        <v>1195</v>
      </c>
      <c r="C9338" t="s">
        <v>1195</v>
      </c>
    </row>
    <row r="9339" spans="2:3" x14ac:dyDescent="0.35">
      <c r="B9339" t="s">
        <v>1195</v>
      </c>
      <c r="C9339" t="s">
        <v>1195</v>
      </c>
    </row>
    <row r="9340" spans="2:3" x14ac:dyDescent="0.35">
      <c r="B9340" t="s">
        <v>1195</v>
      </c>
      <c r="C9340" t="s">
        <v>1195</v>
      </c>
    </row>
    <row r="9341" spans="2:3" x14ac:dyDescent="0.35">
      <c r="B9341" t="s">
        <v>1195</v>
      </c>
      <c r="C9341" t="s">
        <v>1195</v>
      </c>
    </row>
    <row r="9342" spans="2:3" x14ac:dyDescent="0.35">
      <c r="B9342" t="s">
        <v>1195</v>
      </c>
      <c r="C9342" t="s">
        <v>1195</v>
      </c>
    </row>
    <row r="9343" spans="2:3" x14ac:dyDescent="0.35">
      <c r="B9343" t="s">
        <v>1195</v>
      </c>
      <c r="C9343" t="s">
        <v>1195</v>
      </c>
    </row>
    <row r="9344" spans="2:3" x14ac:dyDescent="0.35">
      <c r="B9344" t="s">
        <v>1195</v>
      </c>
      <c r="C9344" t="s">
        <v>1195</v>
      </c>
    </row>
    <row r="9345" spans="2:3" x14ac:dyDescent="0.35">
      <c r="B9345" t="s">
        <v>1195</v>
      </c>
      <c r="C9345" t="s">
        <v>1195</v>
      </c>
    </row>
    <row r="9346" spans="2:3" x14ac:dyDescent="0.35">
      <c r="B9346" t="s">
        <v>1195</v>
      </c>
      <c r="C9346" t="s">
        <v>1195</v>
      </c>
    </row>
    <row r="9347" spans="2:3" x14ac:dyDescent="0.35">
      <c r="B9347" t="s">
        <v>1195</v>
      </c>
      <c r="C9347" t="s">
        <v>1195</v>
      </c>
    </row>
    <row r="9348" spans="2:3" x14ac:dyDescent="0.35">
      <c r="B9348" t="s">
        <v>1195</v>
      </c>
      <c r="C9348" t="s">
        <v>1195</v>
      </c>
    </row>
    <row r="9349" spans="2:3" x14ac:dyDescent="0.35">
      <c r="B9349" t="s">
        <v>1195</v>
      </c>
      <c r="C9349" t="s">
        <v>1195</v>
      </c>
    </row>
    <row r="9350" spans="2:3" x14ac:dyDescent="0.35">
      <c r="B9350" t="s">
        <v>1195</v>
      </c>
      <c r="C9350" t="s">
        <v>1195</v>
      </c>
    </row>
    <row r="9351" spans="2:3" x14ac:dyDescent="0.35">
      <c r="B9351" t="s">
        <v>1195</v>
      </c>
      <c r="C9351" t="s">
        <v>1195</v>
      </c>
    </row>
    <row r="9352" spans="2:3" x14ac:dyDescent="0.35">
      <c r="B9352" t="s">
        <v>1195</v>
      </c>
      <c r="C9352" t="s">
        <v>1195</v>
      </c>
    </row>
    <row r="9353" spans="2:3" x14ac:dyDescent="0.35">
      <c r="B9353" t="s">
        <v>1195</v>
      </c>
      <c r="C9353" t="s">
        <v>1195</v>
      </c>
    </row>
    <row r="9354" spans="2:3" x14ac:dyDescent="0.35">
      <c r="B9354" t="s">
        <v>1195</v>
      </c>
      <c r="C9354" t="s">
        <v>1195</v>
      </c>
    </row>
    <row r="9355" spans="2:3" x14ac:dyDescent="0.35">
      <c r="B9355" t="s">
        <v>1195</v>
      </c>
      <c r="C9355" t="s">
        <v>1195</v>
      </c>
    </row>
    <row r="9356" spans="2:3" x14ac:dyDescent="0.35">
      <c r="B9356" t="s">
        <v>1195</v>
      </c>
      <c r="C9356" t="s">
        <v>1195</v>
      </c>
    </row>
    <row r="9357" spans="2:3" x14ac:dyDescent="0.35">
      <c r="B9357" t="s">
        <v>1195</v>
      </c>
      <c r="C9357" t="s">
        <v>1195</v>
      </c>
    </row>
    <row r="9358" spans="2:3" x14ac:dyDescent="0.35">
      <c r="B9358" t="s">
        <v>1195</v>
      </c>
      <c r="C9358" t="s">
        <v>1195</v>
      </c>
    </row>
    <row r="9359" spans="2:3" x14ac:dyDescent="0.35">
      <c r="B9359" t="s">
        <v>1195</v>
      </c>
      <c r="C9359" t="s">
        <v>1195</v>
      </c>
    </row>
    <row r="9360" spans="2:3" x14ac:dyDescent="0.35">
      <c r="B9360" t="s">
        <v>1195</v>
      </c>
      <c r="C9360" t="s">
        <v>1195</v>
      </c>
    </row>
    <row r="9361" spans="2:3" x14ac:dyDescent="0.35">
      <c r="B9361" t="s">
        <v>1195</v>
      </c>
      <c r="C9361" t="s">
        <v>1195</v>
      </c>
    </row>
    <row r="9362" spans="2:3" x14ac:dyDescent="0.35">
      <c r="B9362" t="s">
        <v>1195</v>
      </c>
      <c r="C9362" t="s">
        <v>1195</v>
      </c>
    </row>
    <row r="9363" spans="2:3" x14ac:dyDescent="0.35">
      <c r="B9363" t="s">
        <v>1195</v>
      </c>
      <c r="C9363" t="s">
        <v>1195</v>
      </c>
    </row>
    <row r="9364" spans="2:3" x14ac:dyDescent="0.35">
      <c r="B9364" t="s">
        <v>1195</v>
      </c>
      <c r="C9364" t="s">
        <v>1195</v>
      </c>
    </row>
    <row r="9365" spans="2:3" x14ac:dyDescent="0.35">
      <c r="B9365" t="s">
        <v>1195</v>
      </c>
      <c r="C9365" t="s">
        <v>1195</v>
      </c>
    </row>
    <row r="9366" spans="2:3" x14ac:dyDescent="0.35">
      <c r="B9366" t="s">
        <v>1195</v>
      </c>
      <c r="C9366" t="s">
        <v>1195</v>
      </c>
    </row>
    <row r="9367" spans="2:3" x14ac:dyDescent="0.35">
      <c r="B9367" t="s">
        <v>1195</v>
      </c>
      <c r="C9367" t="s">
        <v>1195</v>
      </c>
    </row>
    <row r="9368" spans="2:3" x14ac:dyDescent="0.35">
      <c r="B9368" t="s">
        <v>1195</v>
      </c>
      <c r="C9368" t="s">
        <v>1195</v>
      </c>
    </row>
    <row r="9369" spans="2:3" x14ac:dyDescent="0.35">
      <c r="B9369" t="s">
        <v>1195</v>
      </c>
      <c r="C9369" t="s">
        <v>1195</v>
      </c>
    </row>
    <row r="9370" spans="2:3" x14ac:dyDescent="0.35">
      <c r="B9370" t="s">
        <v>1195</v>
      </c>
      <c r="C9370" t="s">
        <v>1195</v>
      </c>
    </row>
    <row r="9371" spans="2:3" x14ac:dyDescent="0.35">
      <c r="B9371" t="s">
        <v>1195</v>
      </c>
      <c r="C9371" t="s">
        <v>1195</v>
      </c>
    </row>
    <row r="9372" spans="2:3" x14ac:dyDescent="0.35">
      <c r="B9372" t="s">
        <v>1195</v>
      </c>
      <c r="C9372" t="s">
        <v>1195</v>
      </c>
    </row>
    <row r="9373" spans="2:3" x14ac:dyDescent="0.35">
      <c r="B9373" t="s">
        <v>1195</v>
      </c>
      <c r="C9373" t="s">
        <v>1195</v>
      </c>
    </row>
    <row r="9374" spans="2:3" x14ac:dyDescent="0.35">
      <c r="B9374" t="s">
        <v>1195</v>
      </c>
      <c r="C9374" t="s">
        <v>1195</v>
      </c>
    </row>
    <row r="9375" spans="2:3" x14ac:dyDescent="0.35">
      <c r="B9375" t="s">
        <v>1195</v>
      </c>
      <c r="C9375" t="s">
        <v>1195</v>
      </c>
    </row>
    <row r="9376" spans="2:3" x14ac:dyDescent="0.35">
      <c r="B9376" t="s">
        <v>1195</v>
      </c>
      <c r="C9376" t="s">
        <v>1195</v>
      </c>
    </row>
    <row r="9377" spans="2:3" x14ac:dyDescent="0.35">
      <c r="B9377" t="s">
        <v>1195</v>
      </c>
      <c r="C9377" t="s">
        <v>1195</v>
      </c>
    </row>
    <row r="9378" spans="2:3" x14ac:dyDescent="0.35">
      <c r="B9378" t="s">
        <v>1195</v>
      </c>
      <c r="C9378" t="s">
        <v>1195</v>
      </c>
    </row>
    <row r="9379" spans="2:3" x14ac:dyDescent="0.35">
      <c r="B9379" t="s">
        <v>1195</v>
      </c>
      <c r="C9379" t="s">
        <v>1195</v>
      </c>
    </row>
    <row r="9380" spans="2:3" x14ac:dyDescent="0.35">
      <c r="B9380" t="s">
        <v>1195</v>
      </c>
      <c r="C9380" t="s">
        <v>1195</v>
      </c>
    </row>
    <row r="9381" spans="2:3" x14ac:dyDescent="0.35">
      <c r="B9381" t="s">
        <v>1195</v>
      </c>
      <c r="C9381" t="s">
        <v>1195</v>
      </c>
    </row>
    <row r="9382" spans="2:3" x14ac:dyDescent="0.35">
      <c r="B9382" t="s">
        <v>1195</v>
      </c>
      <c r="C9382" t="s">
        <v>1195</v>
      </c>
    </row>
    <row r="9383" spans="2:3" x14ac:dyDescent="0.35">
      <c r="B9383" t="s">
        <v>1195</v>
      </c>
      <c r="C9383" t="s">
        <v>1195</v>
      </c>
    </row>
    <row r="9384" spans="2:3" x14ac:dyDescent="0.35">
      <c r="B9384" t="s">
        <v>1195</v>
      </c>
      <c r="C9384" t="s">
        <v>1195</v>
      </c>
    </row>
    <row r="9385" spans="2:3" x14ac:dyDescent="0.35">
      <c r="B9385" t="s">
        <v>1195</v>
      </c>
      <c r="C9385" t="s">
        <v>1195</v>
      </c>
    </row>
    <row r="9386" spans="2:3" x14ac:dyDescent="0.35">
      <c r="B9386" t="s">
        <v>1195</v>
      </c>
      <c r="C9386" t="s">
        <v>1195</v>
      </c>
    </row>
    <row r="9387" spans="2:3" x14ac:dyDescent="0.35">
      <c r="B9387" t="s">
        <v>1195</v>
      </c>
      <c r="C9387" t="s">
        <v>1195</v>
      </c>
    </row>
    <row r="9388" spans="2:3" x14ac:dyDescent="0.35">
      <c r="B9388" t="s">
        <v>1195</v>
      </c>
      <c r="C9388" t="s">
        <v>1195</v>
      </c>
    </row>
    <row r="9389" spans="2:3" x14ac:dyDescent="0.35">
      <c r="B9389" t="s">
        <v>1195</v>
      </c>
      <c r="C9389" t="s">
        <v>1195</v>
      </c>
    </row>
    <row r="9390" spans="2:3" x14ac:dyDescent="0.35">
      <c r="B9390" t="s">
        <v>1195</v>
      </c>
      <c r="C9390" t="s">
        <v>1195</v>
      </c>
    </row>
    <row r="9391" spans="2:3" x14ac:dyDescent="0.35">
      <c r="B9391" t="s">
        <v>1195</v>
      </c>
      <c r="C9391" t="s">
        <v>1195</v>
      </c>
    </row>
    <row r="9392" spans="2:3" x14ac:dyDescent="0.35">
      <c r="B9392" t="s">
        <v>1195</v>
      </c>
      <c r="C9392" t="s">
        <v>1195</v>
      </c>
    </row>
    <row r="9393" spans="2:3" x14ac:dyDescent="0.35">
      <c r="B9393" t="s">
        <v>1195</v>
      </c>
      <c r="C9393" t="s">
        <v>1195</v>
      </c>
    </row>
    <row r="9394" spans="2:3" x14ac:dyDescent="0.35">
      <c r="B9394" t="s">
        <v>1195</v>
      </c>
      <c r="C9394" t="s">
        <v>1195</v>
      </c>
    </row>
    <row r="9395" spans="2:3" x14ac:dyDescent="0.35">
      <c r="B9395" t="s">
        <v>1195</v>
      </c>
      <c r="C9395" t="s">
        <v>1195</v>
      </c>
    </row>
    <row r="9396" spans="2:3" x14ac:dyDescent="0.35">
      <c r="B9396" t="s">
        <v>1195</v>
      </c>
      <c r="C9396" t="s">
        <v>1195</v>
      </c>
    </row>
    <row r="9397" spans="2:3" x14ac:dyDescent="0.35">
      <c r="B9397" t="s">
        <v>1195</v>
      </c>
      <c r="C9397" t="s">
        <v>1195</v>
      </c>
    </row>
    <row r="9398" spans="2:3" x14ac:dyDescent="0.35">
      <c r="B9398" t="s">
        <v>1195</v>
      </c>
      <c r="C9398" t="s">
        <v>1195</v>
      </c>
    </row>
    <row r="9399" spans="2:3" x14ac:dyDescent="0.35">
      <c r="B9399" t="s">
        <v>1195</v>
      </c>
      <c r="C9399" t="s">
        <v>1195</v>
      </c>
    </row>
    <row r="9400" spans="2:3" x14ac:dyDescent="0.35">
      <c r="B9400" t="s">
        <v>1195</v>
      </c>
      <c r="C9400" t="s">
        <v>1195</v>
      </c>
    </row>
    <row r="9401" spans="2:3" x14ac:dyDescent="0.35">
      <c r="B9401" t="s">
        <v>1195</v>
      </c>
      <c r="C9401" t="s">
        <v>1195</v>
      </c>
    </row>
    <row r="9402" spans="2:3" x14ac:dyDescent="0.35">
      <c r="B9402" t="s">
        <v>1195</v>
      </c>
      <c r="C9402" t="s">
        <v>1195</v>
      </c>
    </row>
    <row r="9403" spans="2:3" x14ac:dyDescent="0.35">
      <c r="B9403" t="s">
        <v>1195</v>
      </c>
      <c r="C9403" t="s">
        <v>1195</v>
      </c>
    </row>
    <row r="9404" spans="2:3" x14ac:dyDescent="0.35">
      <c r="B9404" t="s">
        <v>1195</v>
      </c>
      <c r="C9404" t="s">
        <v>1195</v>
      </c>
    </row>
    <row r="9405" spans="2:3" x14ac:dyDescent="0.35">
      <c r="B9405" t="s">
        <v>1195</v>
      </c>
      <c r="C9405" t="s">
        <v>1195</v>
      </c>
    </row>
    <row r="9406" spans="2:3" x14ac:dyDescent="0.35">
      <c r="B9406" t="s">
        <v>1195</v>
      </c>
      <c r="C9406" t="s">
        <v>1195</v>
      </c>
    </row>
    <row r="9407" spans="2:3" x14ac:dyDescent="0.35">
      <c r="B9407" t="s">
        <v>1195</v>
      </c>
      <c r="C9407" t="s">
        <v>1195</v>
      </c>
    </row>
    <row r="9408" spans="2:3" x14ac:dyDescent="0.35">
      <c r="B9408" t="s">
        <v>1195</v>
      </c>
      <c r="C9408" t="s">
        <v>1195</v>
      </c>
    </row>
    <row r="9409" spans="2:3" x14ac:dyDescent="0.35">
      <c r="B9409" t="s">
        <v>1195</v>
      </c>
      <c r="C9409" t="s">
        <v>1195</v>
      </c>
    </row>
    <row r="9410" spans="2:3" x14ac:dyDescent="0.35">
      <c r="B9410" t="s">
        <v>1195</v>
      </c>
      <c r="C9410" t="s">
        <v>1195</v>
      </c>
    </row>
    <row r="9411" spans="2:3" x14ac:dyDescent="0.35">
      <c r="B9411" t="s">
        <v>1195</v>
      </c>
      <c r="C9411" t="s">
        <v>1195</v>
      </c>
    </row>
    <row r="9412" spans="2:3" x14ac:dyDescent="0.35">
      <c r="B9412" t="s">
        <v>1195</v>
      </c>
      <c r="C9412" t="s">
        <v>1195</v>
      </c>
    </row>
    <row r="9413" spans="2:3" x14ac:dyDescent="0.35">
      <c r="B9413" t="s">
        <v>1195</v>
      </c>
      <c r="C9413" t="s">
        <v>1195</v>
      </c>
    </row>
    <row r="9414" spans="2:3" x14ac:dyDescent="0.35">
      <c r="B9414" t="s">
        <v>1195</v>
      </c>
      <c r="C9414" t="s">
        <v>1195</v>
      </c>
    </row>
    <row r="9415" spans="2:3" x14ac:dyDescent="0.35">
      <c r="B9415" t="s">
        <v>1195</v>
      </c>
      <c r="C9415" t="s">
        <v>1195</v>
      </c>
    </row>
    <row r="9416" spans="2:3" x14ac:dyDescent="0.35">
      <c r="B9416" t="s">
        <v>1195</v>
      </c>
      <c r="C9416" t="s">
        <v>1195</v>
      </c>
    </row>
    <row r="9417" spans="2:3" x14ac:dyDescent="0.35">
      <c r="B9417" t="s">
        <v>1195</v>
      </c>
      <c r="C9417" t="s">
        <v>1195</v>
      </c>
    </row>
    <row r="9418" spans="2:3" x14ac:dyDescent="0.35">
      <c r="B9418" t="s">
        <v>1195</v>
      </c>
      <c r="C9418" t="s">
        <v>1195</v>
      </c>
    </row>
    <row r="9419" spans="2:3" x14ac:dyDescent="0.35">
      <c r="B9419" t="s">
        <v>1195</v>
      </c>
      <c r="C9419" t="s">
        <v>1195</v>
      </c>
    </row>
    <row r="9420" spans="2:3" x14ac:dyDescent="0.35">
      <c r="B9420" t="s">
        <v>1195</v>
      </c>
      <c r="C9420" t="s">
        <v>1195</v>
      </c>
    </row>
    <row r="9421" spans="2:3" x14ac:dyDescent="0.35">
      <c r="B9421" t="s">
        <v>1195</v>
      </c>
      <c r="C9421" t="s">
        <v>1195</v>
      </c>
    </row>
    <row r="9422" spans="2:3" x14ac:dyDescent="0.35">
      <c r="B9422" t="s">
        <v>1195</v>
      </c>
      <c r="C9422" t="s">
        <v>1195</v>
      </c>
    </row>
    <row r="9423" spans="2:3" x14ac:dyDescent="0.35">
      <c r="B9423" t="s">
        <v>1195</v>
      </c>
      <c r="C9423" t="s">
        <v>1195</v>
      </c>
    </row>
    <row r="9424" spans="2:3" x14ac:dyDescent="0.35">
      <c r="B9424" t="s">
        <v>1195</v>
      </c>
      <c r="C9424" t="s">
        <v>1195</v>
      </c>
    </row>
    <row r="9425" spans="2:3" x14ac:dyDescent="0.35">
      <c r="B9425" t="s">
        <v>1195</v>
      </c>
      <c r="C9425" t="s">
        <v>1195</v>
      </c>
    </row>
    <row r="9426" spans="2:3" x14ac:dyDescent="0.35">
      <c r="B9426" t="s">
        <v>1195</v>
      </c>
      <c r="C9426" t="s">
        <v>1195</v>
      </c>
    </row>
    <row r="9427" spans="2:3" x14ac:dyDescent="0.35">
      <c r="B9427" t="s">
        <v>1195</v>
      </c>
      <c r="C9427" t="s">
        <v>1195</v>
      </c>
    </row>
    <row r="9428" spans="2:3" x14ac:dyDescent="0.35">
      <c r="B9428" t="s">
        <v>1195</v>
      </c>
      <c r="C9428" t="s">
        <v>1195</v>
      </c>
    </row>
    <row r="9429" spans="2:3" x14ac:dyDescent="0.35">
      <c r="B9429" t="s">
        <v>1195</v>
      </c>
      <c r="C9429" t="s">
        <v>1195</v>
      </c>
    </row>
    <row r="9430" spans="2:3" x14ac:dyDescent="0.35">
      <c r="B9430" t="s">
        <v>1195</v>
      </c>
      <c r="C9430" t="s">
        <v>1195</v>
      </c>
    </row>
    <row r="9431" spans="2:3" x14ac:dyDescent="0.35">
      <c r="B9431" t="s">
        <v>1195</v>
      </c>
      <c r="C9431" t="s">
        <v>1195</v>
      </c>
    </row>
    <row r="9432" spans="2:3" x14ac:dyDescent="0.35">
      <c r="B9432" t="s">
        <v>1195</v>
      </c>
      <c r="C9432" t="s">
        <v>1195</v>
      </c>
    </row>
    <row r="9433" spans="2:3" x14ac:dyDescent="0.35">
      <c r="B9433" t="s">
        <v>1195</v>
      </c>
      <c r="C9433" t="s">
        <v>1195</v>
      </c>
    </row>
    <row r="9434" spans="2:3" x14ac:dyDescent="0.35">
      <c r="B9434" t="s">
        <v>1195</v>
      </c>
      <c r="C9434" t="s">
        <v>1195</v>
      </c>
    </row>
    <row r="9435" spans="2:3" x14ac:dyDescent="0.35">
      <c r="B9435" t="s">
        <v>1195</v>
      </c>
      <c r="C9435" t="s">
        <v>1195</v>
      </c>
    </row>
    <row r="9436" spans="2:3" x14ac:dyDescent="0.35">
      <c r="B9436" t="s">
        <v>1195</v>
      </c>
      <c r="C9436" t="s">
        <v>1195</v>
      </c>
    </row>
    <row r="9437" spans="2:3" x14ac:dyDescent="0.35">
      <c r="B9437" t="s">
        <v>1195</v>
      </c>
      <c r="C9437" t="s">
        <v>1195</v>
      </c>
    </row>
    <row r="9438" spans="2:3" x14ac:dyDescent="0.35">
      <c r="B9438" t="s">
        <v>1195</v>
      </c>
      <c r="C9438" t="s">
        <v>1195</v>
      </c>
    </row>
    <row r="9439" spans="2:3" x14ac:dyDescent="0.35">
      <c r="B9439" t="s">
        <v>1195</v>
      </c>
      <c r="C9439" t="s">
        <v>1195</v>
      </c>
    </row>
    <row r="9440" spans="2:3" x14ac:dyDescent="0.35">
      <c r="B9440" t="s">
        <v>1195</v>
      </c>
      <c r="C9440" t="s">
        <v>1195</v>
      </c>
    </row>
    <row r="9441" spans="2:3" x14ac:dyDescent="0.35">
      <c r="B9441" t="s">
        <v>1195</v>
      </c>
      <c r="C9441" t="s">
        <v>1195</v>
      </c>
    </row>
    <row r="9442" spans="2:3" x14ac:dyDescent="0.35">
      <c r="B9442" t="s">
        <v>1195</v>
      </c>
      <c r="C9442" t="s">
        <v>1195</v>
      </c>
    </row>
    <row r="9443" spans="2:3" x14ac:dyDescent="0.35">
      <c r="B9443" t="s">
        <v>1195</v>
      </c>
      <c r="C9443" t="s">
        <v>1195</v>
      </c>
    </row>
    <row r="9444" spans="2:3" x14ac:dyDescent="0.35">
      <c r="B9444" t="s">
        <v>1195</v>
      </c>
      <c r="C9444" t="s">
        <v>1195</v>
      </c>
    </row>
    <row r="9445" spans="2:3" x14ac:dyDescent="0.35">
      <c r="B9445" t="s">
        <v>1195</v>
      </c>
      <c r="C9445" t="s">
        <v>1195</v>
      </c>
    </row>
    <row r="9446" spans="2:3" x14ac:dyDescent="0.35">
      <c r="B9446" t="s">
        <v>1195</v>
      </c>
      <c r="C9446" t="s">
        <v>1195</v>
      </c>
    </row>
    <row r="9447" spans="2:3" x14ac:dyDescent="0.35">
      <c r="B9447" t="s">
        <v>1195</v>
      </c>
      <c r="C9447" t="s">
        <v>1195</v>
      </c>
    </row>
    <row r="9448" spans="2:3" x14ac:dyDescent="0.35">
      <c r="B9448" t="s">
        <v>1195</v>
      </c>
      <c r="C9448" t="s">
        <v>1195</v>
      </c>
    </row>
    <row r="9449" spans="2:3" x14ac:dyDescent="0.35">
      <c r="B9449" t="s">
        <v>1195</v>
      </c>
      <c r="C9449" t="s">
        <v>1195</v>
      </c>
    </row>
    <row r="9450" spans="2:3" x14ac:dyDescent="0.35">
      <c r="B9450" t="s">
        <v>1195</v>
      </c>
      <c r="C9450" t="s">
        <v>1195</v>
      </c>
    </row>
    <row r="9451" spans="2:3" x14ac:dyDescent="0.35">
      <c r="B9451" t="s">
        <v>1195</v>
      </c>
      <c r="C9451" t="s">
        <v>1195</v>
      </c>
    </row>
    <row r="9452" spans="2:3" x14ac:dyDescent="0.35">
      <c r="B9452" t="s">
        <v>1195</v>
      </c>
      <c r="C9452" t="s">
        <v>1195</v>
      </c>
    </row>
    <row r="9453" spans="2:3" x14ac:dyDescent="0.35">
      <c r="B9453" t="s">
        <v>1195</v>
      </c>
      <c r="C9453" t="s">
        <v>1195</v>
      </c>
    </row>
    <row r="9454" spans="2:3" x14ac:dyDescent="0.35">
      <c r="B9454" t="s">
        <v>1195</v>
      </c>
      <c r="C9454" t="s">
        <v>1195</v>
      </c>
    </row>
    <row r="9455" spans="2:3" x14ac:dyDescent="0.35">
      <c r="B9455" t="s">
        <v>1195</v>
      </c>
      <c r="C9455" t="s">
        <v>1195</v>
      </c>
    </row>
    <row r="9456" spans="2:3" x14ac:dyDescent="0.35">
      <c r="B9456" t="s">
        <v>1195</v>
      </c>
      <c r="C9456" t="s">
        <v>1195</v>
      </c>
    </row>
    <row r="9457" spans="2:3" x14ac:dyDescent="0.35">
      <c r="B9457" t="s">
        <v>1195</v>
      </c>
      <c r="C9457" t="s">
        <v>1195</v>
      </c>
    </row>
    <row r="9458" spans="2:3" x14ac:dyDescent="0.35">
      <c r="B9458" t="s">
        <v>1195</v>
      </c>
      <c r="C9458" t="s">
        <v>1195</v>
      </c>
    </row>
    <row r="9459" spans="2:3" x14ac:dyDescent="0.35">
      <c r="B9459" t="s">
        <v>1195</v>
      </c>
      <c r="C9459" t="s">
        <v>1195</v>
      </c>
    </row>
    <row r="9460" spans="2:3" x14ac:dyDescent="0.35">
      <c r="B9460" t="s">
        <v>1195</v>
      </c>
      <c r="C9460" t="s">
        <v>1195</v>
      </c>
    </row>
    <row r="9461" spans="2:3" x14ac:dyDescent="0.35">
      <c r="B9461" t="s">
        <v>1195</v>
      </c>
      <c r="C9461" t="s">
        <v>1195</v>
      </c>
    </row>
    <row r="9462" spans="2:3" x14ac:dyDescent="0.35">
      <c r="B9462" t="s">
        <v>1195</v>
      </c>
      <c r="C9462" t="s">
        <v>1195</v>
      </c>
    </row>
    <row r="9463" spans="2:3" x14ac:dyDescent="0.35">
      <c r="B9463" t="s">
        <v>1195</v>
      </c>
      <c r="C9463" t="s">
        <v>1195</v>
      </c>
    </row>
    <row r="9464" spans="2:3" x14ac:dyDescent="0.35">
      <c r="B9464" t="s">
        <v>1195</v>
      </c>
      <c r="C9464" t="s">
        <v>1195</v>
      </c>
    </row>
    <row r="9465" spans="2:3" x14ac:dyDescent="0.35">
      <c r="B9465" t="s">
        <v>1195</v>
      </c>
      <c r="C9465" t="s">
        <v>1195</v>
      </c>
    </row>
    <row r="9466" spans="2:3" x14ac:dyDescent="0.35">
      <c r="B9466" t="s">
        <v>1195</v>
      </c>
      <c r="C9466" t="s">
        <v>1195</v>
      </c>
    </row>
    <row r="9467" spans="2:3" x14ac:dyDescent="0.35">
      <c r="B9467" t="s">
        <v>1195</v>
      </c>
      <c r="C9467" t="s">
        <v>1195</v>
      </c>
    </row>
    <row r="9468" spans="2:3" x14ac:dyDescent="0.35">
      <c r="B9468" t="s">
        <v>1195</v>
      </c>
      <c r="C9468" t="s">
        <v>1195</v>
      </c>
    </row>
    <row r="9469" spans="2:3" x14ac:dyDescent="0.35">
      <c r="B9469" t="s">
        <v>1195</v>
      </c>
      <c r="C9469" t="s">
        <v>1195</v>
      </c>
    </row>
    <row r="9470" spans="2:3" x14ac:dyDescent="0.35">
      <c r="B9470" t="s">
        <v>1195</v>
      </c>
      <c r="C9470" t="s">
        <v>1195</v>
      </c>
    </row>
    <row r="9471" spans="2:3" x14ac:dyDescent="0.35">
      <c r="B9471" t="s">
        <v>1195</v>
      </c>
      <c r="C9471" t="s">
        <v>1195</v>
      </c>
    </row>
    <row r="9472" spans="2:3" x14ac:dyDescent="0.35">
      <c r="B9472" t="s">
        <v>1195</v>
      </c>
      <c r="C9472" t="s">
        <v>1195</v>
      </c>
    </row>
    <row r="9473" spans="2:3" x14ac:dyDescent="0.35">
      <c r="B9473" t="s">
        <v>1195</v>
      </c>
      <c r="C9473" t="s">
        <v>1195</v>
      </c>
    </row>
    <row r="9474" spans="2:3" x14ac:dyDescent="0.35">
      <c r="B9474" t="s">
        <v>1195</v>
      </c>
      <c r="C9474" t="s">
        <v>1195</v>
      </c>
    </row>
    <row r="9475" spans="2:3" x14ac:dyDescent="0.35">
      <c r="B9475" t="s">
        <v>1195</v>
      </c>
      <c r="C9475" t="s">
        <v>1195</v>
      </c>
    </row>
    <row r="9476" spans="2:3" x14ac:dyDescent="0.35">
      <c r="B9476" t="s">
        <v>1195</v>
      </c>
      <c r="C9476" t="s">
        <v>1195</v>
      </c>
    </row>
    <row r="9477" spans="2:3" x14ac:dyDescent="0.35">
      <c r="B9477" t="s">
        <v>1195</v>
      </c>
      <c r="C9477" t="s">
        <v>1195</v>
      </c>
    </row>
    <row r="9478" spans="2:3" x14ac:dyDescent="0.35">
      <c r="B9478" t="s">
        <v>1195</v>
      </c>
      <c r="C9478" t="s">
        <v>1195</v>
      </c>
    </row>
    <row r="9479" spans="2:3" x14ac:dyDescent="0.35">
      <c r="B9479" t="s">
        <v>1195</v>
      </c>
      <c r="C9479" t="s">
        <v>1195</v>
      </c>
    </row>
    <row r="9480" spans="2:3" x14ac:dyDescent="0.35">
      <c r="B9480" t="s">
        <v>1195</v>
      </c>
      <c r="C9480" t="s">
        <v>1195</v>
      </c>
    </row>
    <row r="9481" spans="2:3" x14ac:dyDescent="0.35">
      <c r="B9481" t="s">
        <v>1195</v>
      </c>
      <c r="C9481" t="s">
        <v>1195</v>
      </c>
    </row>
    <row r="9482" spans="2:3" x14ac:dyDescent="0.35">
      <c r="B9482" t="s">
        <v>1195</v>
      </c>
      <c r="C9482" t="s">
        <v>1195</v>
      </c>
    </row>
    <row r="9483" spans="2:3" x14ac:dyDescent="0.35">
      <c r="B9483" t="s">
        <v>1195</v>
      </c>
      <c r="C9483" t="s">
        <v>1195</v>
      </c>
    </row>
    <row r="9484" spans="2:3" x14ac:dyDescent="0.35">
      <c r="B9484" t="s">
        <v>1195</v>
      </c>
      <c r="C9484" t="s">
        <v>1195</v>
      </c>
    </row>
    <row r="9485" spans="2:3" x14ac:dyDescent="0.35">
      <c r="B9485" t="s">
        <v>1195</v>
      </c>
      <c r="C9485" t="s">
        <v>1195</v>
      </c>
    </row>
    <row r="9486" spans="2:3" x14ac:dyDescent="0.35">
      <c r="B9486" t="s">
        <v>1195</v>
      </c>
      <c r="C9486" t="s">
        <v>1195</v>
      </c>
    </row>
    <row r="9487" spans="2:3" x14ac:dyDescent="0.35">
      <c r="B9487" t="s">
        <v>1195</v>
      </c>
      <c r="C9487" t="s">
        <v>1195</v>
      </c>
    </row>
    <row r="9488" spans="2:3" x14ac:dyDescent="0.35">
      <c r="B9488" t="s">
        <v>1195</v>
      </c>
      <c r="C9488" t="s">
        <v>1195</v>
      </c>
    </row>
    <row r="9489" spans="2:3" x14ac:dyDescent="0.35">
      <c r="B9489" t="s">
        <v>1195</v>
      </c>
      <c r="C9489" t="s">
        <v>1195</v>
      </c>
    </row>
    <row r="9490" spans="2:3" x14ac:dyDescent="0.35">
      <c r="B9490" t="s">
        <v>1195</v>
      </c>
      <c r="C9490" t="s">
        <v>1195</v>
      </c>
    </row>
    <row r="9491" spans="2:3" x14ac:dyDescent="0.35">
      <c r="B9491" t="s">
        <v>1195</v>
      </c>
      <c r="C9491" t="s">
        <v>1195</v>
      </c>
    </row>
    <row r="9492" spans="2:3" x14ac:dyDescent="0.35">
      <c r="B9492" t="s">
        <v>1195</v>
      </c>
      <c r="C9492" t="s">
        <v>1195</v>
      </c>
    </row>
    <row r="9493" spans="2:3" x14ac:dyDescent="0.35">
      <c r="B9493" t="s">
        <v>1195</v>
      </c>
      <c r="C9493" t="s">
        <v>1195</v>
      </c>
    </row>
    <row r="9494" spans="2:3" x14ac:dyDescent="0.35">
      <c r="B9494" t="s">
        <v>1195</v>
      </c>
      <c r="C9494" t="s">
        <v>1195</v>
      </c>
    </row>
    <row r="9495" spans="2:3" x14ac:dyDescent="0.35">
      <c r="B9495" t="s">
        <v>1195</v>
      </c>
      <c r="C9495" t="s">
        <v>1195</v>
      </c>
    </row>
    <row r="9496" spans="2:3" x14ac:dyDescent="0.35">
      <c r="B9496" t="s">
        <v>1195</v>
      </c>
      <c r="C9496" t="s">
        <v>1195</v>
      </c>
    </row>
    <row r="9497" spans="2:3" x14ac:dyDescent="0.35">
      <c r="B9497" t="s">
        <v>1195</v>
      </c>
      <c r="C9497" t="s">
        <v>1195</v>
      </c>
    </row>
    <row r="9498" spans="2:3" x14ac:dyDescent="0.35">
      <c r="B9498" t="s">
        <v>1195</v>
      </c>
      <c r="C9498" t="s">
        <v>1195</v>
      </c>
    </row>
    <row r="9499" spans="2:3" x14ac:dyDescent="0.35">
      <c r="B9499" t="s">
        <v>1195</v>
      </c>
      <c r="C9499" t="s">
        <v>1195</v>
      </c>
    </row>
    <row r="9500" spans="2:3" x14ac:dyDescent="0.35">
      <c r="B9500" t="s">
        <v>1195</v>
      </c>
      <c r="C9500" t="s">
        <v>1195</v>
      </c>
    </row>
    <row r="9501" spans="2:3" x14ac:dyDescent="0.35">
      <c r="B9501" t="s">
        <v>1195</v>
      </c>
      <c r="C9501" t="s">
        <v>1195</v>
      </c>
    </row>
    <row r="9502" spans="2:3" x14ac:dyDescent="0.35">
      <c r="B9502" t="s">
        <v>1195</v>
      </c>
      <c r="C9502" t="s">
        <v>1195</v>
      </c>
    </row>
    <row r="9503" spans="2:3" x14ac:dyDescent="0.35">
      <c r="B9503" t="s">
        <v>1195</v>
      </c>
      <c r="C9503" t="s">
        <v>1195</v>
      </c>
    </row>
    <row r="9504" spans="2:3" x14ac:dyDescent="0.35">
      <c r="B9504" t="s">
        <v>1195</v>
      </c>
      <c r="C9504" t="s">
        <v>1195</v>
      </c>
    </row>
    <row r="9505" spans="2:3" x14ac:dyDescent="0.35">
      <c r="B9505" t="s">
        <v>1195</v>
      </c>
      <c r="C9505" t="s">
        <v>1195</v>
      </c>
    </row>
    <row r="9506" spans="2:3" x14ac:dyDescent="0.35">
      <c r="B9506" t="s">
        <v>1195</v>
      </c>
      <c r="C9506" t="s">
        <v>1195</v>
      </c>
    </row>
    <row r="9507" spans="2:3" x14ac:dyDescent="0.35">
      <c r="B9507" t="s">
        <v>1195</v>
      </c>
      <c r="C9507" t="s">
        <v>1195</v>
      </c>
    </row>
    <row r="9508" spans="2:3" x14ac:dyDescent="0.35">
      <c r="B9508" t="s">
        <v>1195</v>
      </c>
      <c r="C9508" t="s">
        <v>1195</v>
      </c>
    </row>
    <row r="9509" spans="2:3" x14ac:dyDescent="0.35">
      <c r="B9509" t="s">
        <v>1195</v>
      </c>
      <c r="C9509" t="s">
        <v>1195</v>
      </c>
    </row>
    <row r="9510" spans="2:3" x14ac:dyDescent="0.35">
      <c r="B9510" t="s">
        <v>1195</v>
      </c>
      <c r="C9510" t="s">
        <v>1195</v>
      </c>
    </row>
    <row r="9511" spans="2:3" x14ac:dyDescent="0.35">
      <c r="B9511" t="s">
        <v>1195</v>
      </c>
      <c r="C9511" t="s">
        <v>1195</v>
      </c>
    </row>
    <row r="9512" spans="2:3" x14ac:dyDescent="0.35">
      <c r="B9512" t="s">
        <v>1195</v>
      </c>
      <c r="C9512" t="s">
        <v>1195</v>
      </c>
    </row>
    <row r="9513" spans="2:3" x14ac:dyDescent="0.35">
      <c r="B9513" t="s">
        <v>1195</v>
      </c>
      <c r="C9513" t="s">
        <v>1195</v>
      </c>
    </row>
    <row r="9514" spans="2:3" x14ac:dyDescent="0.35">
      <c r="B9514" t="s">
        <v>1195</v>
      </c>
      <c r="C9514" t="s">
        <v>1195</v>
      </c>
    </row>
    <row r="9515" spans="2:3" x14ac:dyDescent="0.35">
      <c r="B9515" t="s">
        <v>1195</v>
      </c>
      <c r="C9515" t="s">
        <v>1195</v>
      </c>
    </row>
    <row r="9516" spans="2:3" x14ac:dyDescent="0.35">
      <c r="B9516" t="s">
        <v>1195</v>
      </c>
      <c r="C9516" t="s">
        <v>1195</v>
      </c>
    </row>
    <row r="9517" spans="2:3" x14ac:dyDescent="0.35">
      <c r="B9517" t="s">
        <v>1195</v>
      </c>
      <c r="C9517" t="s">
        <v>1195</v>
      </c>
    </row>
    <row r="9518" spans="2:3" x14ac:dyDescent="0.35">
      <c r="B9518" t="s">
        <v>1195</v>
      </c>
      <c r="C9518" t="s">
        <v>1195</v>
      </c>
    </row>
    <row r="9519" spans="2:3" x14ac:dyDescent="0.35">
      <c r="B9519" t="s">
        <v>1195</v>
      </c>
      <c r="C9519" t="s">
        <v>1195</v>
      </c>
    </row>
    <row r="9520" spans="2:3" x14ac:dyDescent="0.35">
      <c r="B9520" t="s">
        <v>1195</v>
      </c>
      <c r="C9520" t="s">
        <v>1195</v>
      </c>
    </row>
    <row r="9521" spans="2:3" x14ac:dyDescent="0.35">
      <c r="B9521" t="s">
        <v>1195</v>
      </c>
      <c r="C9521" t="s">
        <v>1195</v>
      </c>
    </row>
    <row r="9522" spans="2:3" x14ac:dyDescent="0.35">
      <c r="B9522" t="s">
        <v>1195</v>
      </c>
      <c r="C9522" t="s">
        <v>1195</v>
      </c>
    </row>
    <row r="9523" spans="2:3" x14ac:dyDescent="0.35">
      <c r="B9523" t="s">
        <v>1195</v>
      </c>
      <c r="C9523" t="s">
        <v>1195</v>
      </c>
    </row>
    <row r="9524" spans="2:3" x14ac:dyDescent="0.35">
      <c r="B9524" t="s">
        <v>1195</v>
      </c>
      <c r="C9524" t="s">
        <v>1195</v>
      </c>
    </row>
    <row r="9525" spans="2:3" x14ac:dyDescent="0.35">
      <c r="B9525" t="s">
        <v>1195</v>
      </c>
      <c r="C9525" t="s">
        <v>1195</v>
      </c>
    </row>
    <row r="9526" spans="2:3" x14ac:dyDescent="0.35">
      <c r="B9526" t="s">
        <v>1195</v>
      </c>
      <c r="C9526" t="s">
        <v>1195</v>
      </c>
    </row>
    <row r="9527" spans="2:3" x14ac:dyDescent="0.35">
      <c r="B9527" t="s">
        <v>1195</v>
      </c>
      <c r="C9527" t="s">
        <v>1195</v>
      </c>
    </row>
    <row r="9528" spans="2:3" x14ac:dyDescent="0.35">
      <c r="B9528" t="s">
        <v>1195</v>
      </c>
      <c r="C9528" t="s">
        <v>1195</v>
      </c>
    </row>
    <row r="9529" spans="2:3" x14ac:dyDescent="0.35">
      <c r="B9529" t="s">
        <v>1195</v>
      </c>
      <c r="C9529" t="s">
        <v>1195</v>
      </c>
    </row>
    <row r="9530" spans="2:3" x14ac:dyDescent="0.35">
      <c r="B9530" t="s">
        <v>1195</v>
      </c>
      <c r="C9530" t="s">
        <v>1195</v>
      </c>
    </row>
    <row r="9531" spans="2:3" x14ac:dyDescent="0.35">
      <c r="B9531" t="s">
        <v>1195</v>
      </c>
      <c r="C9531" t="s">
        <v>1195</v>
      </c>
    </row>
    <row r="9532" spans="2:3" x14ac:dyDescent="0.35">
      <c r="B9532" t="s">
        <v>1195</v>
      </c>
      <c r="C9532" t="s">
        <v>1195</v>
      </c>
    </row>
    <row r="9533" spans="2:3" x14ac:dyDescent="0.35">
      <c r="B9533" t="s">
        <v>1195</v>
      </c>
      <c r="C9533" t="s">
        <v>1195</v>
      </c>
    </row>
    <row r="9534" spans="2:3" x14ac:dyDescent="0.35">
      <c r="B9534" t="s">
        <v>1195</v>
      </c>
      <c r="C9534" t="s">
        <v>1195</v>
      </c>
    </row>
    <row r="9535" spans="2:3" x14ac:dyDescent="0.35">
      <c r="B9535" t="s">
        <v>1195</v>
      </c>
      <c r="C9535" t="s">
        <v>1195</v>
      </c>
    </row>
    <row r="9536" spans="2:3" x14ac:dyDescent="0.35">
      <c r="B9536" t="s">
        <v>1195</v>
      </c>
      <c r="C9536" t="s">
        <v>1195</v>
      </c>
    </row>
    <row r="9537" spans="2:3" x14ac:dyDescent="0.35">
      <c r="B9537" t="s">
        <v>1195</v>
      </c>
      <c r="C9537" t="s">
        <v>1195</v>
      </c>
    </row>
    <row r="9538" spans="2:3" x14ac:dyDescent="0.35">
      <c r="B9538" t="s">
        <v>1195</v>
      </c>
      <c r="C9538" t="s">
        <v>1195</v>
      </c>
    </row>
    <row r="9539" spans="2:3" x14ac:dyDescent="0.35">
      <c r="B9539" t="s">
        <v>1195</v>
      </c>
      <c r="C9539" t="s">
        <v>1195</v>
      </c>
    </row>
    <row r="9540" spans="2:3" x14ac:dyDescent="0.35">
      <c r="B9540" t="s">
        <v>1195</v>
      </c>
      <c r="C9540" t="s">
        <v>1195</v>
      </c>
    </row>
    <row r="9541" spans="2:3" x14ac:dyDescent="0.35">
      <c r="B9541" t="s">
        <v>1195</v>
      </c>
      <c r="C9541" t="s">
        <v>1195</v>
      </c>
    </row>
    <row r="9542" spans="2:3" x14ac:dyDescent="0.35">
      <c r="B9542" t="s">
        <v>1195</v>
      </c>
      <c r="C9542" t="s">
        <v>1195</v>
      </c>
    </row>
    <row r="9543" spans="2:3" x14ac:dyDescent="0.35">
      <c r="B9543" t="s">
        <v>1195</v>
      </c>
      <c r="C9543" t="s">
        <v>1195</v>
      </c>
    </row>
    <row r="9544" spans="2:3" x14ac:dyDescent="0.35">
      <c r="B9544" t="s">
        <v>1195</v>
      </c>
      <c r="C9544" t="s">
        <v>1195</v>
      </c>
    </row>
    <row r="9545" spans="2:3" x14ac:dyDescent="0.35">
      <c r="B9545" t="s">
        <v>1195</v>
      </c>
      <c r="C9545" t="s">
        <v>1195</v>
      </c>
    </row>
    <row r="9546" spans="2:3" x14ac:dyDescent="0.35">
      <c r="B9546" t="s">
        <v>1195</v>
      </c>
      <c r="C9546" t="s">
        <v>1195</v>
      </c>
    </row>
    <row r="9547" spans="2:3" x14ac:dyDescent="0.35">
      <c r="B9547" t="s">
        <v>1195</v>
      </c>
      <c r="C9547" t="s">
        <v>1195</v>
      </c>
    </row>
    <row r="9548" spans="2:3" x14ac:dyDescent="0.35">
      <c r="B9548" t="s">
        <v>1195</v>
      </c>
      <c r="C9548" t="s">
        <v>1195</v>
      </c>
    </row>
    <row r="9549" spans="2:3" x14ac:dyDescent="0.35">
      <c r="B9549" t="s">
        <v>1195</v>
      </c>
      <c r="C9549" t="s">
        <v>1195</v>
      </c>
    </row>
    <row r="9550" spans="2:3" x14ac:dyDescent="0.35">
      <c r="B9550" t="s">
        <v>1195</v>
      </c>
      <c r="C9550" t="s">
        <v>1195</v>
      </c>
    </row>
    <row r="9551" spans="2:3" x14ac:dyDescent="0.35">
      <c r="B9551" t="s">
        <v>1195</v>
      </c>
      <c r="C9551" t="s">
        <v>1195</v>
      </c>
    </row>
    <row r="9552" spans="2:3" x14ac:dyDescent="0.35">
      <c r="B9552" t="s">
        <v>1195</v>
      </c>
      <c r="C9552" t="s">
        <v>1195</v>
      </c>
    </row>
    <row r="9553" spans="2:3" x14ac:dyDescent="0.35">
      <c r="B9553" t="s">
        <v>1195</v>
      </c>
      <c r="C9553" t="s">
        <v>1195</v>
      </c>
    </row>
    <row r="9554" spans="2:3" x14ac:dyDescent="0.35">
      <c r="B9554" t="s">
        <v>1195</v>
      </c>
      <c r="C9554" t="s">
        <v>1195</v>
      </c>
    </row>
    <row r="9555" spans="2:3" x14ac:dyDescent="0.35">
      <c r="B9555" t="s">
        <v>1195</v>
      </c>
      <c r="C9555" t="s">
        <v>1195</v>
      </c>
    </row>
    <row r="9556" spans="2:3" x14ac:dyDescent="0.35">
      <c r="B9556" t="s">
        <v>1195</v>
      </c>
      <c r="C9556" t="s">
        <v>1195</v>
      </c>
    </row>
    <row r="9557" spans="2:3" x14ac:dyDescent="0.35">
      <c r="B9557" t="s">
        <v>105</v>
      </c>
      <c r="C9557" t="s">
        <v>106</v>
      </c>
    </row>
    <row r="9558" spans="2:3" x14ac:dyDescent="0.35">
      <c r="B9558" t="s">
        <v>1195</v>
      </c>
      <c r="C9558" t="s">
        <v>1195</v>
      </c>
    </row>
    <row r="9559" spans="2:3" x14ac:dyDescent="0.35">
      <c r="B9559" t="s">
        <v>1195</v>
      </c>
      <c r="C9559" t="s">
        <v>1195</v>
      </c>
    </row>
    <row r="9560" spans="2:3" x14ac:dyDescent="0.35">
      <c r="B9560" t="s">
        <v>1195</v>
      </c>
      <c r="C9560" t="s">
        <v>1195</v>
      </c>
    </row>
    <row r="9561" spans="2:3" x14ac:dyDescent="0.35">
      <c r="B9561" t="s">
        <v>1195</v>
      </c>
      <c r="C9561" t="s">
        <v>1195</v>
      </c>
    </row>
    <row r="9562" spans="2:3" x14ac:dyDescent="0.35">
      <c r="B9562" t="s">
        <v>1195</v>
      </c>
      <c r="C9562" t="s">
        <v>1195</v>
      </c>
    </row>
    <row r="9563" spans="2:3" x14ac:dyDescent="0.35">
      <c r="B9563" t="s">
        <v>1195</v>
      </c>
      <c r="C9563" t="s">
        <v>1195</v>
      </c>
    </row>
    <row r="9564" spans="2:3" x14ac:dyDescent="0.35">
      <c r="B9564" t="s">
        <v>1195</v>
      </c>
      <c r="C9564" t="s">
        <v>1195</v>
      </c>
    </row>
    <row r="9565" spans="2:3" x14ac:dyDescent="0.35">
      <c r="B9565" t="s">
        <v>1195</v>
      </c>
      <c r="C9565" t="s">
        <v>1195</v>
      </c>
    </row>
    <row r="9566" spans="2:3" x14ac:dyDescent="0.35">
      <c r="B9566" t="s">
        <v>1195</v>
      </c>
      <c r="C9566" t="s">
        <v>1195</v>
      </c>
    </row>
    <row r="9567" spans="2:3" x14ac:dyDescent="0.35">
      <c r="B9567" t="s">
        <v>1195</v>
      </c>
      <c r="C9567" t="s">
        <v>1195</v>
      </c>
    </row>
    <row r="9568" spans="2:3" x14ac:dyDescent="0.35">
      <c r="B9568" t="s">
        <v>1195</v>
      </c>
      <c r="C9568" t="s">
        <v>1195</v>
      </c>
    </row>
    <row r="9569" spans="2:3" x14ac:dyDescent="0.35">
      <c r="B9569" t="s">
        <v>1195</v>
      </c>
      <c r="C9569" t="s">
        <v>1195</v>
      </c>
    </row>
    <row r="9570" spans="2:3" x14ac:dyDescent="0.35">
      <c r="B9570" t="s">
        <v>1195</v>
      </c>
      <c r="C9570" t="s">
        <v>1195</v>
      </c>
    </row>
    <row r="9571" spans="2:3" x14ac:dyDescent="0.35">
      <c r="B9571" t="s">
        <v>1195</v>
      </c>
      <c r="C9571" t="s">
        <v>1195</v>
      </c>
    </row>
    <row r="9572" spans="2:3" x14ac:dyDescent="0.35">
      <c r="B9572" t="s">
        <v>1195</v>
      </c>
      <c r="C9572" t="s">
        <v>1195</v>
      </c>
    </row>
    <row r="9573" spans="2:3" x14ac:dyDescent="0.35">
      <c r="B9573" t="s">
        <v>1195</v>
      </c>
      <c r="C9573" t="s">
        <v>1195</v>
      </c>
    </row>
    <row r="9574" spans="2:3" x14ac:dyDescent="0.35">
      <c r="B9574" t="s">
        <v>1195</v>
      </c>
      <c r="C9574" t="s">
        <v>1195</v>
      </c>
    </row>
    <row r="9575" spans="2:3" x14ac:dyDescent="0.35">
      <c r="B9575" t="s">
        <v>1195</v>
      </c>
      <c r="C9575" t="s">
        <v>1195</v>
      </c>
    </row>
    <row r="9576" spans="2:3" x14ac:dyDescent="0.35">
      <c r="B9576" t="s">
        <v>1195</v>
      </c>
      <c r="C9576" t="s">
        <v>1195</v>
      </c>
    </row>
    <row r="9577" spans="2:3" x14ac:dyDescent="0.35">
      <c r="B9577" t="s">
        <v>1195</v>
      </c>
      <c r="C9577" t="s">
        <v>1195</v>
      </c>
    </row>
    <row r="9578" spans="2:3" x14ac:dyDescent="0.35">
      <c r="B9578" t="s">
        <v>1195</v>
      </c>
      <c r="C9578" t="s">
        <v>1195</v>
      </c>
    </row>
    <row r="9579" spans="2:3" x14ac:dyDescent="0.35">
      <c r="B9579" t="s">
        <v>1195</v>
      </c>
      <c r="C9579" t="s">
        <v>1195</v>
      </c>
    </row>
    <row r="9580" spans="2:3" x14ac:dyDescent="0.35">
      <c r="B9580" t="s">
        <v>1195</v>
      </c>
      <c r="C9580" t="s">
        <v>1195</v>
      </c>
    </row>
    <row r="9581" spans="2:3" x14ac:dyDescent="0.35">
      <c r="B9581" t="s">
        <v>1195</v>
      </c>
      <c r="C9581" t="s">
        <v>1195</v>
      </c>
    </row>
    <row r="9582" spans="2:3" x14ac:dyDescent="0.35">
      <c r="B9582" t="s">
        <v>1195</v>
      </c>
      <c r="C9582" t="s">
        <v>1195</v>
      </c>
    </row>
    <row r="9583" spans="2:3" x14ac:dyDescent="0.35">
      <c r="B9583" t="s">
        <v>1195</v>
      </c>
      <c r="C9583" t="s">
        <v>1195</v>
      </c>
    </row>
    <row r="9584" spans="2:3" x14ac:dyDescent="0.35">
      <c r="B9584" t="s">
        <v>1195</v>
      </c>
      <c r="C9584" t="s">
        <v>1195</v>
      </c>
    </row>
    <row r="9585" spans="2:3" x14ac:dyDescent="0.35">
      <c r="B9585" t="s">
        <v>1195</v>
      </c>
      <c r="C9585" t="s">
        <v>1195</v>
      </c>
    </row>
    <row r="9586" spans="2:3" x14ac:dyDescent="0.35">
      <c r="B9586" t="s">
        <v>1195</v>
      </c>
      <c r="C9586" t="s">
        <v>1195</v>
      </c>
    </row>
    <row r="9587" spans="2:3" x14ac:dyDescent="0.35">
      <c r="B9587" t="s">
        <v>1195</v>
      </c>
      <c r="C9587" t="s">
        <v>1195</v>
      </c>
    </row>
    <row r="9588" spans="2:3" x14ac:dyDescent="0.35">
      <c r="B9588" t="s">
        <v>1195</v>
      </c>
      <c r="C9588" t="s">
        <v>1195</v>
      </c>
    </row>
    <row r="9589" spans="2:3" x14ac:dyDescent="0.35">
      <c r="B9589" t="s">
        <v>1195</v>
      </c>
      <c r="C9589" t="s">
        <v>1195</v>
      </c>
    </row>
    <row r="9590" spans="2:3" x14ac:dyDescent="0.35">
      <c r="B9590" t="s">
        <v>1195</v>
      </c>
      <c r="C9590" t="s">
        <v>1195</v>
      </c>
    </row>
    <row r="9591" spans="2:3" x14ac:dyDescent="0.35">
      <c r="B9591" t="s">
        <v>1195</v>
      </c>
      <c r="C9591" t="s">
        <v>1195</v>
      </c>
    </row>
    <row r="9592" spans="2:3" x14ac:dyDescent="0.35">
      <c r="B9592" t="s">
        <v>1195</v>
      </c>
      <c r="C9592" t="s">
        <v>1195</v>
      </c>
    </row>
    <row r="9593" spans="2:3" x14ac:dyDescent="0.35">
      <c r="B9593" t="s">
        <v>1195</v>
      </c>
      <c r="C9593" t="s">
        <v>1195</v>
      </c>
    </row>
    <row r="9594" spans="2:3" x14ac:dyDescent="0.35">
      <c r="B9594" t="s">
        <v>1195</v>
      </c>
      <c r="C9594" t="s">
        <v>1195</v>
      </c>
    </row>
    <row r="9595" spans="2:3" x14ac:dyDescent="0.35">
      <c r="B9595" t="s">
        <v>1195</v>
      </c>
      <c r="C9595" t="s">
        <v>1195</v>
      </c>
    </row>
    <row r="9596" spans="2:3" x14ac:dyDescent="0.35">
      <c r="B9596" t="s">
        <v>1195</v>
      </c>
      <c r="C9596" t="s">
        <v>1195</v>
      </c>
    </row>
    <row r="9597" spans="2:3" x14ac:dyDescent="0.35">
      <c r="B9597" t="s">
        <v>1195</v>
      </c>
      <c r="C9597" t="s">
        <v>1195</v>
      </c>
    </row>
    <row r="9598" spans="2:3" x14ac:dyDescent="0.35">
      <c r="B9598" t="s">
        <v>1195</v>
      </c>
      <c r="C9598" t="s">
        <v>1195</v>
      </c>
    </row>
    <row r="9599" spans="2:3" x14ac:dyDescent="0.35">
      <c r="B9599" t="s">
        <v>1195</v>
      </c>
      <c r="C9599" t="s">
        <v>1195</v>
      </c>
    </row>
    <row r="9600" spans="2:3" x14ac:dyDescent="0.35">
      <c r="B9600" t="s">
        <v>1195</v>
      </c>
      <c r="C9600" t="s">
        <v>1195</v>
      </c>
    </row>
    <row r="9601" spans="2:3" x14ac:dyDescent="0.35">
      <c r="B9601" t="s">
        <v>1195</v>
      </c>
      <c r="C9601" t="s">
        <v>1195</v>
      </c>
    </row>
    <row r="9602" spans="2:3" x14ac:dyDescent="0.35">
      <c r="B9602" t="s">
        <v>1195</v>
      </c>
      <c r="C9602" t="s">
        <v>1195</v>
      </c>
    </row>
    <row r="9603" spans="2:3" x14ac:dyDescent="0.35">
      <c r="B9603" t="s">
        <v>1195</v>
      </c>
      <c r="C9603" t="s">
        <v>1195</v>
      </c>
    </row>
    <row r="9604" spans="2:3" x14ac:dyDescent="0.35">
      <c r="B9604" t="s">
        <v>1195</v>
      </c>
      <c r="C9604" t="s">
        <v>1195</v>
      </c>
    </row>
    <row r="9605" spans="2:3" x14ac:dyDescent="0.35">
      <c r="B9605" t="s">
        <v>1195</v>
      </c>
      <c r="C9605" t="s">
        <v>1195</v>
      </c>
    </row>
    <row r="9606" spans="2:3" x14ac:dyDescent="0.35">
      <c r="B9606" t="s">
        <v>1195</v>
      </c>
      <c r="C9606" t="s">
        <v>1195</v>
      </c>
    </row>
    <row r="9607" spans="2:3" x14ac:dyDescent="0.35">
      <c r="B9607" t="s">
        <v>1195</v>
      </c>
      <c r="C9607" t="s">
        <v>1195</v>
      </c>
    </row>
    <row r="9608" spans="2:3" x14ac:dyDescent="0.35">
      <c r="B9608" t="s">
        <v>1195</v>
      </c>
      <c r="C9608" t="s">
        <v>1195</v>
      </c>
    </row>
    <row r="9609" spans="2:3" x14ac:dyDescent="0.35">
      <c r="B9609" t="s">
        <v>1195</v>
      </c>
      <c r="C9609" t="s">
        <v>1195</v>
      </c>
    </row>
    <row r="9610" spans="2:3" x14ac:dyDescent="0.35">
      <c r="B9610" t="s">
        <v>1195</v>
      </c>
      <c r="C9610" t="s">
        <v>1195</v>
      </c>
    </row>
    <row r="9611" spans="2:3" x14ac:dyDescent="0.35">
      <c r="B9611" t="s">
        <v>1195</v>
      </c>
      <c r="C9611" t="s">
        <v>1195</v>
      </c>
    </row>
    <row r="9612" spans="2:3" x14ac:dyDescent="0.35">
      <c r="B9612" t="s">
        <v>1195</v>
      </c>
      <c r="C9612" t="s">
        <v>1195</v>
      </c>
    </row>
    <row r="9613" spans="2:3" x14ac:dyDescent="0.35">
      <c r="B9613" t="s">
        <v>1195</v>
      </c>
      <c r="C9613" t="s">
        <v>1195</v>
      </c>
    </row>
    <row r="9614" spans="2:3" x14ac:dyDescent="0.35">
      <c r="B9614" t="s">
        <v>1195</v>
      </c>
      <c r="C9614" t="s">
        <v>1195</v>
      </c>
    </row>
    <row r="9615" spans="2:3" x14ac:dyDescent="0.35">
      <c r="B9615" t="s">
        <v>1195</v>
      </c>
      <c r="C9615" t="s">
        <v>1195</v>
      </c>
    </row>
    <row r="9616" spans="2:3" x14ac:dyDescent="0.35">
      <c r="B9616" t="s">
        <v>1195</v>
      </c>
      <c r="C9616" t="s">
        <v>1195</v>
      </c>
    </row>
    <row r="9617" spans="2:3" x14ac:dyDescent="0.35">
      <c r="B9617" t="s">
        <v>1195</v>
      </c>
      <c r="C9617" t="s">
        <v>1195</v>
      </c>
    </row>
    <row r="9618" spans="2:3" x14ac:dyDescent="0.35">
      <c r="B9618" t="s">
        <v>1195</v>
      </c>
      <c r="C9618" t="s">
        <v>1195</v>
      </c>
    </row>
    <row r="9619" spans="2:3" x14ac:dyDescent="0.35">
      <c r="B9619" t="s">
        <v>1195</v>
      </c>
      <c r="C9619" t="s">
        <v>1195</v>
      </c>
    </row>
    <row r="9620" spans="2:3" x14ac:dyDescent="0.35">
      <c r="B9620" t="s">
        <v>1195</v>
      </c>
      <c r="C9620" t="s">
        <v>1195</v>
      </c>
    </row>
    <row r="9621" spans="2:3" x14ac:dyDescent="0.35">
      <c r="B9621" t="s">
        <v>1195</v>
      </c>
      <c r="C9621" t="s">
        <v>1195</v>
      </c>
    </row>
    <row r="9622" spans="2:3" x14ac:dyDescent="0.35">
      <c r="B9622" t="s">
        <v>1195</v>
      </c>
      <c r="C9622" t="s">
        <v>1195</v>
      </c>
    </row>
    <row r="9623" spans="2:3" x14ac:dyDescent="0.35">
      <c r="B9623" t="s">
        <v>1195</v>
      </c>
      <c r="C9623" t="s">
        <v>1195</v>
      </c>
    </row>
    <row r="9624" spans="2:3" x14ac:dyDescent="0.35">
      <c r="B9624" t="s">
        <v>1195</v>
      </c>
      <c r="C9624" t="s">
        <v>1195</v>
      </c>
    </row>
    <row r="9625" spans="2:3" x14ac:dyDescent="0.35">
      <c r="B9625" t="s">
        <v>1195</v>
      </c>
      <c r="C9625" t="s">
        <v>1195</v>
      </c>
    </row>
    <row r="9626" spans="2:3" x14ac:dyDescent="0.35">
      <c r="B9626" t="s">
        <v>1195</v>
      </c>
      <c r="C9626" t="s">
        <v>1195</v>
      </c>
    </row>
    <row r="9627" spans="2:3" x14ac:dyDescent="0.35">
      <c r="B9627" t="s">
        <v>1195</v>
      </c>
      <c r="C9627" t="s">
        <v>1195</v>
      </c>
    </row>
    <row r="9628" spans="2:3" x14ac:dyDescent="0.35">
      <c r="B9628" t="s">
        <v>1195</v>
      </c>
      <c r="C9628" t="s">
        <v>1195</v>
      </c>
    </row>
    <row r="9629" spans="2:3" x14ac:dyDescent="0.35">
      <c r="B9629" t="s">
        <v>1195</v>
      </c>
      <c r="C9629" t="s">
        <v>1195</v>
      </c>
    </row>
    <row r="9630" spans="2:3" x14ac:dyDescent="0.35">
      <c r="B9630" t="s">
        <v>1195</v>
      </c>
      <c r="C9630" t="s">
        <v>1195</v>
      </c>
    </row>
    <row r="9631" spans="2:3" x14ac:dyDescent="0.35">
      <c r="B9631" t="s">
        <v>1195</v>
      </c>
      <c r="C9631" t="s">
        <v>1195</v>
      </c>
    </row>
    <row r="9632" spans="2:3" x14ac:dyDescent="0.35">
      <c r="B9632" t="s">
        <v>1195</v>
      </c>
      <c r="C9632" t="s">
        <v>1195</v>
      </c>
    </row>
    <row r="9633" spans="2:3" x14ac:dyDescent="0.35">
      <c r="B9633" t="s">
        <v>1195</v>
      </c>
      <c r="C9633" t="s">
        <v>1195</v>
      </c>
    </row>
    <row r="9634" spans="2:3" x14ac:dyDescent="0.35">
      <c r="B9634" t="s">
        <v>1195</v>
      </c>
      <c r="C9634" t="s">
        <v>1195</v>
      </c>
    </row>
    <row r="9635" spans="2:3" x14ac:dyDescent="0.35">
      <c r="B9635" t="s">
        <v>1195</v>
      </c>
      <c r="C9635" t="s">
        <v>1195</v>
      </c>
    </row>
    <row r="9636" spans="2:3" x14ac:dyDescent="0.35">
      <c r="B9636" t="s">
        <v>1195</v>
      </c>
      <c r="C9636" t="s">
        <v>1195</v>
      </c>
    </row>
    <row r="9637" spans="2:3" x14ac:dyDescent="0.35">
      <c r="B9637" t="s">
        <v>1195</v>
      </c>
      <c r="C9637" t="s">
        <v>1195</v>
      </c>
    </row>
    <row r="9638" spans="2:3" x14ac:dyDescent="0.35">
      <c r="B9638" t="s">
        <v>1195</v>
      </c>
      <c r="C9638" t="s">
        <v>1195</v>
      </c>
    </row>
    <row r="9639" spans="2:3" x14ac:dyDescent="0.35">
      <c r="B9639" t="s">
        <v>1195</v>
      </c>
      <c r="C9639" t="s">
        <v>1195</v>
      </c>
    </row>
    <row r="9640" spans="2:3" x14ac:dyDescent="0.35">
      <c r="B9640" t="s">
        <v>1195</v>
      </c>
      <c r="C9640" t="s">
        <v>1195</v>
      </c>
    </row>
    <row r="9641" spans="2:3" x14ac:dyDescent="0.35">
      <c r="B9641" t="s">
        <v>1195</v>
      </c>
      <c r="C9641" t="s">
        <v>1195</v>
      </c>
    </row>
    <row r="9642" spans="2:3" x14ac:dyDescent="0.35">
      <c r="B9642" t="s">
        <v>1195</v>
      </c>
      <c r="C9642" t="s">
        <v>1195</v>
      </c>
    </row>
    <row r="9643" spans="2:3" x14ac:dyDescent="0.35">
      <c r="B9643" t="s">
        <v>1195</v>
      </c>
      <c r="C9643" t="s">
        <v>1195</v>
      </c>
    </row>
    <row r="9644" spans="2:3" x14ac:dyDescent="0.35">
      <c r="B9644" t="s">
        <v>1195</v>
      </c>
      <c r="C9644" t="s">
        <v>1195</v>
      </c>
    </row>
    <row r="9645" spans="2:3" x14ac:dyDescent="0.35">
      <c r="B9645" t="s">
        <v>1195</v>
      </c>
      <c r="C9645" t="s">
        <v>1195</v>
      </c>
    </row>
    <row r="9646" spans="2:3" x14ac:dyDescent="0.35">
      <c r="B9646" t="s">
        <v>1195</v>
      </c>
      <c r="C9646" t="s">
        <v>1195</v>
      </c>
    </row>
    <row r="9647" spans="2:3" x14ac:dyDescent="0.35">
      <c r="B9647" t="s">
        <v>1195</v>
      </c>
      <c r="C9647" t="s">
        <v>1195</v>
      </c>
    </row>
    <row r="9648" spans="2:3" x14ac:dyDescent="0.35">
      <c r="B9648" t="s">
        <v>1195</v>
      </c>
      <c r="C9648" t="s">
        <v>1195</v>
      </c>
    </row>
    <row r="9649" spans="2:3" x14ac:dyDescent="0.35">
      <c r="B9649" t="s">
        <v>1195</v>
      </c>
      <c r="C9649" t="s">
        <v>1195</v>
      </c>
    </row>
    <row r="9650" spans="2:3" x14ac:dyDescent="0.35">
      <c r="B9650" t="s">
        <v>1195</v>
      </c>
      <c r="C9650" t="s">
        <v>1195</v>
      </c>
    </row>
    <row r="9651" spans="2:3" x14ac:dyDescent="0.35">
      <c r="B9651" t="s">
        <v>1195</v>
      </c>
      <c r="C9651" t="s">
        <v>1195</v>
      </c>
    </row>
    <row r="9652" spans="2:3" x14ac:dyDescent="0.35">
      <c r="B9652" t="s">
        <v>1195</v>
      </c>
      <c r="C9652" t="s">
        <v>1195</v>
      </c>
    </row>
    <row r="9653" spans="2:3" x14ac:dyDescent="0.35">
      <c r="B9653" t="s">
        <v>1195</v>
      </c>
      <c r="C9653" t="s">
        <v>1195</v>
      </c>
    </row>
    <row r="9654" spans="2:3" x14ac:dyDescent="0.35">
      <c r="B9654" t="s">
        <v>1195</v>
      </c>
      <c r="C9654" t="s">
        <v>1195</v>
      </c>
    </row>
    <row r="9655" spans="2:3" x14ac:dyDescent="0.35">
      <c r="B9655" t="s">
        <v>1195</v>
      </c>
      <c r="C9655" t="s">
        <v>1195</v>
      </c>
    </row>
    <row r="9656" spans="2:3" x14ac:dyDescent="0.35">
      <c r="B9656" t="s">
        <v>1195</v>
      </c>
      <c r="C9656" t="s">
        <v>1195</v>
      </c>
    </row>
    <row r="9657" spans="2:3" x14ac:dyDescent="0.35">
      <c r="B9657" t="s">
        <v>1195</v>
      </c>
      <c r="C9657" t="s">
        <v>1195</v>
      </c>
    </row>
    <row r="9658" spans="2:3" x14ac:dyDescent="0.35">
      <c r="B9658" t="s">
        <v>1195</v>
      </c>
      <c r="C9658" t="s">
        <v>1195</v>
      </c>
    </row>
    <row r="9659" spans="2:3" x14ac:dyDescent="0.35">
      <c r="B9659" t="s">
        <v>1195</v>
      </c>
      <c r="C9659" t="s">
        <v>1195</v>
      </c>
    </row>
    <row r="9660" spans="2:3" x14ac:dyDescent="0.35">
      <c r="B9660" t="s">
        <v>1195</v>
      </c>
      <c r="C9660" t="s">
        <v>1195</v>
      </c>
    </row>
    <row r="9661" spans="2:3" x14ac:dyDescent="0.35">
      <c r="B9661" t="s">
        <v>1195</v>
      </c>
      <c r="C9661" t="s">
        <v>1195</v>
      </c>
    </row>
    <row r="9662" spans="2:3" x14ac:dyDescent="0.35">
      <c r="B9662" t="s">
        <v>1195</v>
      </c>
      <c r="C9662" t="s">
        <v>1195</v>
      </c>
    </row>
    <row r="9663" spans="2:3" x14ac:dyDescent="0.35">
      <c r="B9663" t="s">
        <v>1195</v>
      </c>
      <c r="C9663" t="s">
        <v>1195</v>
      </c>
    </row>
    <row r="9664" spans="2:3" x14ac:dyDescent="0.35">
      <c r="B9664" t="s">
        <v>1195</v>
      </c>
      <c r="C9664" t="s">
        <v>1195</v>
      </c>
    </row>
    <row r="9665" spans="2:3" x14ac:dyDescent="0.35">
      <c r="B9665" t="s">
        <v>1195</v>
      </c>
      <c r="C9665" t="s">
        <v>1195</v>
      </c>
    </row>
    <row r="9666" spans="2:3" x14ac:dyDescent="0.35">
      <c r="B9666" t="s">
        <v>1195</v>
      </c>
      <c r="C9666" t="s">
        <v>1195</v>
      </c>
    </row>
    <row r="9667" spans="2:3" x14ac:dyDescent="0.35">
      <c r="B9667" t="s">
        <v>1195</v>
      </c>
      <c r="C9667" t="s">
        <v>1195</v>
      </c>
    </row>
    <row r="9668" spans="2:3" x14ac:dyDescent="0.35">
      <c r="B9668" t="s">
        <v>1195</v>
      </c>
      <c r="C9668" t="s">
        <v>1195</v>
      </c>
    </row>
    <row r="9669" spans="2:3" x14ac:dyDescent="0.35">
      <c r="B9669" t="s">
        <v>1195</v>
      </c>
      <c r="C9669" t="s">
        <v>1195</v>
      </c>
    </row>
    <row r="9670" spans="2:3" x14ac:dyDescent="0.35">
      <c r="B9670" t="s">
        <v>1195</v>
      </c>
      <c r="C9670" t="s">
        <v>1195</v>
      </c>
    </row>
    <row r="9671" spans="2:3" x14ac:dyDescent="0.35">
      <c r="B9671" t="s">
        <v>1195</v>
      </c>
      <c r="C9671" t="s">
        <v>1195</v>
      </c>
    </row>
    <row r="9672" spans="2:3" x14ac:dyDescent="0.35">
      <c r="B9672" t="s">
        <v>1195</v>
      </c>
      <c r="C9672" t="s">
        <v>1195</v>
      </c>
    </row>
    <row r="9673" spans="2:3" x14ac:dyDescent="0.35">
      <c r="B9673" t="s">
        <v>1195</v>
      </c>
      <c r="C9673" t="s">
        <v>1195</v>
      </c>
    </row>
    <row r="9674" spans="2:3" x14ac:dyDescent="0.35">
      <c r="B9674" t="s">
        <v>1195</v>
      </c>
      <c r="C9674" t="s">
        <v>1195</v>
      </c>
    </row>
    <row r="9675" spans="2:3" x14ac:dyDescent="0.35">
      <c r="B9675" t="s">
        <v>1195</v>
      </c>
      <c r="C9675" t="s">
        <v>1195</v>
      </c>
    </row>
    <row r="9676" spans="2:3" x14ac:dyDescent="0.35">
      <c r="B9676" t="s">
        <v>1195</v>
      </c>
      <c r="C9676" t="s">
        <v>1195</v>
      </c>
    </row>
    <row r="9677" spans="2:3" x14ac:dyDescent="0.35">
      <c r="B9677" t="s">
        <v>1195</v>
      </c>
      <c r="C9677" t="s">
        <v>1195</v>
      </c>
    </row>
    <row r="9678" spans="2:3" x14ac:dyDescent="0.35">
      <c r="B9678" t="s">
        <v>1195</v>
      </c>
      <c r="C9678" t="s">
        <v>1195</v>
      </c>
    </row>
    <row r="9679" spans="2:3" x14ac:dyDescent="0.35">
      <c r="B9679" t="s">
        <v>1195</v>
      </c>
      <c r="C9679" t="s">
        <v>1195</v>
      </c>
    </row>
    <row r="9680" spans="2:3" x14ac:dyDescent="0.35">
      <c r="B9680" t="s">
        <v>1195</v>
      </c>
      <c r="C9680" t="s">
        <v>1195</v>
      </c>
    </row>
    <row r="9681" spans="2:3" x14ac:dyDescent="0.35">
      <c r="B9681" t="s">
        <v>1195</v>
      </c>
      <c r="C9681" t="s">
        <v>1195</v>
      </c>
    </row>
    <row r="9682" spans="2:3" x14ac:dyDescent="0.35">
      <c r="B9682" t="s">
        <v>1195</v>
      </c>
      <c r="C9682" t="s">
        <v>1195</v>
      </c>
    </row>
    <row r="9683" spans="2:3" x14ac:dyDescent="0.35">
      <c r="B9683" t="s">
        <v>1195</v>
      </c>
      <c r="C9683" t="s">
        <v>1195</v>
      </c>
    </row>
    <row r="9684" spans="2:3" x14ac:dyDescent="0.35">
      <c r="B9684" t="s">
        <v>1195</v>
      </c>
      <c r="C9684" t="s">
        <v>1195</v>
      </c>
    </row>
    <row r="9685" spans="2:3" x14ac:dyDescent="0.35">
      <c r="B9685" t="s">
        <v>1195</v>
      </c>
      <c r="C9685" t="s">
        <v>1195</v>
      </c>
    </row>
    <row r="9686" spans="2:3" x14ac:dyDescent="0.35">
      <c r="B9686" t="s">
        <v>1195</v>
      </c>
      <c r="C9686" t="s">
        <v>1195</v>
      </c>
    </row>
    <row r="9687" spans="2:3" x14ac:dyDescent="0.35">
      <c r="B9687" t="s">
        <v>1195</v>
      </c>
      <c r="C9687" t="s">
        <v>1195</v>
      </c>
    </row>
    <row r="9688" spans="2:3" x14ac:dyDescent="0.35">
      <c r="B9688" t="s">
        <v>1195</v>
      </c>
      <c r="C9688" t="s">
        <v>1195</v>
      </c>
    </row>
    <row r="9689" spans="2:3" x14ac:dyDescent="0.35">
      <c r="B9689" t="s">
        <v>1195</v>
      </c>
      <c r="C9689" t="s">
        <v>1195</v>
      </c>
    </row>
    <row r="9690" spans="2:3" x14ac:dyDescent="0.35">
      <c r="B9690" t="s">
        <v>1195</v>
      </c>
      <c r="C9690" t="s">
        <v>1195</v>
      </c>
    </row>
    <row r="9691" spans="2:3" x14ac:dyDescent="0.35">
      <c r="B9691" t="s">
        <v>1195</v>
      </c>
      <c r="C9691" t="s">
        <v>1195</v>
      </c>
    </row>
    <row r="9692" spans="2:3" x14ac:dyDescent="0.35">
      <c r="B9692" t="s">
        <v>1195</v>
      </c>
      <c r="C9692" t="s">
        <v>1195</v>
      </c>
    </row>
    <row r="9693" spans="2:3" x14ac:dyDescent="0.35">
      <c r="B9693" t="s">
        <v>1195</v>
      </c>
      <c r="C9693" t="s">
        <v>1195</v>
      </c>
    </row>
    <row r="9694" spans="2:3" x14ac:dyDescent="0.35">
      <c r="B9694" t="s">
        <v>1195</v>
      </c>
      <c r="C9694" t="s">
        <v>1195</v>
      </c>
    </row>
    <row r="9695" spans="2:3" x14ac:dyDescent="0.35">
      <c r="B9695" t="s">
        <v>1195</v>
      </c>
      <c r="C9695" t="s">
        <v>1195</v>
      </c>
    </row>
    <row r="9696" spans="2:3" x14ac:dyDescent="0.35">
      <c r="B9696" t="s">
        <v>1195</v>
      </c>
      <c r="C9696" t="s">
        <v>1195</v>
      </c>
    </row>
    <row r="9697" spans="2:3" x14ac:dyDescent="0.35">
      <c r="B9697" t="s">
        <v>1195</v>
      </c>
      <c r="C9697" t="s">
        <v>1195</v>
      </c>
    </row>
    <row r="9698" spans="2:3" x14ac:dyDescent="0.35">
      <c r="B9698" t="s">
        <v>1195</v>
      </c>
      <c r="C9698" t="s">
        <v>1195</v>
      </c>
    </row>
    <row r="9699" spans="2:3" x14ac:dyDescent="0.35">
      <c r="B9699" t="s">
        <v>1195</v>
      </c>
      <c r="C9699" t="s">
        <v>1195</v>
      </c>
    </row>
    <row r="9700" spans="2:3" x14ac:dyDescent="0.35">
      <c r="B9700" t="s">
        <v>1195</v>
      </c>
      <c r="C9700" t="s">
        <v>1195</v>
      </c>
    </row>
    <row r="9701" spans="2:3" x14ac:dyDescent="0.35">
      <c r="B9701" t="s">
        <v>1195</v>
      </c>
      <c r="C9701" t="s">
        <v>1195</v>
      </c>
    </row>
    <row r="9702" spans="2:3" x14ac:dyDescent="0.35">
      <c r="B9702" t="s">
        <v>1195</v>
      </c>
      <c r="C9702" t="s">
        <v>1195</v>
      </c>
    </row>
    <row r="9703" spans="2:3" x14ac:dyDescent="0.35">
      <c r="B9703" t="s">
        <v>1195</v>
      </c>
      <c r="C9703" t="s">
        <v>1195</v>
      </c>
    </row>
    <row r="9704" spans="2:3" x14ac:dyDescent="0.35">
      <c r="B9704" t="s">
        <v>1195</v>
      </c>
      <c r="C9704" t="s">
        <v>1195</v>
      </c>
    </row>
    <row r="9705" spans="2:3" x14ac:dyDescent="0.35">
      <c r="B9705" t="s">
        <v>1195</v>
      </c>
      <c r="C9705" t="s">
        <v>1195</v>
      </c>
    </row>
    <row r="9706" spans="2:3" x14ac:dyDescent="0.35">
      <c r="B9706" t="s">
        <v>1195</v>
      </c>
      <c r="C9706" t="s">
        <v>1195</v>
      </c>
    </row>
    <row r="9707" spans="2:3" x14ac:dyDescent="0.35">
      <c r="B9707" t="s">
        <v>1195</v>
      </c>
      <c r="C9707" t="s">
        <v>1195</v>
      </c>
    </row>
    <row r="9708" spans="2:3" x14ac:dyDescent="0.35">
      <c r="B9708" t="s">
        <v>1195</v>
      </c>
      <c r="C9708" t="s">
        <v>1195</v>
      </c>
    </row>
    <row r="9709" spans="2:3" x14ac:dyDescent="0.35">
      <c r="B9709" t="s">
        <v>1195</v>
      </c>
      <c r="C9709" t="s">
        <v>1195</v>
      </c>
    </row>
    <row r="9710" spans="2:3" x14ac:dyDescent="0.35">
      <c r="B9710" t="s">
        <v>1195</v>
      </c>
      <c r="C9710" t="s">
        <v>1195</v>
      </c>
    </row>
    <row r="9711" spans="2:3" x14ac:dyDescent="0.35">
      <c r="B9711" t="s">
        <v>1195</v>
      </c>
      <c r="C9711" t="s">
        <v>1195</v>
      </c>
    </row>
    <row r="9712" spans="2:3" x14ac:dyDescent="0.35">
      <c r="B9712" t="s">
        <v>1195</v>
      </c>
      <c r="C9712" t="s">
        <v>1195</v>
      </c>
    </row>
    <row r="9713" spans="2:3" x14ac:dyDescent="0.35">
      <c r="B9713" t="s">
        <v>1195</v>
      </c>
      <c r="C9713" t="s">
        <v>1195</v>
      </c>
    </row>
    <row r="9714" spans="2:3" x14ac:dyDescent="0.35">
      <c r="B9714" t="s">
        <v>1195</v>
      </c>
      <c r="C9714" t="s">
        <v>1195</v>
      </c>
    </row>
    <row r="9715" spans="2:3" x14ac:dyDescent="0.35">
      <c r="B9715" t="s">
        <v>1195</v>
      </c>
      <c r="C9715" t="s">
        <v>1195</v>
      </c>
    </row>
    <row r="9716" spans="2:3" x14ac:dyDescent="0.35">
      <c r="B9716" t="s">
        <v>1195</v>
      </c>
      <c r="C9716" t="s">
        <v>1195</v>
      </c>
    </row>
    <row r="9717" spans="2:3" x14ac:dyDescent="0.35">
      <c r="B9717" t="s">
        <v>1195</v>
      </c>
      <c r="C9717" t="s">
        <v>1195</v>
      </c>
    </row>
    <row r="9718" spans="2:3" x14ac:dyDescent="0.35">
      <c r="B9718" t="s">
        <v>1195</v>
      </c>
      <c r="C9718" t="s">
        <v>1195</v>
      </c>
    </row>
    <row r="9719" spans="2:3" x14ac:dyDescent="0.35">
      <c r="B9719" t="s">
        <v>1195</v>
      </c>
      <c r="C9719" t="s">
        <v>1195</v>
      </c>
    </row>
    <row r="9720" spans="2:3" x14ac:dyDescent="0.35">
      <c r="B9720" t="s">
        <v>1195</v>
      </c>
      <c r="C9720" t="s">
        <v>1195</v>
      </c>
    </row>
    <row r="9721" spans="2:3" x14ac:dyDescent="0.35">
      <c r="B9721" t="s">
        <v>1195</v>
      </c>
      <c r="C9721" t="s">
        <v>1195</v>
      </c>
    </row>
    <row r="9722" spans="2:3" x14ac:dyDescent="0.35">
      <c r="B9722" t="s">
        <v>1195</v>
      </c>
      <c r="C9722" t="s">
        <v>1195</v>
      </c>
    </row>
    <row r="9723" spans="2:3" x14ac:dyDescent="0.35">
      <c r="B9723" t="s">
        <v>1195</v>
      </c>
      <c r="C9723" t="s">
        <v>1195</v>
      </c>
    </row>
    <row r="9724" spans="2:3" x14ac:dyDescent="0.35">
      <c r="B9724" t="s">
        <v>1195</v>
      </c>
      <c r="C9724" t="s">
        <v>1195</v>
      </c>
    </row>
    <row r="9725" spans="2:3" x14ac:dyDescent="0.35">
      <c r="B9725" t="s">
        <v>1195</v>
      </c>
      <c r="C9725" t="s">
        <v>1195</v>
      </c>
    </row>
    <row r="9726" spans="2:3" x14ac:dyDescent="0.35">
      <c r="B9726" t="s">
        <v>1195</v>
      </c>
      <c r="C9726" t="s">
        <v>1195</v>
      </c>
    </row>
    <row r="9727" spans="2:3" x14ac:dyDescent="0.35">
      <c r="B9727" t="s">
        <v>1195</v>
      </c>
      <c r="C9727" t="s">
        <v>1195</v>
      </c>
    </row>
    <row r="9728" spans="2:3" x14ac:dyDescent="0.35">
      <c r="B9728" t="s">
        <v>1195</v>
      </c>
      <c r="C9728" t="s">
        <v>1195</v>
      </c>
    </row>
    <row r="9729" spans="2:3" x14ac:dyDescent="0.35">
      <c r="B9729" t="s">
        <v>1195</v>
      </c>
      <c r="C9729" t="s">
        <v>1195</v>
      </c>
    </row>
    <row r="9730" spans="2:3" x14ac:dyDescent="0.35">
      <c r="B9730" t="s">
        <v>1195</v>
      </c>
      <c r="C9730" t="s">
        <v>1195</v>
      </c>
    </row>
    <row r="9731" spans="2:3" x14ac:dyDescent="0.35">
      <c r="B9731" t="s">
        <v>1195</v>
      </c>
      <c r="C9731" t="s">
        <v>1195</v>
      </c>
    </row>
    <row r="9732" spans="2:3" x14ac:dyDescent="0.35">
      <c r="B9732" t="s">
        <v>1195</v>
      </c>
      <c r="C9732" t="s">
        <v>1195</v>
      </c>
    </row>
    <row r="9733" spans="2:3" x14ac:dyDescent="0.35">
      <c r="B9733" t="s">
        <v>1195</v>
      </c>
      <c r="C9733" t="s">
        <v>1195</v>
      </c>
    </row>
    <row r="9734" spans="2:3" x14ac:dyDescent="0.35">
      <c r="B9734" t="s">
        <v>1195</v>
      </c>
      <c r="C9734" t="s">
        <v>1195</v>
      </c>
    </row>
    <row r="9735" spans="2:3" x14ac:dyDescent="0.35">
      <c r="B9735" t="s">
        <v>1195</v>
      </c>
      <c r="C9735" t="s">
        <v>1195</v>
      </c>
    </row>
    <row r="9736" spans="2:3" x14ac:dyDescent="0.35">
      <c r="B9736" t="s">
        <v>1195</v>
      </c>
      <c r="C9736" t="s">
        <v>1195</v>
      </c>
    </row>
    <row r="9737" spans="2:3" x14ac:dyDescent="0.35">
      <c r="B9737" t="s">
        <v>1195</v>
      </c>
      <c r="C9737" t="s">
        <v>1195</v>
      </c>
    </row>
    <row r="9738" spans="2:3" x14ac:dyDescent="0.35">
      <c r="B9738" t="s">
        <v>1195</v>
      </c>
      <c r="C9738" t="s">
        <v>1195</v>
      </c>
    </row>
    <row r="9739" spans="2:3" x14ac:dyDescent="0.35">
      <c r="B9739" t="s">
        <v>1195</v>
      </c>
      <c r="C9739" t="s">
        <v>1195</v>
      </c>
    </row>
    <row r="9740" spans="2:3" x14ac:dyDescent="0.35">
      <c r="B9740" t="s">
        <v>1195</v>
      </c>
      <c r="C9740" t="s">
        <v>1195</v>
      </c>
    </row>
    <row r="9741" spans="2:3" x14ac:dyDescent="0.35">
      <c r="B9741" t="s">
        <v>1195</v>
      </c>
      <c r="C9741" t="s">
        <v>1195</v>
      </c>
    </row>
    <row r="9742" spans="2:3" x14ac:dyDescent="0.35">
      <c r="B9742" t="s">
        <v>1195</v>
      </c>
      <c r="C9742" t="s">
        <v>1195</v>
      </c>
    </row>
    <row r="9743" spans="2:3" x14ac:dyDescent="0.35">
      <c r="B9743" t="s">
        <v>1195</v>
      </c>
      <c r="C9743" t="s">
        <v>1195</v>
      </c>
    </row>
    <row r="9744" spans="2:3" x14ac:dyDescent="0.35">
      <c r="B9744" t="s">
        <v>1195</v>
      </c>
      <c r="C9744" t="s">
        <v>1195</v>
      </c>
    </row>
    <row r="9745" spans="2:3" x14ac:dyDescent="0.35">
      <c r="B9745" t="s">
        <v>1195</v>
      </c>
      <c r="C9745" t="s">
        <v>1195</v>
      </c>
    </row>
    <row r="9746" spans="2:3" x14ac:dyDescent="0.35">
      <c r="B9746" t="s">
        <v>1195</v>
      </c>
      <c r="C9746" t="s">
        <v>1195</v>
      </c>
    </row>
    <row r="9747" spans="2:3" x14ac:dyDescent="0.35">
      <c r="B9747" t="s">
        <v>1195</v>
      </c>
      <c r="C9747" t="s">
        <v>1195</v>
      </c>
    </row>
    <row r="9748" spans="2:3" x14ac:dyDescent="0.35">
      <c r="B9748" t="s">
        <v>1195</v>
      </c>
      <c r="C9748" t="s">
        <v>1195</v>
      </c>
    </row>
    <row r="9749" spans="2:3" x14ac:dyDescent="0.35">
      <c r="B9749" t="s">
        <v>1195</v>
      </c>
      <c r="C9749" t="s">
        <v>1195</v>
      </c>
    </row>
    <row r="9750" spans="2:3" x14ac:dyDescent="0.35">
      <c r="B9750" t="s">
        <v>1195</v>
      </c>
      <c r="C9750" t="s">
        <v>1195</v>
      </c>
    </row>
    <row r="9751" spans="2:3" x14ac:dyDescent="0.35">
      <c r="B9751" t="s">
        <v>1195</v>
      </c>
      <c r="C9751" t="s">
        <v>1195</v>
      </c>
    </row>
    <row r="9752" spans="2:3" x14ac:dyDescent="0.35">
      <c r="B9752" t="s">
        <v>1195</v>
      </c>
      <c r="C9752" t="s">
        <v>1195</v>
      </c>
    </row>
    <row r="9753" spans="2:3" x14ac:dyDescent="0.35">
      <c r="B9753" t="s">
        <v>1195</v>
      </c>
      <c r="C9753" t="s">
        <v>1195</v>
      </c>
    </row>
    <row r="9754" spans="2:3" x14ac:dyDescent="0.35">
      <c r="B9754" t="s">
        <v>1195</v>
      </c>
      <c r="C9754" t="s">
        <v>1195</v>
      </c>
    </row>
    <row r="9755" spans="2:3" x14ac:dyDescent="0.35">
      <c r="B9755" t="s">
        <v>1195</v>
      </c>
      <c r="C9755" t="s">
        <v>1195</v>
      </c>
    </row>
    <row r="9756" spans="2:3" x14ac:dyDescent="0.35">
      <c r="B9756" t="s">
        <v>1195</v>
      </c>
      <c r="C9756" t="s">
        <v>1195</v>
      </c>
    </row>
    <row r="9757" spans="2:3" x14ac:dyDescent="0.35">
      <c r="B9757" t="s">
        <v>1195</v>
      </c>
      <c r="C9757" t="s">
        <v>1195</v>
      </c>
    </row>
    <row r="9758" spans="2:3" x14ac:dyDescent="0.35">
      <c r="B9758" t="s">
        <v>1195</v>
      </c>
      <c r="C9758" t="s">
        <v>1195</v>
      </c>
    </row>
    <row r="9759" spans="2:3" x14ac:dyDescent="0.35">
      <c r="B9759" t="s">
        <v>1195</v>
      </c>
      <c r="C9759" t="s">
        <v>1195</v>
      </c>
    </row>
    <row r="9760" spans="2:3" x14ac:dyDescent="0.35">
      <c r="B9760" t="s">
        <v>1195</v>
      </c>
      <c r="C9760" t="s">
        <v>1195</v>
      </c>
    </row>
    <row r="9761" spans="2:3" x14ac:dyDescent="0.35">
      <c r="B9761" t="s">
        <v>1195</v>
      </c>
      <c r="C9761" t="s">
        <v>1195</v>
      </c>
    </row>
    <row r="9762" spans="2:3" x14ac:dyDescent="0.35">
      <c r="B9762" t="s">
        <v>1195</v>
      </c>
      <c r="C9762" t="s">
        <v>1195</v>
      </c>
    </row>
    <row r="9763" spans="2:3" x14ac:dyDescent="0.35">
      <c r="B9763" t="s">
        <v>1195</v>
      </c>
      <c r="C9763" t="s">
        <v>1195</v>
      </c>
    </row>
    <row r="9764" spans="2:3" x14ac:dyDescent="0.35">
      <c r="B9764" t="s">
        <v>1195</v>
      </c>
      <c r="C9764" t="s">
        <v>1195</v>
      </c>
    </row>
    <row r="9765" spans="2:3" x14ac:dyDescent="0.35">
      <c r="B9765" t="s">
        <v>1195</v>
      </c>
      <c r="C9765" t="s">
        <v>1195</v>
      </c>
    </row>
    <row r="9766" spans="2:3" x14ac:dyDescent="0.35">
      <c r="B9766" t="s">
        <v>1195</v>
      </c>
      <c r="C9766" t="s">
        <v>1195</v>
      </c>
    </row>
    <row r="9767" spans="2:3" x14ac:dyDescent="0.35">
      <c r="B9767" t="s">
        <v>1195</v>
      </c>
      <c r="C9767" t="s">
        <v>1195</v>
      </c>
    </row>
    <row r="9768" spans="2:3" x14ac:dyDescent="0.35">
      <c r="B9768" t="s">
        <v>1195</v>
      </c>
      <c r="C9768" t="s">
        <v>1195</v>
      </c>
    </row>
    <row r="9769" spans="2:3" x14ac:dyDescent="0.35">
      <c r="B9769" t="s">
        <v>1195</v>
      </c>
      <c r="C9769" t="s">
        <v>1195</v>
      </c>
    </row>
    <row r="9770" spans="2:3" x14ac:dyDescent="0.35">
      <c r="B9770" t="s">
        <v>1195</v>
      </c>
      <c r="C9770" t="s">
        <v>1195</v>
      </c>
    </row>
    <row r="9771" spans="2:3" x14ac:dyDescent="0.35">
      <c r="B9771" t="s">
        <v>1195</v>
      </c>
      <c r="C9771" t="s">
        <v>1195</v>
      </c>
    </row>
    <row r="9772" spans="2:3" x14ac:dyDescent="0.35">
      <c r="B9772" t="s">
        <v>1195</v>
      </c>
      <c r="C9772" t="s">
        <v>1195</v>
      </c>
    </row>
    <row r="9773" spans="2:3" x14ac:dyDescent="0.35">
      <c r="B9773" t="s">
        <v>1195</v>
      </c>
      <c r="C9773" t="s">
        <v>1195</v>
      </c>
    </row>
    <row r="9774" spans="2:3" x14ac:dyDescent="0.35">
      <c r="B9774" t="s">
        <v>1195</v>
      </c>
      <c r="C9774" t="s">
        <v>1195</v>
      </c>
    </row>
    <row r="9775" spans="2:3" x14ac:dyDescent="0.35">
      <c r="B9775" t="s">
        <v>1195</v>
      </c>
      <c r="C9775" t="s">
        <v>1195</v>
      </c>
    </row>
    <row r="9776" spans="2:3" x14ac:dyDescent="0.35">
      <c r="B9776" t="s">
        <v>1195</v>
      </c>
      <c r="C9776" t="s">
        <v>1195</v>
      </c>
    </row>
    <row r="9777" spans="2:3" x14ac:dyDescent="0.35">
      <c r="B9777" t="s">
        <v>1195</v>
      </c>
      <c r="C9777" t="s">
        <v>1195</v>
      </c>
    </row>
    <row r="9778" spans="2:3" x14ac:dyDescent="0.35">
      <c r="B9778" t="s">
        <v>1195</v>
      </c>
      <c r="C9778" t="s">
        <v>1195</v>
      </c>
    </row>
    <row r="9779" spans="2:3" x14ac:dyDescent="0.35">
      <c r="B9779" t="s">
        <v>1195</v>
      </c>
      <c r="C9779" t="s">
        <v>1195</v>
      </c>
    </row>
    <row r="9780" spans="2:3" x14ac:dyDescent="0.35">
      <c r="B9780" t="s">
        <v>1195</v>
      </c>
      <c r="C9780" t="s">
        <v>1195</v>
      </c>
    </row>
    <row r="9781" spans="2:3" x14ac:dyDescent="0.35">
      <c r="B9781" t="s">
        <v>1195</v>
      </c>
      <c r="C9781" t="s">
        <v>1195</v>
      </c>
    </row>
    <row r="9782" spans="2:3" x14ac:dyDescent="0.35">
      <c r="B9782" t="s">
        <v>1195</v>
      </c>
      <c r="C9782" t="s">
        <v>1195</v>
      </c>
    </row>
    <row r="9783" spans="2:3" x14ac:dyDescent="0.35">
      <c r="B9783" t="s">
        <v>1195</v>
      </c>
      <c r="C9783" t="s">
        <v>1195</v>
      </c>
    </row>
    <row r="9784" spans="2:3" x14ac:dyDescent="0.35">
      <c r="B9784" t="s">
        <v>1195</v>
      </c>
      <c r="C9784" t="s">
        <v>1195</v>
      </c>
    </row>
    <row r="9785" spans="2:3" x14ac:dyDescent="0.35">
      <c r="B9785" t="s">
        <v>1195</v>
      </c>
      <c r="C9785" t="s">
        <v>1195</v>
      </c>
    </row>
    <row r="9786" spans="2:3" x14ac:dyDescent="0.35">
      <c r="B9786" t="s">
        <v>1195</v>
      </c>
      <c r="C9786" t="s">
        <v>1195</v>
      </c>
    </row>
    <row r="9787" spans="2:3" x14ac:dyDescent="0.35">
      <c r="B9787" t="s">
        <v>1195</v>
      </c>
      <c r="C9787" t="s">
        <v>1195</v>
      </c>
    </row>
    <row r="9788" spans="2:3" x14ac:dyDescent="0.35">
      <c r="B9788" t="s">
        <v>1195</v>
      </c>
      <c r="C9788" t="s">
        <v>1195</v>
      </c>
    </row>
    <row r="9789" spans="2:3" x14ac:dyDescent="0.35">
      <c r="B9789" t="s">
        <v>1195</v>
      </c>
      <c r="C9789" t="s">
        <v>1195</v>
      </c>
    </row>
    <row r="9790" spans="2:3" x14ac:dyDescent="0.35">
      <c r="B9790" t="s">
        <v>1195</v>
      </c>
      <c r="C9790" t="s">
        <v>1195</v>
      </c>
    </row>
    <row r="9791" spans="2:3" x14ac:dyDescent="0.35">
      <c r="B9791" t="s">
        <v>1195</v>
      </c>
      <c r="C9791" t="s">
        <v>1195</v>
      </c>
    </row>
    <row r="9792" spans="2:3" x14ac:dyDescent="0.35">
      <c r="B9792" t="s">
        <v>1195</v>
      </c>
      <c r="C9792" t="s">
        <v>1195</v>
      </c>
    </row>
    <row r="9793" spans="2:3" x14ac:dyDescent="0.35">
      <c r="B9793" t="s">
        <v>1195</v>
      </c>
      <c r="C9793" t="s">
        <v>1195</v>
      </c>
    </row>
    <row r="9794" spans="2:3" x14ac:dyDescent="0.35">
      <c r="B9794" t="s">
        <v>1195</v>
      </c>
      <c r="C9794" t="s">
        <v>1195</v>
      </c>
    </row>
    <row r="9795" spans="2:3" x14ac:dyDescent="0.35">
      <c r="B9795" t="s">
        <v>1195</v>
      </c>
      <c r="C9795" t="s">
        <v>1195</v>
      </c>
    </row>
    <row r="9796" spans="2:3" x14ac:dyDescent="0.35">
      <c r="B9796" t="s">
        <v>1195</v>
      </c>
      <c r="C9796" t="s">
        <v>1195</v>
      </c>
    </row>
    <row r="9797" spans="2:3" x14ac:dyDescent="0.35">
      <c r="B9797" t="s">
        <v>1195</v>
      </c>
      <c r="C9797" t="s">
        <v>1195</v>
      </c>
    </row>
    <row r="9798" spans="2:3" x14ac:dyDescent="0.35">
      <c r="B9798" t="s">
        <v>1195</v>
      </c>
      <c r="C9798" t="s">
        <v>1195</v>
      </c>
    </row>
    <row r="9799" spans="2:3" x14ac:dyDescent="0.35">
      <c r="B9799" t="s">
        <v>1195</v>
      </c>
      <c r="C9799" t="s">
        <v>1195</v>
      </c>
    </row>
    <row r="9800" spans="2:3" x14ac:dyDescent="0.35">
      <c r="B9800" t="s">
        <v>1195</v>
      </c>
      <c r="C9800" t="s">
        <v>1195</v>
      </c>
    </row>
    <row r="9801" spans="2:3" x14ac:dyDescent="0.35">
      <c r="B9801" t="s">
        <v>1195</v>
      </c>
      <c r="C9801" t="s">
        <v>1195</v>
      </c>
    </row>
    <row r="9802" spans="2:3" x14ac:dyDescent="0.35">
      <c r="B9802" t="s">
        <v>1195</v>
      </c>
      <c r="C9802" t="s">
        <v>1195</v>
      </c>
    </row>
    <row r="9803" spans="2:3" x14ac:dyDescent="0.35">
      <c r="B9803" t="s">
        <v>1195</v>
      </c>
      <c r="C9803" t="s">
        <v>1195</v>
      </c>
    </row>
    <row r="9804" spans="2:3" x14ac:dyDescent="0.35">
      <c r="B9804" t="s">
        <v>1195</v>
      </c>
      <c r="C9804" t="s">
        <v>1195</v>
      </c>
    </row>
    <row r="9805" spans="2:3" x14ac:dyDescent="0.35">
      <c r="B9805" t="s">
        <v>1195</v>
      </c>
      <c r="C9805" t="s">
        <v>1195</v>
      </c>
    </row>
    <row r="9806" spans="2:3" x14ac:dyDescent="0.35">
      <c r="B9806" t="s">
        <v>1195</v>
      </c>
      <c r="C9806" t="s">
        <v>1195</v>
      </c>
    </row>
    <row r="9807" spans="2:3" x14ac:dyDescent="0.35">
      <c r="B9807" t="s">
        <v>1195</v>
      </c>
      <c r="C9807" t="s">
        <v>1195</v>
      </c>
    </row>
    <row r="9808" spans="2:3" x14ac:dyDescent="0.35">
      <c r="B9808" t="s">
        <v>1195</v>
      </c>
      <c r="C9808" t="s">
        <v>1195</v>
      </c>
    </row>
    <row r="9809" spans="2:3" x14ac:dyDescent="0.35">
      <c r="B9809" t="s">
        <v>1195</v>
      </c>
      <c r="C9809" t="s">
        <v>1195</v>
      </c>
    </row>
    <row r="9810" spans="2:3" x14ac:dyDescent="0.35">
      <c r="B9810" t="s">
        <v>1195</v>
      </c>
      <c r="C9810" t="s">
        <v>1195</v>
      </c>
    </row>
    <row r="9811" spans="2:3" x14ac:dyDescent="0.35">
      <c r="B9811" t="s">
        <v>1195</v>
      </c>
      <c r="C9811" t="s">
        <v>1195</v>
      </c>
    </row>
    <row r="9812" spans="2:3" x14ac:dyDescent="0.35">
      <c r="B9812" t="s">
        <v>1195</v>
      </c>
      <c r="C9812" t="s">
        <v>1195</v>
      </c>
    </row>
    <row r="9813" spans="2:3" x14ac:dyDescent="0.35">
      <c r="B9813" t="s">
        <v>1195</v>
      </c>
      <c r="C9813" t="s">
        <v>1195</v>
      </c>
    </row>
    <row r="9814" spans="2:3" x14ac:dyDescent="0.35">
      <c r="B9814" t="s">
        <v>1195</v>
      </c>
      <c r="C9814" t="s">
        <v>1195</v>
      </c>
    </row>
    <row r="9815" spans="2:3" x14ac:dyDescent="0.35">
      <c r="B9815" t="s">
        <v>1195</v>
      </c>
      <c r="C9815" t="s">
        <v>1195</v>
      </c>
    </row>
    <row r="9816" spans="2:3" x14ac:dyDescent="0.35">
      <c r="B9816" t="s">
        <v>1195</v>
      </c>
      <c r="C9816" t="s">
        <v>1195</v>
      </c>
    </row>
    <row r="9817" spans="2:3" x14ac:dyDescent="0.35">
      <c r="B9817" t="s">
        <v>1195</v>
      </c>
      <c r="C9817" t="s">
        <v>1195</v>
      </c>
    </row>
    <row r="9818" spans="2:3" x14ac:dyDescent="0.35">
      <c r="B9818" t="s">
        <v>1195</v>
      </c>
      <c r="C9818" t="s">
        <v>1195</v>
      </c>
    </row>
    <row r="9819" spans="2:3" x14ac:dyDescent="0.35">
      <c r="B9819" t="s">
        <v>1195</v>
      </c>
      <c r="C9819" t="s">
        <v>1195</v>
      </c>
    </row>
    <row r="9820" spans="2:3" x14ac:dyDescent="0.35">
      <c r="B9820" t="s">
        <v>1195</v>
      </c>
      <c r="C9820" t="s">
        <v>1195</v>
      </c>
    </row>
    <row r="9821" spans="2:3" x14ac:dyDescent="0.35">
      <c r="B9821" t="s">
        <v>1195</v>
      </c>
      <c r="C9821" t="s">
        <v>1195</v>
      </c>
    </row>
    <row r="9822" spans="2:3" x14ac:dyDescent="0.35">
      <c r="B9822" t="s">
        <v>1195</v>
      </c>
      <c r="C9822" t="s">
        <v>1195</v>
      </c>
    </row>
    <row r="9823" spans="2:3" x14ac:dyDescent="0.35">
      <c r="B9823" t="s">
        <v>1195</v>
      </c>
      <c r="C9823" t="s">
        <v>1195</v>
      </c>
    </row>
    <row r="9824" spans="2:3" x14ac:dyDescent="0.35">
      <c r="B9824" t="s">
        <v>1195</v>
      </c>
      <c r="C9824" t="s">
        <v>1195</v>
      </c>
    </row>
    <row r="9825" spans="2:3" x14ac:dyDescent="0.35">
      <c r="B9825" t="s">
        <v>1195</v>
      </c>
      <c r="C9825" t="s">
        <v>1195</v>
      </c>
    </row>
    <row r="9826" spans="2:3" x14ac:dyDescent="0.35">
      <c r="B9826" t="s">
        <v>1195</v>
      </c>
      <c r="C9826" t="s">
        <v>1195</v>
      </c>
    </row>
    <row r="9827" spans="2:3" x14ac:dyDescent="0.35">
      <c r="B9827" t="s">
        <v>1195</v>
      </c>
      <c r="C9827" t="s">
        <v>1195</v>
      </c>
    </row>
    <row r="9828" spans="2:3" x14ac:dyDescent="0.35">
      <c r="B9828" t="s">
        <v>1195</v>
      </c>
      <c r="C9828" t="s">
        <v>1195</v>
      </c>
    </row>
    <row r="9829" spans="2:3" x14ac:dyDescent="0.35">
      <c r="B9829" t="s">
        <v>1195</v>
      </c>
      <c r="C9829" t="s">
        <v>1195</v>
      </c>
    </row>
    <row r="9830" spans="2:3" x14ac:dyDescent="0.35">
      <c r="B9830" t="s">
        <v>1195</v>
      </c>
      <c r="C9830" t="s">
        <v>1195</v>
      </c>
    </row>
    <row r="9831" spans="2:3" x14ac:dyDescent="0.35">
      <c r="B9831" t="s">
        <v>1195</v>
      </c>
      <c r="C9831" t="s">
        <v>1195</v>
      </c>
    </row>
    <row r="9832" spans="2:3" x14ac:dyDescent="0.35">
      <c r="B9832" t="s">
        <v>1195</v>
      </c>
      <c r="C9832" t="s">
        <v>1195</v>
      </c>
    </row>
    <row r="9833" spans="2:3" x14ac:dyDescent="0.35">
      <c r="B9833" t="s">
        <v>1195</v>
      </c>
      <c r="C9833" t="s">
        <v>1195</v>
      </c>
    </row>
    <row r="9834" spans="2:3" x14ac:dyDescent="0.35">
      <c r="B9834" t="s">
        <v>1195</v>
      </c>
      <c r="C9834" t="s">
        <v>1195</v>
      </c>
    </row>
    <row r="9835" spans="2:3" x14ac:dyDescent="0.35">
      <c r="B9835" t="s">
        <v>1195</v>
      </c>
      <c r="C9835" t="s">
        <v>1195</v>
      </c>
    </row>
    <row r="9836" spans="2:3" x14ac:dyDescent="0.35">
      <c r="B9836" t="s">
        <v>1195</v>
      </c>
      <c r="C9836" t="s">
        <v>1195</v>
      </c>
    </row>
    <row r="9837" spans="2:3" x14ac:dyDescent="0.35">
      <c r="B9837" t="s">
        <v>1195</v>
      </c>
      <c r="C9837" t="s">
        <v>1195</v>
      </c>
    </row>
    <row r="9838" spans="2:3" x14ac:dyDescent="0.35">
      <c r="B9838" t="s">
        <v>1195</v>
      </c>
      <c r="C9838" t="s">
        <v>1195</v>
      </c>
    </row>
    <row r="9839" spans="2:3" x14ac:dyDescent="0.35">
      <c r="B9839" t="s">
        <v>1195</v>
      </c>
      <c r="C9839" t="s">
        <v>1195</v>
      </c>
    </row>
    <row r="9840" spans="2:3" x14ac:dyDescent="0.35">
      <c r="B9840" t="s">
        <v>1195</v>
      </c>
      <c r="C9840" t="s">
        <v>1195</v>
      </c>
    </row>
    <row r="9841" spans="2:3" x14ac:dyDescent="0.35">
      <c r="B9841" t="s">
        <v>1195</v>
      </c>
      <c r="C9841" t="s">
        <v>1195</v>
      </c>
    </row>
    <row r="9842" spans="2:3" x14ac:dyDescent="0.35">
      <c r="B9842" t="s">
        <v>1195</v>
      </c>
      <c r="C9842" t="s">
        <v>1195</v>
      </c>
    </row>
    <row r="9843" spans="2:3" x14ac:dyDescent="0.35">
      <c r="B9843" t="s">
        <v>1195</v>
      </c>
      <c r="C9843" t="s">
        <v>1195</v>
      </c>
    </row>
    <row r="9844" spans="2:3" x14ac:dyDescent="0.35">
      <c r="B9844" t="s">
        <v>1195</v>
      </c>
      <c r="C9844" t="s">
        <v>1195</v>
      </c>
    </row>
    <row r="9845" spans="2:3" x14ac:dyDescent="0.35">
      <c r="B9845" t="s">
        <v>1195</v>
      </c>
      <c r="C9845" t="s">
        <v>1195</v>
      </c>
    </row>
    <row r="9846" spans="2:3" x14ac:dyDescent="0.35">
      <c r="B9846" t="s">
        <v>1195</v>
      </c>
      <c r="C9846" t="s">
        <v>1195</v>
      </c>
    </row>
    <row r="9847" spans="2:3" x14ac:dyDescent="0.35">
      <c r="B9847" t="s">
        <v>1195</v>
      </c>
      <c r="C9847" t="s">
        <v>1195</v>
      </c>
    </row>
    <row r="9848" spans="2:3" x14ac:dyDescent="0.35">
      <c r="B9848" t="s">
        <v>1195</v>
      </c>
      <c r="C9848" t="s">
        <v>1195</v>
      </c>
    </row>
    <row r="9849" spans="2:3" x14ac:dyDescent="0.35">
      <c r="B9849" t="s">
        <v>1195</v>
      </c>
      <c r="C9849" t="s">
        <v>1195</v>
      </c>
    </row>
    <row r="9850" spans="2:3" x14ac:dyDescent="0.35">
      <c r="B9850" t="s">
        <v>1195</v>
      </c>
      <c r="C9850" t="s">
        <v>1195</v>
      </c>
    </row>
    <row r="9851" spans="2:3" x14ac:dyDescent="0.35">
      <c r="B9851" t="s">
        <v>1195</v>
      </c>
      <c r="C9851" t="s">
        <v>1195</v>
      </c>
    </row>
    <row r="9852" spans="2:3" x14ac:dyDescent="0.35">
      <c r="B9852" t="s">
        <v>1195</v>
      </c>
      <c r="C9852" t="s">
        <v>1195</v>
      </c>
    </row>
    <row r="9853" spans="2:3" x14ac:dyDescent="0.35">
      <c r="B9853" t="s">
        <v>1195</v>
      </c>
      <c r="C9853" t="s">
        <v>1195</v>
      </c>
    </row>
    <row r="9854" spans="2:3" x14ac:dyDescent="0.35">
      <c r="B9854" t="s">
        <v>1195</v>
      </c>
      <c r="C9854" t="s">
        <v>1195</v>
      </c>
    </row>
    <row r="9855" spans="2:3" x14ac:dyDescent="0.35">
      <c r="B9855" t="s">
        <v>1195</v>
      </c>
      <c r="C9855" t="s">
        <v>1195</v>
      </c>
    </row>
    <row r="9856" spans="2:3" x14ac:dyDescent="0.35">
      <c r="B9856" t="s">
        <v>1195</v>
      </c>
      <c r="C9856" t="s">
        <v>1195</v>
      </c>
    </row>
    <row r="9857" spans="2:3" x14ac:dyDescent="0.35">
      <c r="B9857" t="s">
        <v>1195</v>
      </c>
      <c r="C9857" t="s">
        <v>1195</v>
      </c>
    </row>
    <row r="9858" spans="2:3" x14ac:dyDescent="0.35">
      <c r="B9858" t="s">
        <v>1195</v>
      </c>
      <c r="C9858" t="s">
        <v>1195</v>
      </c>
    </row>
    <row r="9859" spans="2:3" x14ac:dyDescent="0.35">
      <c r="B9859" t="s">
        <v>1195</v>
      </c>
      <c r="C9859" t="s">
        <v>1195</v>
      </c>
    </row>
    <row r="9860" spans="2:3" x14ac:dyDescent="0.35">
      <c r="B9860" t="s">
        <v>1195</v>
      </c>
      <c r="C9860" t="s">
        <v>1195</v>
      </c>
    </row>
    <row r="9861" spans="2:3" x14ac:dyDescent="0.35">
      <c r="B9861" t="s">
        <v>1195</v>
      </c>
      <c r="C9861" t="s">
        <v>1195</v>
      </c>
    </row>
    <row r="9862" spans="2:3" x14ac:dyDescent="0.35">
      <c r="B9862" t="s">
        <v>1195</v>
      </c>
      <c r="C9862" t="s">
        <v>1195</v>
      </c>
    </row>
    <row r="9863" spans="2:3" x14ac:dyDescent="0.35">
      <c r="B9863" t="s">
        <v>1195</v>
      </c>
      <c r="C9863" t="s">
        <v>1195</v>
      </c>
    </row>
    <row r="9864" spans="2:3" x14ac:dyDescent="0.35">
      <c r="B9864" t="s">
        <v>1195</v>
      </c>
      <c r="C9864" t="s">
        <v>1195</v>
      </c>
    </row>
    <row r="9865" spans="2:3" x14ac:dyDescent="0.35">
      <c r="B9865" t="s">
        <v>1195</v>
      </c>
      <c r="C9865" t="s">
        <v>1195</v>
      </c>
    </row>
    <row r="9866" spans="2:3" x14ac:dyDescent="0.35">
      <c r="B9866" t="s">
        <v>1195</v>
      </c>
      <c r="C9866" t="s">
        <v>1195</v>
      </c>
    </row>
    <row r="9867" spans="2:3" x14ac:dyDescent="0.35">
      <c r="B9867" t="s">
        <v>1195</v>
      </c>
      <c r="C9867" t="s">
        <v>1195</v>
      </c>
    </row>
    <row r="9868" spans="2:3" x14ac:dyDescent="0.35">
      <c r="B9868" t="s">
        <v>1195</v>
      </c>
      <c r="C9868" t="s">
        <v>1195</v>
      </c>
    </row>
    <row r="9869" spans="2:3" x14ac:dyDescent="0.35">
      <c r="B9869" t="s">
        <v>1195</v>
      </c>
      <c r="C9869" t="s">
        <v>1195</v>
      </c>
    </row>
    <row r="9870" spans="2:3" x14ac:dyDescent="0.35">
      <c r="B9870" t="s">
        <v>1195</v>
      </c>
      <c r="C9870" t="s">
        <v>1195</v>
      </c>
    </row>
    <row r="9871" spans="2:3" x14ac:dyDescent="0.35">
      <c r="B9871" t="s">
        <v>1195</v>
      </c>
      <c r="C9871" t="s">
        <v>1195</v>
      </c>
    </row>
    <row r="9872" spans="2:3" x14ac:dyDescent="0.35">
      <c r="B9872" t="s">
        <v>1195</v>
      </c>
      <c r="C9872" t="s">
        <v>1195</v>
      </c>
    </row>
    <row r="9873" spans="2:3" x14ac:dyDescent="0.35">
      <c r="B9873" t="s">
        <v>1195</v>
      </c>
      <c r="C9873" t="s">
        <v>1195</v>
      </c>
    </row>
    <row r="9874" spans="2:3" x14ac:dyDescent="0.35">
      <c r="B9874" t="s">
        <v>1195</v>
      </c>
      <c r="C9874" t="s">
        <v>1195</v>
      </c>
    </row>
    <row r="9875" spans="2:3" x14ac:dyDescent="0.35">
      <c r="B9875" t="s">
        <v>1195</v>
      </c>
      <c r="C9875" t="s">
        <v>1195</v>
      </c>
    </row>
    <row r="9876" spans="2:3" x14ac:dyDescent="0.35">
      <c r="B9876" t="s">
        <v>1195</v>
      </c>
      <c r="C9876" t="s">
        <v>1195</v>
      </c>
    </row>
    <row r="9877" spans="2:3" x14ac:dyDescent="0.35">
      <c r="B9877" t="s">
        <v>1195</v>
      </c>
      <c r="C9877" t="s">
        <v>1195</v>
      </c>
    </row>
    <row r="9878" spans="2:3" x14ac:dyDescent="0.35">
      <c r="B9878" t="s">
        <v>1195</v>
      </c>
      <c r="C9878" t="s">
        <v>1195</v>
      </c>
    </row>
    <row r="9879" spans="2:3" x14ac:dyDescent="0.35">
      <c r="B9879" t="s">
        <v>1195</v>
      </c>
      <c r="C9879" t="s">
        <v>1195</v>
      </c>
    </row>
    <row r="9880" spans="2:3" x14ac:dyDescent="0.35">
      <c r="B9880" t="s">
        <v>1195</v>
      </c>
      <c r="C9880" t="s">
        <v>1195</v>
      </c>
    </row>
    <row r="9881" spans="2:3" x14ac:dyDescent="0.35">
      <c r="B9881" t="s">
        <v>1195</v>
      </c>
      <c r="C9881" t="s">
        <v>1195</v>
      </c>
    </row>
    <row r="9882" spans="2:3" x14ac:dyDescent="0.35">
      <c r="B9882" t="s">
        <v>1195</v>
      </c>
      <c r="C9882" t="s">
        <v>1195</v>
      </c>
    </row>
    <row r="9883" spans="2:3" x14ac:dyDescent="0.35">
      <c r="B9883" t="s">
        <v>1195</v>
      </c>
      <c r="C9883" t="s">
        <v>1195</v>
      </c>
    </row>
    <row r="9884" spans="2:3" x14ac:dyDescent="0.35">
      <c r="B9884" t="s">
        <v>1195</v>
      </c>
      <c r="C9884" t="s">
        <v>1195</v>
      </c>
    </row>
    <row r="9885" spans="2:3" x14ac:dyDescent="0.35">
      <c r="B9885" t="s">
        <v>1195</v>
      </c>
      <c r="C9885" t="s">
        <v>1195</v>
      </c>
    </row>
    <row r="9886" spans="2:3" x14ac:dyDescent="0.35">
      <c r="B9886" t="s">
        <v>1195</v>
      </c>
      <c r="C9886" t="s">
        <v>1195</v>
      </c>
    </row>
    <row r="9887" spans="2:3" x14ac:dyDescent="0.35">
      <c r="B9887" t="s">
        <v>1195</v>
      </c>
      <c r="C9887" t="s">
        <v>1195</v>
      </c>
    </row>
    <row r="9888" spans="2:3" x14ac:dyDescent="0.35">
      <c r="B9888" t="s">
        <v>1195</v>
      </c>
      <c r="C9888" t="s">
        <v>1195</v>
      </c>
    </row>
    <row r="9889" spans="2:3" x14ac:dyDescent="0.35">
      <c r="B9889" t="s">
        <v>1195</v>
      </c>
      <c r="C9889" t="s">
        <v>1195</v>
      </c>
    </row>
    <row r="9890" spans="2:3" x14ac:dyDescent="0.35">
      <c r="B9890" t="s">
        <v>1195</v>
      </c>
      <c r="C9890" t="s">
        <v>1195</v>
      </c>
    </row>
    <row r="9891" spans="2:3" x14ac:dyDescent="0.35">
      <c r="B9891" t="s">
        <v>1195</v>
      </c>
      <c r="C9891" t="s">
        <v>1195</v>
      </c>
    </row>
    <row r="9892" spans="2:3" x14ac:dyDescent="0.35">
      <c r="B9892" t="s">
        <v>1195</v>
      </c>
      <c r="C9892" t="s">
        <v>1195</v>
      </c>
    </row>
    <row r="9893" spans="2:3" x14ac:dyDescent="0.35">
      <c r="B9893" t="s">
        <v>1195</v>
      </c>
      <c r="C9893" t="s">
        <v>1195</v>
      </c>
    </row>
    <row r="9894" spans="2:3" x14ac:dyDescent="0.35">
      <c r="B9894" t="s">
        <v>1195</v>
      </c>
      <c r="C9894" t="s">
        <v>1195</v>
      </c>
    </row>
    <row r="9895" spans="2:3" x14ac:dyDescent="0.35">
      <c r="B9895" t="s">
        <v>1195</v>
      </c>
      <c r="C9895" t="s">
        <v>1195</v>
      </c>
    </row>
    <row r="9896" spans="2:3" x14ac:dyDescent="0.35">
      <c r="B9896" t="s">
        <v>1195</v>
      </c>
      <c r="C9896" t="s">
        <v>1195</v>
      </c>
    </row>
    <row r="9897" spans="2:3" x14ac:dyDescent="0.35">
      <c r="B9897" t="s">
        <v>1195</v>
      </c>
      <c r="C9897" t="s">
        <v>1195</v>
      </c>
    </row>
    <row r="9898" spans="2:3" x14ac:dyDescent="0.35">
      <c r="B9898" t="s">
        <v>1195</v>
      </c>
      <c r="C9898" t="s">
        <v>1195</v>
      </c>
    </row>
    <row r="9899" spans="2:3" x14ac:dyDescent="0.35">
      <c r="B9899" t="s">
        <v>1195</v>
      </c>
      <c r="C9899" t="s">
        <v>1195</v>
      </c>
    </row>
    <row r="9900" spans="2:3" x14ac:dyDescent="0.35">
      <c r="B9900" t="s">
        <v>1195</v>
      </c>
      <c r="C9900" t="s">
        <v>1195</v>
      </c>
    </row>
    <row r="9901" spans="2:3" x14ac:dyDescent="0.35">
      <c r="B9901" t="s">
        <v>1195</v>
      </c>
      <c r="C9901" t="s">
        <v>1195</v>
      </c>
    </row>
    <row r="9902" spans="2:3" x14ac:dyDescent="0.35">
      <c r="B9902" t="s">
        <v>1195</v>
      </c>
      <c r="C9902" t="s">
        <v>1195</v>
      </c>
    </row>
    <row r="9903" spans="2:3" x14ac:dyDescent="0.35">
      <c r="B9903" t="s">
        <v>1195</v>
      </c>
      <c r="C9903" t="s">
        <v>1195</v>
      </c>
    </row>
    <row r="9904" spans="2:3" x14ac:dyDescent="0.35">
      <c r="B9904" t="s">
        <v>1195</v>
      </c>
      <c r="C9904" t="s">
        <v>1195</v>
      </c>
    </row>
    <row r="9905" spans="2:3" x14ac:dyDescent="0.35">
      <c r="B9905" t="s">
        <v>1195</v>
      </c>
      <c r="C9905" t="s">
        <v>1195</v>
      </c>
    </row>
    <row r="9906" spans="2:3" x14ac:dyDescent="0.35">
      <c r="B9906" t="s">
        <v>1195</v>
      </c>
      <c r="C9906" t="s">
        <v>1195</v>
      </c>
    </row>
    <row r="9907" spans="2:3" x14ac:dyDescent="0.35">
      <c r="B9907" t="s">
        <v>1195</v>
      </c>
      <c r="C9907" t="s">
        <v>1195</v>
      </c>
    </row>
    <row r="9908" spans="2:3" x14ac:dyDescent="0.35">
      <c r="B9908" t="s">
        <v>1195</v>
      </c>
      <c r="C9908" t="s">
        <v>1195</v>
      </c>
    </row>
    <row r="9909" spans="2:3" x14ac:dyDescent="0.35">
      <c r="B9909" t="s">
        <v>1195</v>
      </c>
      <c r="C9909" t="s">
        <v>1195</v>
      </c>
    </row>
    <row r="9910" spans="2:3" x14ac:dyDescent="0.35">
      <c r="B9910" t="s">
        <v>1195</v>
      </c>
      <c r="C9910" t="s">
        <v>1195</v>
      </c>
    </row>
    <row r="9911" spans="2:3" x14ac:dyDescent="0.35">
      <c r="B9911" t="s">
        <v>1195</v>
      </c>
      <c r="C9911" t="s">
        <v>1195</v>
      </c>
    </row>
    <row r="9912" spans="2:3" x14ac:dyDescent="0.35">
      <c r="B9912" t="s">
        <v>1195</v>
      </c>
      <c r="C9912" t="s">
        <v>1195</v>
      </c>
    </row>
    <row r="9913" spans="2:3" x14ac:dyDescent="0.35">
      <c r="B9913" t="s">
        <v>1195</v>
      </c>
      <c r="C9913" t="s">
        <v>1195</v>
      </c>
    </row>
    <row r="9914" spans="2:3" x14ac:dyDescent="0.35">
      <c r="B9914" t="s">
        <v>1195</v>
      </c>
      <c r="C9914" t="s">
        <v>1195</v>
      </c>
    </row>
    <row r="9915" spans="2:3" x14ac:dyDescent="0.35">
      <c r="B9915" t="s">
        <v>1195</v>
      </c>
      <c r="C9915" t="s">
        <v>1195</v>
      </c>
    </row>
    <row r="9916" spans="2:3" x14ac:dyDescent="0.35">
      <c r="B9916" t="s">
        <v>1195</v>
      </c>
      <c r="C9916" t="s">
        <v>1195</v>
      </c>
    </row>
    <row r="9917" spans="2:3" x14ac:dyDescent="0.35">
      <c r="B9917" t="s">
        <v>1195</v>
      </c>
      <c r="C9917" t="s">
        <v>1195</v>
      </c>
    </row>
    <row r="9918" spans="2:3" x14ac:dyDescent="0.35">
      <c r="B9918" t="s">
        <v>1195</v>
      </c>
      <c r="C9918" t="s">
        <v>1195</v>
      </c>
    </row>
    <row r="9919" spans="2:3" x14ac:dyDescent="0.35">
      <c r="B9919" t="s">
        <v>1195</v>
      </c>
      <c r="C9919" t="s">
        <v>1195</v>
      </c>
    </row>
    <row r="9920" spans="2:3" x14ac:dyDescent="0.35">
      <c r="B9920" t="s">
        <v>1195</v>
      </c>
      <c r="C9920" t="s">
        <v>1195</v>
      </c>
    </row>
    <row r="9921" spans="2:3" x14ac:dyDescent="0.35">
      <c r="B9921" t="s">
        <v>1195</v>
      </c>
      <c r="C9921" t="s">
        <v>1195</v>
      </c>
    </row>
    <row r="9922" spans="2:3" x14ac:dyDescent="0.35">
      <c r="B9922" t="s">
        <v>1195</v>
      </c>
      <c r="C9922" t="s">
        <v>1195</v>
      </c>
    </row>
    <row r="9923" spans="2:3" x14ac:dyDescent="0.35">
      <c r="B9923" t="s">
        <v>1195</v>
      </c>
      <c r="C9923" t="s">
        <v>1195</v>
      </c>
    </row>
    <row r="9924" spans="2:3" x14ac:dyDescent="0.35">
      <c r="B9924" t="s">
        <v>1195</v>
      </c>
      <c r="C9924" t="s">
        <v>1195</v>
      </c>
    </row>
    <row r="9925" spans="2:3" x14ac:dyDescent="0.35">
      <c r="B9925" t="s">
        <v>1195</v>
      </c>
      <c r="C9925" t="s">
        <v>1195</v>
      </c>
    </row>
    <row r="9926" spans="2:3" x14ac:dyDescent="0.35">
      <c r="B9926" t="s">
        <v>1195</v>
      </c>
      <c r="C9926" t="s">
        <v>1195</v>
      </c>
    </row>
    <row r="9927" spans="2:3" x14ac:dyDescent="0.35">
      <c r="B9927" t="s">
        <v>1195</v>
      </c>
      <c r="C9927" t="s">
        <v>1195</v>
      </c>
    </row>
    <row r="9928" spans="2:3" x14ac:dyDescent="0.35">
      <c r="B9928" t="s">
        <v>1195</v>
      </c>
      <c r="C9928" t="s">
        <v>1195</v>
      </c>
    </row>
    <row r="9929" spans="2:3" x14ac:dyDescent="0.35">
      <c r="B9929" t="s">
        <v>1195</v>
      </c>
      <c r="C9929" t="s">
        <v>1195</v>
      </c>
    </row>
    <row r="9930" spans="2:3" x14ac:dyDescent="0.35">
      <c r="B9930" t="s">
        <v>1195</v>
      </c>
      <c r="C9930" t="s">
        <v>1195</v>
      </c>
    </row>
    <row r="9931" spans="2:3" x14ac:dyDescent="0.35">
      <c r="B9931" t="s">
        <v>1195</v>
      </c>
      <c r="C9931" t="s">
        <v>1195</v>
      </c>
    </row>
    <row r="9932" spans="2:3" x14ac:dyDescent="0.35">
      <c r="B9932" t="s">
        <v>1195</v>
      </c>
      <c r="C9932" t="s">
        <v>1195</v>
      </c>
    </row>
    <row r="9933" spans="2:3" x14ac:dyDescent="0.35">
      <c r="B9933" t="s">
        <v>1195</v>
      </c>
      <c r="C9933" t="s">
        <v>1195</v>
      </c>
    </row>
    <row r="9934" spans="2:3" x14ac:dyDescent="0.35">
      <c r="B9934" t="s">
        <v>1195</v>
      </c>
      <c r="C9934" t="s">
        <v>1195</v>
      </c>
    </row>
    <row r="9935" spans="2:3" x14ac:dyDescent="0.35">
      <c r="B9935" t="s">
        <v>1195</v>
      </c>
      <c r="C9935" t="s">
        <v>1195</v>
      </c>
    </row>
    <row r="9936" spans="2:3" x14ac:dyDescent="0.35">
      <c r="B9936" t="s">
        <v>1195</v>
      </c>
      <c r="C9936" t="s">
        <v>1195</v>
      </c>
    </row>
    <row r="9937" spans="2:3" x14ac:dyDescent="0.35">
      <c r="B9937" t="s">
        <v>1195</v>
      </c>
      <c r="C9937" t="s">
        <v>1195</v>
      </c>
    </row>
    <row r="9938" spans="2:3" x14ac:dyDescent="0.35">
      <c r="B9938" t="s">
        <v>1195</v>
      </c>
      <c r="C9938" t="s">
        <v>1195</v>
      </c>
    </row>
    <row r="9939" spans="2:3" x14ac:dyDescent="0.35">
      <c r="B9939" t="s">
        <v>1195</v>
      </c>
      <c r="C9939" t="s">
        <v>1195</v>
      </c>
    </row>
    <row r="9940" spans="2:3" x14ac:dyDescent="0.35">
      <c r="B9940" t="s">
        <v>1195</v>
      </c>
      <c r="C9940" t="s">
        <v>1195</v>
      </c>
    </row>
    <row r="9941" spans="2:3" x14ac:dyDescent="0.35">
      <c r="B9941" t="s">
        <v>1195</v>
      </c>
      <c r="C9941" t="s">
        <v>1195</v>
      </c>
    </row>
    <row r="9942" spans="2:3" x14ac:dyDescent="0.35">
      <c r="B9942" t="s">
        <v>1195</v>
      </c>
      <c r="C9942" t="s">
        <v>1195</v>
      </c>
    </row>
    <row r="9943" spans="2:3" x14ac:dyDescent="0.35">
      <c r="B9943" t="s">
        <v>1195</v>
      </c>
      <c r="C9943" t="s">
        <v>1195</v>
      </c>
    </row>
    <row r="9944" spans="2:3" x14ac:dyDescent="0.35">
      <c r="B9944" t="s">
        <v>1195</v>
      </c>
      <c r="C9944" t="s">
        <v>1195</v>
      </c>
    </row>
    <row r="9945" spans="2:3" x14ac:dyDescent="0.35">
      <c r="B9945" t="s">
        <v>1195</v>
      </c>
      <c r="C9945" t="s">
        <v>1195</v>
      </c>
    </row>
    <row r="9946" spans="2:3" x14ac:dyDescent="0.35">
      <c r="B9946" t="s">
        <v>1195</v>
      </c>
      <c r="C9946" t="s">
        <v>1195</v>
      </c>
    </row>
    <row r="9947" spans="2:3" x14ac:dyDescent="0.35">
      <c r="B9947" t="s">
        <v>1195</v>
      </c>
      <c r="C9947" t="s">
        <v>1195</v>
      </c>
    </row>
    <row r="9948" spans="2:3" x14ac:dyDescent="0.35">
      <c r="B9948" t="s">
        <v>1195</v>
      </c>
      <c r="C9948" t="s">
        <v>1195</v>
      </c>
    </row>
    <row r="9949" spans="2:3" x14ac:dyDescent="0.35">
      <c r="B9949" t="s">
        <v>1195</v>
      </c>
      <c r="C9949" t="s">
        <v>1195</v>
      </c>
    </row>
    <row r="9950" spans="2:3" x14ac:dyDescent="0.35">
      <c r="B9950" t="s">
        <v>1195</v>
      </c>
      <c r="C9950" t="s">
        <v>1195</v>
      </c>
    </row>
    <row r="9951" spans="2:3" x14ac:dyDescent="0.35">
      <c r="B9951" t="s">
        <v>1195</v>
      </c>
      <c r="C9951" t="s">
        <v>1195</v>
      </c>
    </row>
    <row r="9952" spans="2:3" x14ac:dyDescent="0.35">
      <c r="B9952" t="s">
        <v>1195</v>
      </c>
      <c r="C9952" t="s">
        <v>1195</v>
      </c>
    </row>
    <row r="9953" spans="2:3" x14ac:dyDescent="0.35">
      <c r="B9953" t="s">
        <v>1195</v>
      </c>
      <c r="C9953" t="s">
        <v>1195</v>
      </c>
    </row>
    <row r="9954" spans="2:3" x14ac:dyDescent="0.35">
      <c r="B9954" t="s">
        <v>1195</v>
      </c>
      <c r="C9954" t="s">
        <v>1195</v>
      </c>
    </row>
    <row r="9955" spans="2:3" x14ac:dyDescent="0.35">
      <c r="B9955" t="s">
        <v>1195</v>
      </c>
      <c r="C9955" t="s">
        <v>1195</v>
      </c>
    </row>
    <row r="9956" spans="2:3" x14ac:dyDescent="0.35">
      <c r="B9956" t="s">
        <v>1195</v>
      </c>
      <c r="C9956" t="s">
        <v>1195</v>
      </c>
    </row>
    <row r="9957" spans="2:3" x14ac:dyDescent="0.35">
      <c r="B9957" t="s">
        <v>1195</v>
      </c>
      <c r="C9957" t="s">
        <v>1195</v>
      </c>
    </row>
    <row r="9958" spans="2:3" x14ac:dyDescent="0.35">
      <c r="B9958" t="s">
        <v>1195</v>
      </c>
      <c r="C9958" t="s">
        <v>1195</v>
      </c>
    </row>
    <row r="9959" spans="2:3" x14ac:dyDescent="0.35">
      <c r="B9959" t="s">
        <v>1195</v>
      </c>
      <c r="C9959" t="s">
        <v>1195</v>
      </c>
    </row>
    <row r="9960" spans="2:3" x14ac:dyDescent="0.35">
      <c r="B9960" t="s">
        <v>1195</v>
      </c>
      <c r="C9960" t="s">
        <v>1195</v>
      </c>
    </row>
    <row r="9961" spans="2:3" x14ac:dyDescent="0.35">
      <c r="B9961" t="s">
        <v>1195</v>
      </c>
      <c r="C9961" t="s">
        <v>1195</v>
      </c>
    </row>
    <row r="9962" spans="2:3" x14ac:dyDescent="0.35">
      <c r="B9962" t="s">
        <v>1195</v>
      </c>
      <c r="C9962" t="s">
        <v>1195</v>
      </c>
    </row>
    <row r="9963" spans="2:3" x14ac:dyDescent="0.35">
      <c r="B9963" t="s">
        <v>1195</v>
      </c>
      <c r="C9963" t="s">
        <v>1195</v>
      </c>
    </row>
    <row r="9964" spans="2:3" x14ac:dyDescent="0.35">
      <c r="B9964" t="s">
        <v>1195</v>
      </c>
      <c r="C9964" t="s">
        <v>1195</v>
      </c>
    </row>
    <row r="9965" spans="2:3" x14ac:dyDescent="0.35">
      <c r="B9965" t="s">
        <v>1195</v>
      </c>
      <c r="C9965" t="s">
        <v>1195</v>
      </c>
    </row>
    <row r="9966" spans="2:3" x14ac:dyDescent="0.35">
      <c r="B9966" t="s">
        <v>1195</v>
      </c>
      <c r="C9966" t="s">
        <v>1195</v>
      </c>
    </row>
    <row r="9967" spans="2:3" x14ac:dyDescent="0.35">
      <c r="B9967" t="s">
        <v>1195</v>
      </c>
      <c r="C9967" t="s">
        <v>1195</v>
      </c>
    </row>
    <row r="9968" spans="2:3" x14ac:dyDescent="0.35">
      <c r="B9968" t="s">
        <v>1195</v>
      </c>
      <c r="C9968" t="s">
        <v>1195</v>
      </c>
    </row>
    <row r="9969" spans="2:3" x14ac:dyDescent="0.35">
      <c r="B9969" t="s">
        <v>1195</v>
      </c>
      <c r="C9969" t="s">
        <v>1195</v>
      </c>
    </row>
    <row r="9970" spans="2:3" x14ac:dyDescent="0.35">
      <c r="B9970" t="s">
        <v>1195</v>
      </c>
      <c r="C9970" t="s">
        <v>1195</v>
      </c>
    </row>
    <row r="9971" spans="2:3" x14ac:dyDescent="0.35">
      <c r="B9971" t="s">
        <v>1195</v>
      </c>
      <c r="C9971" t="s">
        <v>1195</v>
      </c>
    </row>
    <row r="9972" spans="2:3" x14ac:dyDescent="0.35">
      <c r="B9972" t="s">
        <v>1195</v>
      </c>
      <c r="C9972" t="s">
        <v>1195</v>
      </c>
    </row>
    <row r="9973" spans="2:3" x14ac:dyDescent="0.35">
      <c r="B9973" t="s">
        <v>1195</v>
      </c>
      <c r="C9973" t="s">
        <v>1195</v>
      </c>
    </row>
    <row r="9974" spans="2:3" x14ac:dyDescent="0.35">
      <c r="B9974" t="s">
        <v>1195</v>
      </c>
      <c r="C9974" t="s">
        <v>1195</v>
      </c>
    </row>
    <row r="9975" spans="2:3" x14ac:dyDescent="0.35">
      <c r="B9975" t="s">
        <v>1195</v>
      </c>
      <c r="C9975" t="s">
        <v>1195</v>
      </c>
    </row>
    <row r="9976" spans="2:3" x14ac:dyDescent="0.35">
      <c r="B9976" t="s">
        <v>1195</v>
      </c>
      <c r="C9976" t="s">
        <v>1195</v>
      </c>
    </row>
    <row r="9977" spans="2:3" x14ac:dyDescent="0.35">
      <c r="B9977" t="s">
        <v>1195</v>
      </c>
      <c r="C9977" t="s">
        <v>1195</v>
      </c>
    </row>
    <row r="9978" spans="2:3" x14ac:dyDescent="0.35">
      <c r="B9978" t="s">
        <v>1195</v>
      </c>
      <c r="C9978" t="s">
        <v>1195</v>
      </c>
    </row>
    <row r="9979" spans="2:3" x14ac:dyDescent="0.35">
      <c r="B9979" t="s">
        <v>1195</v>
      </c>
      <c r="C9979" t="s">
        <v>1195</v>
      </c>
    </row>
    <row r="9980" spans="2:3" x14ac:dyDescent="0.35">
      <c r="B9980" t="s">
        <v>1195</v>
      </c>
      <c r="C9980" t="s">
        <v>1195</v>
      </c>
    </row>
    <row r="9981" spans="2:3" x14ac:dyDescent="0.35">
      <c r="B9981" t="s">
        <v>1195</v>
      </c>
      <c r="C9981" t="s">
        <v>1195</v>
      </c>
    </row>
    <row r="9982" spans="2:3" x14ac:dyDescent="0.35">
      <c r="B9982" t="s">
        <v>1195</v>
      </c>
      <c r="C9982" t="s">
        <v>1195</v>
      </c>
    </row>
    <row r="9983" spans="2:3" x14ac:dyDescent="0.35">
      <c r="B9983" t="s">
        <v>1195</v>
      </c>
      <c r="C9983" t="s">
        <v>1195</v>
      </c>
    </row>
    <row r="9984" spans="2:3" x14ac:dyDescent="0.35">
      <c r="B9984" t="s">
        <v>1195</v>
      </c>
      <c r="C9984" t="s">
        <v>1195</v>
      </c>
    </row>
    <row r="9985" spans="2:3" x14ac:dyDescent="0.35">
      <c r="B9985" t="s">
        <v>1195</v>
      </c>
      <c r="C9985" t="s">
        <v>1195</v>
      </c>
    </row>
    <row r="9986" spans="2:3" x14ac:dyDescent="0.35">
      <c r="B9986" t="s">
        <v>1195</v>
      </c>
      <c r="C9986" t="s">
        <v>1195</v>
      </c>
    </row>
    <row r="9987" spans="2:3" x14ac:dyDescent="0.35">
      <c r="B9987" t="s">
        <v>1195</v>
      </c>
      <c r="C9987" t="s">
        <v>1195</v>
      </c>
    </row>
    <row r="9988" spans="2:3" x14ac:dyDescent="0.35">
      <c r="B9988" t="s">
        <v>1195</v>
      </c>
      <c r="C9988" t="s">
        <v>1195</v>
      </c>
    </row>
    <row r="9989" spans="2:3" x14ac:dyDescent="0.35">
      <c r="B9989" t="s">
        <v>1195</v>
      </c>
      <c r="C9989" t="s">
        <v>1195</v>
      </c>
    </row>
    <row r="9990" spans="2:3" x14ac:dyDescent="0.35">
      <c r="B9990" t="s">
        <v>1195</v>
      </c>
      <c r="C9990" t="s">
        <v>1195</v>
      </c>
    </row>
    <row r="9991" spans="2:3" x14ac:dyDescent="0.35">
      <c r="B9991" t="s">
        <v>1195</v>
      </c>
      <c r="C9991" t="s">
        <v>1195</v>
      </c>
    </row>
    <row r="9992" spans="2:3" x14ac:dyDescent="0.35">
      <c r="B9992" t="s">
        <v>1195</v>
      </c>
      <c r="C9992" t="s">
        <v>1195</v>
      </c>
    </row>
    <row r="9993" spans="2:3" x14ac:dyDescent="0.35">
      <c r="B9993" t="s">
        <v>1195</v>
      </c>
      <c r="C9993" t="s">
        <v>1195</v>
      </c>
    </row>
    <row r="9994" spans="2:3" x14ac:dyDescent="0.35">
      <c r="B9994" t="s">
        <v>1195</v>
      </c>
      <c r="C9994" t="s">
        <v>1195</v>
      </c>
    </row>
    <row r="9995" spans="2:3" x14ac:dyDescent="0.35">
      <c r="B9995" t="s">
        <v>1195</v>
      </c>
      <c r="C9995" t="s">
        <v>1195</v>
      </c>
    </row>
    <row r="9996" spans="2:3" x14ac:dyDescent="0.35">
      <c r="B9996" t="s">
        <v>1195</v>
      </c>
      <c r="C9996" t="s">
        <v>1195</v>
      </c>
    </row>
    <row r="9997" spans="2:3" x14ac:dyDescent="0.35">
      <c r="B9997" t="s">
        <v>1195</v>
      </c>
      <c r="C9997" t="s">
        <v>1195</v>
      </c>
    </row>
    <row r="9998" spans="2:3" x14ac:dyDescent="0.35">
      <c r="B9998" t="s">
        <v>1195</v>
      </c>
      <c r="C9998" t="s">
        <v>1195</v>
      </c>
    </row>
    <row r="9999" spans="2:3" x14ac:dyDescent="0.35">
      <c r="B9999" t="s">
        <v>1195</v>
      </c>
      <c r="C9999" t="s">
        <v>1195</v>
      </c>
    </row>
    <row r="10000" spans="2:3" x14ac:dyDescent="0.35">
      <c r="B10000" t="s">
        <v>1195</v>
      </c>
      <c r="C10000" t="s">
        <v>1195</v>
      </c>
    </row>
    <row r="10001" spans="2:3" x14ac:dyDescent="0.35">
      <c r="B10001" t="s">
        <v>1195</v>
      </c>
      <c r="C10001" t="s">
        <v>1195</v>
      </c>
    </row>
    <row r="10002" spans="2:3" x14ac:dyDescent="0.35">
      <c r="B10002" t="s">
        <v>1195</v>
      </c>
      <c r="C10002" t="s">
        <v>1195</v>
      </c>
    </row>
    <row r="10003" spans="2:3" x14ac:dyDescent="0.35">
      <c r="B10003" t="s">
        <v>1195</v>
      </c>
      <c r="C10003" t="s">
        <v>1195</v>
      </c>
    </row>
    <row r="10004" spans="2:3" x14ac:dyDescent="0.35">
      <c r="B10004" t="s">
        <v>1195</v>
      </c>
      <c r="C10004" t="s">
        <v>1195</v>
      </c>
    </row>
    <row r="10005" spans="2:3" x14ac:dyDescent="0.35">
      <c r="B10005" t="s">
        <v>1195</v>
      </c>
      <c r="C10005" t="s">
        <v>1195</v>
      </c>
    </row>
    <row r="10006" spans="2:3" x14ac:dyDescent="0.35">
      <c r="B10006" t="s">
        <v>1195</v>
      </c>
      <c r="C10006" t="s">
        <v>1195</v>
      </c>
    </row>
    <row r="10007" spans="2:3" x14ac:dyDescent="0.35">
      <c r="B10007" t="s">
        <v>1195</v>
      </c>
      <c r="C10007" t="s">
        <v>1195</v>
      </c>
    </row>
    <row r="10008" spans="2:3" x14ac:dyDescent="0.35">
      <c r="B10008" t="s">
        <v>1195</v>
      </c>
      <c r="C10008" t="s">
        <v>1195</v>
      </c>
    </row>
    <row r="10009" spans="2:3" x14ac:dyDescent="0.35">
      <c r="B10009" t="s">
        <v>1195</v>
      </c>
      <c r="C10009" t="s">
        <v>1195</v>
      </c>
    </row>
    <row r="10010" spans="2:3" x14ac:dyDescent="0.35">
      <c r="B10010" t="s">
        <v>1195</v>
      </c>
      <c r="C10010" t="s">
        <v>1195</v>
      </c>
    </row>
    <row r="10011" spans="2:3" x14ac:dyDescent="0.35">
      <c r="B10011" t="s">
        <v>1195</v>
      </c>
      <c r="C10011" t="s">
        <v>1195</v>
      </c>
    </row>
    <row r="10012" spans="2:3" x14ac:dyDescent="0.35">
      <c r="B10012" t="s">
        <v>1195</v>
      </c>
      <c r="C10012" t="s">
        <v>1195</v>
      </c>
    </row>
    <row r="10013" spans="2:3" x14ac:dyDescent="0.35">
      <c r="B10013" t="s">
        <v>1195</v>
      </c>
      <c r="C10013" t="s">
        <v>1195</v>
      </c>
    </row>
    <row r="10014" spans="2:3" x14ac:dyDescent="0.35">
      <c r="B10014" t="s">
        <v>1195</v>
      </c>
      <c r="C10014" t="s">
        <v>1195</v>
      </c>
    </row>
    <row r="10015" spans="2:3" x14ac:dyDescent="0.35">
      <c r="B10015" t="s">
        <v>1195</v>
      </c>
      <c r="C10015" t="s">
        <v>1195</v>
      </c>
    </row>
    <row r="10016" spans="2:3" x14ac:dyDescent="0.35">
      <c r="B10016" t="s">
        <v>1195</v>
      </c>
      <c r="C10016" t="s">
        <v>1195</v>
      </c>
    </row>
    <row r="10017" spans="2:3" x14ac:dyDescent="0.35">
      <c r="B10017" t="s">
        <v>1195</v>
      </c>
      <c r="C10017" t="s">
        <v>1195</v>
      </c>
    </row>
    <row r="10018" spans="2:3" x14ac:dyDescent="0.35">
      <c r="B10018" t="s">
        <v>1195</v>
      </c>
      <c r="C10018" t="s">
        <v>1195</v>
      </c>
    </row>
    <row r="10019" spans="2:3" x14ac:dyDescent="0.35">
      <c r="B10019" t="s">
        <v>1195</v>
      </c>
      <c r="C10019" t="s">
        <v>1195</v>
      </c>
    </row>
    <row r="10020" spans="2:3" x14ac:dyDescent="0.35">
      <c r="B10020" t="s">
        <v>1195</v>
      </c>
      <c r="C10020" t="s">
        <v>1195</v>
      </c>
    </row>
    <row r="10021" spans="2:3" x14ac:dyDescent="0.35">
      <c r="B10021" t="s">
        <v>1195</v>
      </c>
      <c r="C10021" t="s">
        <v>1195</v>
      </c>
    </row>
    <row r="10022" spans="2:3" x14ac:dyDescent="0.35">
      <c r="B10022" t="s">
        <v>1195</v>
      </c>
      <c r="C10022" t="s">
        <v>1195</v>
      </c>
    </row>
    <row r="10023" spans="2:3" x14ac:dyDescent="0.35">
      <c r="B10023" t="s">
        <v>1195</v>
      </c>
      <c r="C10023" t="s">
        <v>1195</v>
      </c>
    </row>
    <row r="10024" spans="2:3" x14ac:dyDescent="0.35">
      <c r="B10024" t="s">
        <v>1195</v>
      </c>
      <c r="C10024" t="s">
        <v>1195</v>
      </c>
    </row>
    <row r="10025" spans="2:3" x14ac:dyDescent="0.35">
      <c r="B10025" t="s">
        <v>1195</v>
      </c>
      <c r="C10025" t="s">
        <v>1195</v>
      </c>
    </row>
    <row r="10026" spans="2:3" x14ac:dyDescent="0.35">
      <c r="B10026" t="s">
        <v>1195</v>
      </c>
      <c r="C10026" t="s">
        <v>1195</v>
      </c>
    </row>
    <row r="10027" spans="2:3" x14ac:dyDescent="0.35">
      <c r="B10027" t="s">
        <v>1195</v>
      </c>
      <c r="C10027" t="s">
        <v>1195</v>
      </c>
    </row>
    <row r="10028" spans="2:3" x14ac:dyDescent="0.35">
      <c r="B10028" t="s">
        <v>1195</v>
      </c>
      <c r="C10028" t="s">
        <v>1195</v>
      </c>
    </row>
    <row r="10029" spans="2:3" x14ac:dyDescent="0.35">
      <c r="B10029" t="s">
        <v>1195</v>
      </c>
      <c r="C10029" t="s">
        <v>1195</v>
      </c>
    </row>
    <row r="10030" spans="2:3" x14ac:dyDescent="0.35">
      <c r="B10030" t="s">
        <v>1195</v>
      </c>
      <c r="C10030" t="s">
        <v>1195</v>
      </c>
    </row>
    <row r="10031" spans="2:3" x14ac:dyDescent="0.35">
      <c r="B10031" t="s">
        <v>1195</v>
      </c>
      <c r="C10031" t="s">
        <v>1195</v>
      </c>
    </row>
    <row r="10032" spans="2:3" x14ac:dyDescent="0.35">
      <c r="B10032" t="s">
        <v>1195</v>
      </c>
      <c r="C10032" t="s">
        <v>1195</v>
      </c>
    </row>
    <row r="10033" spans="2:3" x14ac:dyDescent="0.35">
      <c r="B10033" t="s">
        <v>1195</v>
      </c>
      <c r="C10033" t="s">
        <v>1195</v>
      </c>
    </row>
    <row r="10034" spans="2:3" x14ac:dyDescent="0.35">
      <c r="B10034" t="s">
        <v>1195</v>
      </c>
      <c r="C10034" t="s">
        <v>1195</v>
      </c>
    </row>
    <row r="10035" spans="2:3" x14ac:dyDescent="0.35">
      <c r="B10035" t="s">
        <v>1195</v>
      </c>
      <c r="C10035" t="s">
        <v>1195</v>
      </c>
    </row>
    <row r="10036" spans="2:3" x14ac:dyDescent="0.35">
      <c r="B10036" t="s">
        <v>1195</v>
      </c>
      <c r="C10036" t="s">
        <v>1195</v>
      </c>
    </row>
    <row r="10037" spans="2:3" x14ac:dyDescent="0.35">
      <c r="B10037" t="s">
        <v>1195</v>
      </c>
      <c r="C10037" t="s">
        <v>1195</v>
      </c>
    </row>
    <row r="10038" spans="2:3" x14ac:dyDescent="0.35">
      <c r="B10038" t="s">
        <v>1195</v>
      </c>
      <c r="C10038" t="s">
        <v>1195</v>
      </c>
    </row>
    <row r="10039" spans="2:3" x14ac:dyDescent="0.35">
      <c r="B10039" t="s">
        <v>1195</v>
      </c>
      <c r="C10039" t="s">
        <v>1195</v>
      </c>
    </row>
    <row r="10040" spans="2:3" x14ac:dyDescent="0.35">
      <c r="B10040" t="s">
        <v>1195</v>
      </c>
      <c r="C10040" t="s">
        <v>1195</v>
      </c>
    </row>
    <row r="10041" spans="2:3" x14ac:dyDescent="0.35">
      <c r="B10041" t="s">
        <v>1195</v>
      </c>
      <c r="C10041" t="s">
        <v>1195</v>
      </c>
    </row>
    <row r="10042" spans="2:3" x14ac:dyDescent="0.35">
      <c r="B10042" t="s">
        <v>1195</v>
      </c>
      <c r="C10042" t="s">
        <v>1195</v>
      </c>
    </row>
    <row r="10043" spans="2:3" x14ac:dyDescent="0.35">
      <c r="B10043" t="s">
        <v>1195</v>
      </c>
      <c r="C10043" t="s">
        <v>1195</v>
      </c>
    </row>
    <row r="10044" spans="2:3" x14ac:dyDescent="0.35">
      <c r="B10044" t="s">
        <v>1195</v>
      </c>
      <c r="C10044" t="s">
        <v>1195</v>
      </c>
    </row>
    <row r="10045" spans="2:3" x14ac:dyDescent="0.35">
      <c r="B10045" t="s">
        <v>1195</v>
      </c>
      <c r="C10045" t="s">
        <v>1195</v>
      </c>
    </row>
    <row r="10046" spans="2:3" x14ac:dyDescent="0.35">
      <c r="B10046" t="s">
        <v>1195</v>
      </c>
      <c r="C10046" t="s">
        <v>1195</v>
      </c>
    </row>
    <row r="10047" spans="2:3" x14ac:dyDescent="0.35">
      <c r="B10047" t="s">
        <v>1195</v>
      </c>
      <c r="C10047" t="s">
        <v>1195</v>
      </c>
    </row>
    <row r="10048" spans="2:3" x14ac:dyDescent="0.35">
      <c r="B10048" t="s">
        <v>1195</v>
      </c>
      <c r="C10048" t="s">
        <v>1195</v>
      </c>
    </row>
    <row r="10049" spans="2:3" x14ac:dyDescent="0.35">
      <c r="B10049" t="s">
        <v>1195</v>
      </c>
      <c r="C10049" t="s">
        <v>1195</v>
      </c>
    </row>
    <row r="10050" spans="2:3" x14ac:dyDescent="0.35">
      <c r="B10050" t="s">
        <v>1195</v>
      </c>
      <c r="C10050" t="s">
        <v>1195</v>
      </c>
    </row>
    <row r="10051" spans="2:3" x14ac:dyDescent="0.35">
      <c r="B10051" t="s">
        <v>1195</v>
      </c>
      <c r="C10051" t="s">
        <v>1195</v>
      </c>
    </row>
    <row r="10052" spans="2:3" x14ac:dyDescent="0.35">
      <c r="B10052" t="s">
        <v>1195</v>
      </c>
      <c r="C10052" t="s">
        <v>1195</v>
      </c>
    </row>
    <row r="10053" spans="2:3" x14ac:dyDescent="0.35">
      <c r="B10053" t="s">
        <v>1195</v>
      </c>
      <c r="C10053" t="s">
        <v>1195</v>
      </c>
    </row>
    <row r="10054" spans="2:3" x14ac:dyDescent="0.35">
      <c r="B10054" t="s">
        <v>1195</v>
      </c>
      <c r="C10054" t="s">
        <v>1195</v>
      </c>
    </row>
    <row r="10055" spans="2:3" x14ac:dyDescent="0.35">
      <c r="B10055" t="s">
        <v>1195</v>
      </c>
      <c r="C10055" t="s">
        <v>1195</v>
      </c>
    </row>
    <row r="10056" spans="2:3" x14ac:dyDescent="0.35">
      <c r="B10056" t="s">
        <v>1195</v>
      </c>
      <c r="C10056" t="s">
        <v>1195</v>
      </c>
    </row>
    <row r="10057" spans="2:3" x14ac:dyDescent="0.35">
      <c r="B10057" t="s">
        <v>1195</v>
      </c>
      <c r="C10057" t="s">
        <v>1195</v>
      </c>
    </row>
    <row r="10058" spans="2:3" x14ac:dyDescent="0.35">
      <c r="B10058" t="s">
        <v>1195</v>
      </c>
      <c r="C10058" t="s">
        <v>1195</v>
      </c>
    </row>
    <row r="10059" spans="2:3" x14ac:dyDescent="0.35">
      <c r="B10059" t="s">
        <v>1195</v>
      </c>
      <c r="C10059" t="s">
        <v>1195</v>
      </c>
    </row>
    <row r="10060" spans="2:3" x14ac:dyDescent="0.35">
      <c r="B10060" t="s">
        <v>1195</v>
      </c>
      <c r="C10060" t="s">
        <v>1195</v>
      </c>
    </row>
    <row r="10061" spans="2:3" x14ac:dyDescent="0.35">
      <c r="B10061" t="s">
        <v>1195</v>
      </c>
      <c r="C10061" t="s">
        <v>1195</v>
      </c>
    </row>
    <row r="10062" spans="2:3" x14ac:dyDescent="0.35">
      <c r="B10062" t="s">
        <v>1195</v>
      </c>
      <c r="C10062" t="s">
        <v>1195</v>
      </c>
    </row>
    <row r="10063" spans="2:3" x14ac:dyDescent="0.35">
      <c r="B10063" t="s">
        <v>1195</v>
      </c>
      <c r="C10063" t="s">
        <v>1195</v>
      </c>
    </row>
    <row r="10064" spans="2:3" x14ac:dyDescent="0.35">
      <c r="B10064" t="s">
        <v>1195</v>
      </c>
      <c r="C10064" t="s">
        <v>1195</v>
      </c>
    </row>
    <row r="10065" spans="2:3" x14ac:dyDescent="0.35">
      <c r="B10065" t="s">
        <v>1195</v>
      </c>
      <c r="C10065" t="s">
        <v>1195</v>
      </c>
    </row>
    <row r="10066" spans="2:3" x14ac:dyDescent="0.35">
      <c r="B10066" t="s">
        <v>1195</v>
      </c>
      <c r="C10066" t="s">
        <v>1195</v>
      </c>
    </row>
    <row r="10067" spans="2:3" x14ac:dyDescent="0.35">
      <c r="B10067" t="s">
        <v>1195</v>
      </c>
      <c r="C10067" t="s">
        <v>1195</v>
      </c>
    </row>
    <row r="10068" spans="2:3" x14ac:dyDescent="0.35">
      <c r="B10068" t="s">
        <v>1195</v>
      </c>
      <c r="C10068" t="s">
        <v>1195</v>
      </c>
    </row>
    <row r="10069" spans="2:3" x14ac:dyDescent="0.35">
      <c r="B10069" t="s">
        <v>1195</v>
      </c>
      <c r="C10069" t="s">
        <v>1195</v>
      </c>
    </row>
    <row r="10070" spans="2:3" x14ac:dyDescent="0.35">
      <c r="B10070" t="s">
        <v>1195</v>
      </c>
      <c r="C10070" t="s">
        <v>1195</v>
      </c>
    </row>
    <row r="10071" spans="2:3" x14ac:dyDescent="0.35">
      <c r="B10071" t="s">
        <v>1195</v>
      </c>
      <c r="C10071" t="s">
        <v>1195</v>
      </c>
    </row>
    <row r="10072" spans="2:3" x14ac:dyDescent="0.35">
      <c r="B10072" t="s">
        <v>1195</v>
      </c>
      <c r="C10072" t="s">
        <v>1195</v>
      </c>
    </row>
    <row r="10073" spans="2:3" x14ac:dyDescent="0.35">
      <c r="B10073" t="s">
        <v>1195</v>
      </c>
      <c r="C10073" t="s">
        <v>1195</v>
      </c>
    </row>
    <row r="10074" spans="2:3" x14ac:dyDescent="0.35">
      <c r="B10074" t="s">
        <v>1195</v>
      </c>
      <c r="C10074" t="s">
        <v>1195</v>
      </c>
    </row>
    <row r="10075" spans="2:3" x14ac:dyDescent="0.35">
      <c r="B10075" t="s">
        <v>1195</v>
      </c>
      <c r="C10075" t="s">
        <v>1195</v>
      </c>
    </row>
    <row r="10076" spans="2:3" x14ac:dyDescent="0.35">
      <c r="B10076" t="s">
        <v>1195</v>
      </c>
      <c r="C10076" t="s">
        <v>1195</v>
      </c>
    </row>
    <row r="10077" spans="2:3" x14ac:dyDescent="0.35">
      <c r="B10077" t="s">
        <v>1195</v>
      </c>
      <c r="C10077" t="s">
        <v>1195</v>
      </c>
    </row>
    <row r="10078" spans="2:3" x14ac:dyDescent="0.35">
      <c r="B10078" t="s">
        <v>1195</v>
      </c>
      <c r="C10078" t="s">
        <v>1195</v>
      </c>
    </row>
    <row r="10079" spans="2:3" x14ac:dyDescent="0.35">
      <c r="B10079" t="s">
        <v>1195</v>
      </c>
      <c r="C10079" t="s">
        <v>1195</v>
      </c>
    </row>
    <row r="10080" spans="2:3" x14ac:dyDescent="0.35">
      <c r="B10080" t="s">
        <v>1195</v>
      </c>
      <c r="C10080" t="s">
        <v>1195</v>
      </c>
    </row>
    <row r="10081" spans="2:3" x14ac:dyDescent="0.35">
      <c r="B10081" t="s">
        <v>1195</v>
      </c>
      <c r="C10081" t="s">
        <v>1195</v>
      </c>
    </row>
    <row r="10082" spans="2:3" x14ac:dyDescent="0.35">
      <c r="B10082" t="s">
        <v>1195</v>
      </c>
      <c r="C10082" t="s">
        <v>1195</v>
      </c>
    </row>
    <row r="10083" spans="2:3" x14ac:dyDescent="0.35">
      <c r="B10083" t="s">
        <v>1195</v>
      </c>
      <c r="C10083" t="s">
        <v>1195</v>
      </c>
    </row>
    <row r="10084" spans="2:3" x14ac:dyDescent="0.35">
      <c r="B10084" t="s">
        <v>1195</v>
      </c>
      <c r="C10084" t="s">
        <v>1195</v>
      </c>
    </row>
    <row r="10085" spans="2:3" x14ac:dyDescent="0.35">
      <c r="B10085" t="s">
        <v>1195</v>
      </c>
      <c r="C10085" t="s">
        <v>1195</v>
      </c>
    </row>
    <row r="10086" spans="2:3" x14ac:dyDescent="0.35">
      <c r="B10086" t="s">
        <v>1195</v>
      </c>
      <c r="C10086" t="s">
        <v>1195</v>
      </c>
    </row>
    <row r="10087" spans="2:3" x14ac:dyDescent="0.35">
      <c r="B10087" t="s">
        <v>1195</v>
      </c>
      <c r="C10087" t="s">
        <v>1195</v>
      </c>
    </row>
    <row r="10088" spans="2:3" x14ac:dyDescent="0.35">
      <c r="B10088" t="s">
        <v>1195</v>
      </c>
      <c r="C10088" t="s">
        <v>1195</v>
      </c>
    </row>
    <row r="10089" spans="2:3" x14ac:dyDescent="0.35">
      <c r="B10089" t="s">
        <v>1195</v>
      </c>
      <c r="C10089" t="s">
        <v>1195</v>
      </c>
    </row>
    <row r="10090" spans="2:3" x14ac:dyDescent="0.35">
      <c r="B10090" t="s">
        <v>1195</v>
      </c>
      <c r="C10090" t="s">
        <v>1195</v>
      </c>
    </row>
    <row r="10091" spans="2:3" x14ac:dyDescent="0.35">
      <c r="B10091" t="s">
        <v>1195</v>
      </c>
      <c r="C10091" t="s">
        <v>1195</v>
      </c>
    </row>
    <row r="10092" spans="2:3" x14ac:dyDescent="0.35">
      <c r="B10092" t="s">
        <v>1195</v>
      </c>
      <c r="C10092" t="s">
        <v>1195</v>
      </c>
    </row>
    <row r="10093" spans="2:3" x14ac:dyDescent="0.35">
      <c r="B10093" t="s">
        <v>1195</v>
      </c>
      <c r="C10093" t="s">
        <v>1195</v>
      </c>
    </row>
    <row r="10094" spans="2:3" x14ac:dyDescent="0.35">
      <c r="B10094" t="s">
        <v>1195</v>
      </c>
      <c r="C10094" t="s">
        <v>1195</v>
      </c>
    </row>
    <row r="10095" spans="2:3" x14ac:dyDescent="0.35">
      <c r="B10095" t="s">
        <v>1195</v>
      </c>
      <c r="C10095" t="s">
        <v>1195</v>
      </c>
    </row>
    <row r="10096" spans="2:3" x14ac:dyDescent="0.35">
      <c r="B10096" t="s">
        <v>1195</v>
      </c>
      <c r="C10096" t="s">
        <v>1195</v>
      </c>
    </row>
    <row r="10097" spans="2:3" x14ac:dyDescent="0.35">
      <c r="B10097" t="s">
        <v>1195</v>
      </c>
      <c r="C10097" t="s">
        <v>1195</v>
      </c>
    </row>
    <row r="10098" spans="2:3" x14ac:dyDescent="0.35">
      <c r="B10098" t="s">
        <v>1195</v>
      </c>
      <c r="C10098" t="s">
        <v>1195</v>
      </c>
    </row>
    <row r="10099" spans="2:3" x14ac:dyDescent="0.35">
      <c r="B10099" t="s">
        <v>1195</v>
      </c>
      <c r="C10099" t="s">
        <v>1195</v>
      </c>
    </row>
    <row r="10100" spans="2:3" x14ac:dyDescent="0.35">
      <c r="B10100" t="s">
        <v>1195</v>
      </c>
      <c r="C10100" t="s">
        <v>1195</v>
      </c>
    </row>
    <row r="10101" spans="2:3" x14ac:dyDescent="0.35">
      <c r="B10101" t="s">
        <v>1195</v>
      </c>
      <c r="C10101" t="s">
        <v>1195</v>
      </c>
    </row>
    <row r="10102" spans="2:3" x14ac:dyDescent="0.35">
      <c r="B10102" t="s">
        <v>1195</v>
      </c>
      <c r="C10102" t="s">
        <v>1195</v>
      </c>
    </row>
    <row r="10103" spans="2:3" x14ac:dyDescent="0.35">
      <c r="B10103" t="s">
        <v>1195</v>
      </c>
      <c r="C10103" t="s">
        <v>1195</v>
      </c>
    </row>
    <row r="10104" spans="2:3" x14ac:dyDescent="0.35">
      <c r="B10104" t="s">
        <v>1195</v>
      </c>
      <c r="C10104" t="s">
        <v>1195</v>
      </c>
    </row>
    <row r="10105" spans="2:3" x14ac:dyDescent="0.35">
      <c r="B10105" t="s">
        <v>1195</v>
      </c>
      <c r="C10105" t="s">
        <v>1195</v>
      </c>
    </row>
    <row r="10106" spans="2:3" x14ac:dyDescent="0.35">
      <c r="B10106" t="s">
        <v>1195</v>
      </c>
      <c r="C10106" t="s">
        <v>1195</v>
      </c>
    </row>
    <row r="10107" spans="2:3" x14ac:dyDescent="0.35">
      <c r="B10107" t="s">
        <v>1195</v>
      </c>
      <c r="C10107" t="s">
        <v>1195</v>
      </c>
    </row>
    <row r="10108" spans="2:3" x14ac:dyDescent="0.35">
      <c r="B10108" t="s">
        <v>1195</v>
      </c>
      <c r="C10108" t="s">
        <v>1195</v>
      </c>
    </row>
    <row r="10109" spans="2:3" x14ac:dyDescent="0.35">
      <c r="B10109" t="s">
        <v>1195</v>
      </c>
      <c r="C10109" t="s">
        <v>1195</v>
      </c>
    </row>
    <row r="10110" spans="2:3" x14ac:dyDescent="0.35">
      <c r="B10110" t="s">
        <v>1195</v>
      </c>
      <c r="C10110" t="s">
        <v>1195</v>
      </c>
    </row>
    <row r="10111" spans="2:3" x14ac:dyDescent="0.35">
      <c r="B10111" t="s">
        <v>1195</v>
      </c>
      <c r="C10111" t="s">
        <v>1195</v>
      </c>
    </row>
    <row r="10112" spans="2:3" x14ac:dyDescent="0.35">
      <c r="B10112" t="s">
        <v>1195</v>
      </c>
      <c r="C10112" t="s">
        <v>1195</v>
      </c>
    </row>
    <row r="10113" spans="2:3" x14ac:dyDescent="0.35">
      <c r="B10113" t="s">
        <v>1195</v>
      </c>
      <c r="C10113" t="s">
        <v>1195</v>
      </c>
    </row>
    <row r="10114" spans="2:3" x14ac:dyDescent="0.35">
      <c r="B10114" t="s">
        <v>1195</v>
      </c>
      <c r="C10114" t="s">
        <v>1195</v>
      </c>
    </row>
    <row r="10115" spans="2:3" x14ac:dyDescent="0.35">
      <c r="B10115" t="s">
        <v>1195</v>
      </c>
      <c r="C10115" t="s">
        <v>1195</v>
      </c>
    </row>
    <row r="10116" spans="2:3" x14ac:dyDescent="0.35">
      <c r="B10116" t="s">
        <v>1195</v>
      </c>
      <c r="C10116" t="s">
        <v>1195</v>
      </c>
    </row>
    <row r="10117" spans="2:3" x14ac:dyDescent="0.35">
      <c r="B10117" t="s">
        <v>1195</v>
      </c>
      <c r="C10117" t="s">
        <v>1195</v>
      </c>
    </row>
    <row r="10118" spans="2:3" x14ac:dyDescent="0.35">
      <c r="B10118" t="s">
        <v>1195</v>
      </c>
      <c r="C10118" t="s">
        <v>1195</v>
      </c>
    </row>
    <row r="10119" spans="2:3" x14ac:dyDescent="0.35">
      <c r="B10119" t="s">
        <v>1195</v>
      </c>
      <c r="C10119" t="s">
        <v>1195</v>
      </c>
    </row>
    <row r="10120" spans="2:3" x14ac:dyDescent="0.35">
      <c r="B10120" t="s">
        <v>1195</v>
      </c>
      <c r="C10120" t="s">
        <v>1195</v>
      </c>
    </row>
    <row r="10121" spans="2:3" x14ac:dyDescent="0.35">
      <c r="B10121" t="s">
        <v>1195</v>
      </c>
      <c r="C10121" t="s">
        <v>1195</v>
      </c>
    </row>
    <row r="10122" spans="2:3" x14ac:dyDescent="0.35">
      <c r="B10122" t="s">
        <v>1195</v>
      </c>
      <c r="C10122" t="s">
        <v>1195</v>
      </c>
    </row>
    <row r="10123" spans="2:3" x14ac:dyDescent="0.35">
      <c r="B10123" t="s">
        <v>1195</v>
      </c>
      <c r="C10123" t="s">
        <v>1195</v>
      </c>
    </row>
    <row r="10124" spans="2:3" x14ac:dyDescent="0.35">
      <c r="B10124" t="s">
        <v>1195</v>
      </c>
      <c r="C10124" t="s">
        <v>1195</v>
      </c>
    </row>
    <row r="10125" spans="2:3" x14ac:dyDescent="0.35">
      <c r="B10125" t="s">
        <v>1195</v>
      </c>
      <c r="C10125" t="s">
        <v>1195</v>
      </c>
    </row>
    <row r="10126" spans="2:3" x14ac:dyDescent="0.35">
      <c r="B10126" t="s">
        <v>1195</v>
      </c>
      <c r="C10126" t="s">
        <v>1195</v>
      </c>
    </row>
    <row r="10127" spans="2:3" x14ac:dyDescent="0.35">
      <c r="B10127" t="s">
        <v>1195</v>
      </c>
      <c r="C10127" t="s">
        <v>1195</v>
      </c>
    </row>
    <row r="10128" spans="2:3" x14ac:dyDescent="0.35">
      <c r="B10128" t="s">
        <v>1195</v>
      </c>
      <c r="C10128" t="s">
        <v>1195</v>
      </c>
    </row>
    <row r="10129" spans="2:3" x14ac:dyDescent="0.35">
      <c r="B10129" t="s">
        <v>1195</v>
      </c>
      <c r="C10129" t="s">
        <v>1195</v>
      </c>
    </row>
    <row r="10130" spans="2:3" x14ac:dyDescent="0.35">
      <c r="B10130" t="s">
        <v>1195</v>
      </c>
      <c r="C10130" t="s">
        <v>1195</v>
      </c>
    </row>
    <row r="10131" spans="2:3" x14ac:dyDescent="0.35">
      <c r="B10131" t="s">
        <v>1195</v>
      </c>
      <c r="C10131" t="s">
        <v>1195</v>
      </c>
    </row>
    <row r="10132" spans="2:3" x14ac:dyDescent="0.35">
      <c r="B10132" t="s">
        <v>1195</v>
      </c>
      <c r="C10132" t="s">
        <v>1195</v>
      </c>
    </row>
    <row r="10133" spans="2:3" x14ac:dyDescent="0.35">
      <c r="B10133" t="s">
        <v>1195</v>
      </c>
      <c r="C10133" t="s">
        <v>1195</v>
      </c>
    </row>
    <row r="10134" spans="2:3" x14ac:dyDescent="0.35">
      <c r="B10134" t="s">
        <v>1195</v>
      </c>
      <c r="C10134" t="s">
        <v>1195</v>
      </c>
    </row>
    <row r="10135" spans="2:3" x14ac:dyDescent="0.35">
      <c r="B10135" t="s">
        <v>1195</v>
      </c>
      <c r="C10135" t="s">
        <v>1195</v>
      </c>
    </row>
    <row r="10136" spans="2:3" x14ac:dyDescent="0.35">
      <c r="B10136" t="s">
        <v>1195</v>
      </c>
      <c r="C10136" t="s">
        <v>1195</v>
      </c>
    </row>
    <row r="10137" spans="2:3" x14ac:dyDescent="0.35">
      <c r="B10137" t="s">
        <v>1195</v>
      </c>
      <c r="C10137" t="s">
        <v>1195</v>
      </c>
    </row>
    <row r="10138" spans="2:3" x14ac:dyDescent="0.35">
      <c r="B10138" t="s">
        <v>1195</v>
      </c>
      <c r="C10138" t="s">
        <v>1195</v>
      </c>
    </row>
    <row r="10139" spans="2:3" x14ac:dyDescent="0.35">
      <c r="B10139" t="s">
        <v>1195</v>
      </c>
      <c r="C10139" t="s">
        <v>1195</v>
      </c>
    </row>
    <row r="10140" spans="2:3" x14ac:dyDescent="0.35">
      <c r="B10140" t="s">
        <v>1195</v>
      </c>
      <c r="C10140" t="s">
        <v>1195</v>
      </c>
    </row>
    <row r="10141" spans="2:3" x14ac:dyDescent="0.35">
      <c r="B10141" t="s">
        <v>1195</v>
      </c>
      <c r="C10141" t="s">
        <v>1195</v>
      </c>
    </row>
    <row r="10142" spans="2:3" x14ac:dyDescent="0.35">
      <c r="B10142" t="s">
        <v>1195</v>
      </c>
      <c r="C10142" t="s">
        <v>1195</v>
      </c>
    </row>
    <row r="10143" spans="2:3" x14ac:dyDescent="0.35">
      <c r="B10143" t="s">
        <v>1195</v>
      </c>
      <c r="C10143" t="s">
        <v>1195</v>
      </c>
    </row>
    <row r="10144" spans="2:3" x14ac:dyDescent="0.35">
      <c r="B10144" t="s">
        <v>1195</v>
      </c>
      <c r="C10144" t="s">
        <v>1195</v>
      </c>
    </row>
    <row r="10145" spans="2:3" x14ac:dyDescent="0.35">
      <c r="B10145" t="s">
        <v>1195</v>
      </c>
      <c r="C10145" t="s">
        <v>1195</v>
      </c>
    </row>
    <row r="10146" spans="2:3" x14ac:dyDescent="0.35">
      <c r="B10146" t="s">
        <v>1195</v>
      </c>
      <c r="C10146" t="s">
        <v>1195</v>
      </c>
    </row>
    <row r="10147" spans="2:3" x14ac:dyDescent="0.35">
      <c r="B10147" t="s">
        <v>1195</v>
      </c>
      <c r="C10147" t="s">
        <v>1195</v>
      </c>
    </row>
    <row r="10148" spans="2:3" x14ac:dyDescent="0.35">
      <c r="B10148" t="s">
        <v>1195</v>
      </c>
      <c r="C10148" t="s">
        <v>1195</v>
      </c>
    </row>
    <row r="10149" spans="2:3" x14ac:dyDescent="0.35">
      <c r="B10149" t="s">
        <v>1195</v>
      </c>
      <c r="C10149" t="s">
        <v>1195</v>
      </c>
    </row>
    <row r="10150" spans="2:3" x14ac:dyDescent="0.35">
      <c r="B10150" t="s">
        <v>1195</v>
      </c>
      <c r="C10150" t="s">
        <v>1195</v>
      </c>
    </row>
    <row r="10151" spans="2:3" x14ac:dyDescent="0.35">
      <c r="B10151" t="s">
        <v>1195</v>
      </c>
      <c r="C10151" t="s">
        <v>1195</v>
      </c>
    </row>
    <row r="10152" spans="2:3" x14ac:dyDescent="0.35">
      <c r="B10152" t="s">
        <v>1195</v>
      </c>
      <c r="C10152" t="s">
        <v>1195</v>
      </c>
    </row>
    <row r="10153" spans="2:3" x14ac:dyDescent="0.35">
      <c r="B10153" t="s">
        <v>1195</v>
      </c>
      <c r="C10153" t="s">
        <v>1195</v>
      </c>
    </row>
    <row r="10154" spans="2:3" x14ac:dyDescent="0.35">
      <c r="B10154" t="s">
        <v>1195</v>
      </c>
      <c r="C10154" t="s">
        <v>1195</v>
      </c>
    </row>
    <row r="10155" spans="2:3" x14ac:dyDescent="0.35">
      <c r="B10155" t="s">
        <v>1195</v>
      </c>
      <c r="C10155" t="s">
        <v>1195</v>
      </c>
    </row>
    <row r="10156" spans="2:3" x14ac:dyDescent="0.35">
      <c r="B10156" t="s">
        <v>1195</v>
      </c>
      <c r="C10156" t="s">
        <v>1195</v>
      </c>
    </row>
    <row r="10157" spans="2:3" x14ac:dyDescent="0.35">
      <c r="B10157" t="s">
        <v>1195</v>
      </c>
      <c r="C10157" t="s">
        <v>1195</v>
      </c>
    </row>
    <row r="10158" spans="2:3" x14ac:dyDescent="0.35">
      <c r="B10158" t="s">
        <v>1195</v>
      </c>
      <c r="C10158" t="s">
        <v>1195</v>
      </c>
    </row>
    <row r="10159" spans="2:3" x14ac:dyDescent="0.35">
      <c r="B10159" t="s">
        <v>1195</v>
      </c>
      <c r="C10159" t="s">
        <v>1195</v>
      </c>
    </row>
    <row r="10160" spans="2:3" x14ac:dyDescent="0.35">
      <c r="B10160" t="s">
        <v>1195</v>
      </c>
      <c r="C10160" t="s">
        <v>1195</v>
      </c>
    </row>
    <row r="10161" spans="2:3" x14ac:dyDescent="0.35">
      <c r="B10161" t="s">
        <v>1195</v>
      </c>
      <c r="C10161" t="s">
        <v>1195</v>
      </c>
    </row>
    <row r="10162" spans="2:3" x14ac:dyDescent="0.35">
      <c r="B10162" t="s">
        <v>1195</v>
      </c>
      <c r="C10162" t="s">
        <v>1195</v>
      </c>
    </row>
    <row r="10163" spans="2:3" x14ac:dyDescent="0.35">
      <c r="B10163" t="s">
        <v>1195</v>
      </c>
      <c r="C10163" t="s">
        <v>1195</v>
      </c>
    </row>
    <row r="10164" spans="2:3" x14ac:dyDescent="0.35">
      <c r="B10164" t="s">
        <v>1195</v>
      </c>
      <c r="C10164" t="s">
        <v>1195</v>
      </c>
    </row>
    <row r="10165" spans="2:3" x14ac:dyDescent="0.35">
      <c r="B10165" t="s">
        <v>1195</v>
      </c>
      <c r="C10165" t="s">
        <v>1195</v>
      </c>
    </row>
    <row r="10166" spans="2:3" x14ac:dyDescent="0.35">
      <c r="B10166" t="s">
        <v>1195</v>
      </c>
      <c r="C10166" t="s">
        <v>1195</v>
      </c>
    </row>
    <row r="10167" spans="2:3" x14ac:dyDescent="0.35">
      <c r="B10167" t="s">
        <v>1195</v>
      </c>
      <c r="C10167" t="s">
        <v>1195</v>
      </c>
    </row>
    <row r="10168" spans="2:3" x14ac:dyDescent="0.35">
      <c r="B10168" t="s">
        <v>1195</v>
      </c>
      <c r="C10168" t="s">
        <v>1195</v>
      </c>
    </row>
    <row r="10169" spans="2:3" x14ac:dyDescent="0.35">
      <c r="B10169" t="s">
        <v>1195</v>
      </c>
      <c r="C10169" t="s">
        <v>1195</v>
      </c>
    </row>
    <row r="10170" spans="2:3" x14ac:dyDescent="0.35">
      <c r="B10170" t="s">
        <v>1195</v>
      </c>
      <c r="C10170" t="s">
        <v>1195</v>
      </c>
    </row>
    <row r="10171" spans="2:3" x14ac:dyDescent="0.35">
      <c r="B10171" t="s">
        <v>1195</v>
      </c>
      <c r="C10171" t="s">
        <v>1195</v>
      </c>
    </row>
    <row r="10172" spans="2:3" x14ac:dyDescent="0.35">
      <c r="B10172" t="s">
        <v>1195</v>
      </c>
      <c r="C10172" t="s">
        <v>1195</v>
      </c>
    </row>
    <row r="10173" spans="2:3" x14ac:dyDescent="0.35">
      <c r="B10173" t="s">
        <v>1195</v>
      </c>
      <c r="C10173" t="s">
        <v>1195</v>
      </c>
    </row>
    <row r="10174" spans="2:3" x14ac:dyDescent="0.35">
      <c r="B10174" t="s">
        <v>1195</v>
      </c>
      <c r="C10174" t="s">
        <v>1195</v>
      </c>
    </row>
    <row r="10175" spans="2:3" x14ac:dyDescent="0.35">
      <c r="B10175" t="s">
        <v>1195</v>
      </c>
      <c r="C10175" t="s">
        <v>1195</v>
      </c>
    </row>
    <row r="10176" spans="2:3" x14ac:dyDescent="0.35">
      <c r="B10176" t="s">
        <v>1195</v>
      </c>
      <c r="C10176" t="s">
        <v>1195</v>
      </c>
    </row>
    <row r="10177" spans="2:3" x14ac:dyDescent="0.35">
      <c r="B10177" t="s">
        <v>1195</v>
      </c>
      <c r="C10177" t="s">
        <v>1195</v>
      </c>
    </row>
    <row r="10178" spans="2:3" x14ac:dyDescent="0.35">
      <c r="B10178" t="s">
        <v>1195</v>
      </c>
      <c r="C10178" t="s">
        <v>1195</v>
      </c>
    </row>
    <row r="10179" spans="2:3" x14ac:dyDescent="0.35">
      <c r="B10179" t="s">
        <v>1195</v>
      </c>
      <c r="C10179" t="s">
        <v>1195</v>
      </c>
    </row>
    <row r="10180" spans="2:3" x14ac:dyDescent="0.35">
      <c r="B10180" t="s">
        <v>1195</v>
      </c>
      <c r="C10180" t="s">
        <v>1195</v>
      </c>
    </row>
    <row r="10181" spans="2:3" x14ac:dyDescent="0.35">
      <c r="B10181" t="s">
        <v>1195</v>
      </c>
      <c r="C10181" t="s">
        <v>1195</v>
      </c>
    </row>
    <row r="10182" spans="2:3" x14ac:dyDescent="0.35">
      <c r="B10182" t="s">
        <v>1195</v>
      </c>
      <c r="C10182" t="s">
        <v>1195</v>
      </c>
    </row>
    <row r="10183" spans="2:3" x14ac:dyDescent="0.35">
      <c r="B10183" t="s">
        <v>1195</v>
      </c>
      <c r="C10183" t="s">
        <v>1195</v>
      </c>
    </row>
    <row r="10184" spans="2:3" x14ac:dyDescent="0.35">
      <c r="B10184" t="s">
        <v>1195</v>
      </c>
      <c r="C10184" t="s">
        <v>1195</v>
      </c>
    </row>
    <row r="10185" spans="2:3" x14ac:dyDescent="0.35">
      <c r="B10185" t="s">
        <v>1195</v>
      </c>
      <c r="C10185" t="s">
        <v>1195</v>
      </c>
    </row>
    <row r="10186" spans="2:3" x14ac:dyDescent="0.35">
      <c r="B10186" t="s">
        <v>1195</v>
      </c>
      <c r="C10186" t="s">
        <v>1195</v>
      </c>
    </row>
    <row r="10187" spans="2:3" x14ac:dyDescent="0.35">
      <c r="B10187" t="s">
        <v>1195</v>
      </c>
      <c r="C10187" t="s">
        <v>1195</v>
      </c>
    </row>
    <row r="10188" spans="2:3" x14ac:dyDescent="0.35">
      <c r="B10188" t="s">
        <v>1195</v>
      </c>
      <c r="C10188" t="s">
        <v>1195</v>
      </c>
    </row>
    <row r="10189" spans="2:3" x14ac:dyDescent="0.35">
      <c r="B10189" t="s">
        <v>1195</v>
      </c>
      <c r="C10189" t="s">
        <v>1195</v>
      </c>
    </row>
    <row r="10190" spans="2:3" x14ac:dyDescent="0.35">
      <c r="B10190" t="s">
        <v>1195</v>
      </c>
      <c r="C10190" t="s">
        <v>1195</v>
      </c>
    </row>
    <row r="10191" spans="2:3" x14ac:dyDescent="0.35">
      <c r="B10191" t="s">
        <v>1195</v>
      </c>
      <c r="C10191" t="s">
        <v>1195</v>
      </c>
    </row>
    <row r="10192" spans="2:3" x14ac:dyDescent="0.35">
      <c r="B10192" t="s">
        <v>1195</v>
      </c>
      <c r="C10192" t="s">
        <v>1195</v>
      </c>
    </row>
    <row r="10193" spans="2:3" x14ac:dyDescent="0.35">
      <c r="B10193" t="s">
        <v>1195</v>
      </c>
      <c r="C10193" t="s">
        <v>1195</v>
      </c>
    </row>
    <row r="10194" spans="2:3" x14ac:dyDescent="0.35">
      <c r="B10194" t="s">
        <v>1195</v>
      </c>
      <c r="C10194" t="s">
        <v>1195</v>
      </c>
    </row>
    <row r="10195" spans="2:3" x14ac:dyDescent="0.35">
      <c r="B10195" t="s">
        <v>1195</v>
      </c>
      <c r="C10195" t="s">
        <v>1195</v>
      </c>
    </row>
    <row r="10196" spans="2:3" x14ac:dyDescent="0.35">
      <c r="B10196" t="s">
        <v>1195</v>
      </c>
      <c r="C10196" t="s">
        <v>1195</v>
      </c>
    </row>
    <row r="10197" spans="2:3" x14ac:dyDescent="0.35">
      <c r="B10197" t="s">
        <v>1195</v>
      </c>
      <c r="C10197" t="s">
        <v>1195</v>
      </c>
    </row>
    <row r="10198" spans="2:3" x14ac:dyDescent="0.35">
      <c r="B10198" t="s">
        <v>1195</v>
      </c>
      <c r="C10198" t="s">
        <v>1195</v>
      </c>
    </row>
    <row r="10199" spans="2:3" x14ac:dyDescent="0.35">
      <c r="B10199" t="s">
        <v>1195</v>
      </c>
      <c r="C10199" t="s">
        <v>1195</v>
      </c>
    </row>
    <row r="10200" spans="2:3" x14ac:dyDescent="0.35">
      <c r="B10200" t="s">
        <v>1195</v>
      </c>
      <c r="C10200" t="s">
        <v>1195</v>
      </c>
    </row>
    <row r="10201" spans="2:3" x14ac:dyDescent="0.35">
      <c r="B10201" t="s">
        <v>1195</v>
      </c>
      <c r="C10201" t="s">
        <v>1195</v>
      </c>
    </row>
    <row r="10202" spans="2:3" x14ac:dyDescent="0.35">
      <c r="B10202" t="s">
        <v>1195</v>
      </c>
      <c r="C10202" t="s">
        <v>1195</v>
      </c>
    </row>
    <row r="10203" spans="2:3" x14ac:dyDescent="0.35">
      <c r="B10203" t="s">
        <v>1195</v>
      </c>
      <c r="C10203" t="s">
        <v>1195</v>
      </c>
    </row>
    <row r="10204" spans="2:3" x14ac:dyDescent="0.35">
      <c r="B10204" t="s">
        <v>1195</v>
      </c>
      <c r="C10204" t="s">
        <v>1195</v>
      </c>
    </row>
    <row r="10205" spans="2:3" x14ac:dyDescent="0.35">
      <c r="B10205" t="s">
        <v>1195</v>
      </c>
      <c r="C10205" t="s">
        <v>1195</v>
      </c>
    </row>
    <row r="10206" spans="2:3" x14ac:dyDescent="0.35">
      <c r="B10206" t="s">
        <v>1195</v>
      </c>
      <c r="C10206" t="s">
        <v>1195</v>
      </c>
    </row>
    <row r="10207" spans="2:3" x14ac:dyDescent="0.35">
      <c r="B10207" t="s">
        <v>1195</v>
      </c>
      <c r="C10207" t="s">
        <v>1195</v>
      </c>
    </row>
    <row r="10208" spans="2:3" x14ac:dyDescent="0.35">
      <c r="B10208" t="s">
        <v>1195</v>
      </c>
      <c r="C10208" t="s">
        <v>1195</v>
      </c>
    </row>
    <row r="10209" spans="2:3" x14ac:dyDescent="0.35">
      <c r="B10209" t="s">
        <v>1195</v>
      </c>
      <c r="C10209" t="s">
        <v>1195</v>
      </c>
    </row>
    <row r="10210" spans="2:3" x14ac:dyDescent="0.35">
      <c r="B10210" t="s">
        <v>1195</v>
      </c>
      <c r="C10210" t="s">
        <v>1195</v>
      </c>
    </row>
    <row r="10211" spans="2:3" x14ac:dyDescent="0.35">
      <c r="B10211" t="s">
        <v>1195</v>
      </c>
      <c r="C10211" t="s">
        <v>1195</v>
      </c>
    </row>
    <row r="10212" spans="2:3" x14ac:dyDescent="0.35">
      <c r="B10212" t="s">
        <v>1195</v>
      </c>
      <c r="C10212" t="s">
        <v>1195</v>
      </c>
    </row>
    <row r="10213" spans="2:3" x14ac:dyDescent="0.35">
      <c r="B10213" t="s">
        <v>1195</v>
      </c>
      <c r="C10213" t="s">
        <v>1195</v>
      </c>
    </row>
    <row r="10214" spans="2:3" x14ac:dyDescent="0.35">
      <c r="B10214" t="s">
        <v>1195</v>
      </c>
      <c r="C10214" t="s">
        <v>1195</v>
      </c>
    </row>
    <row r="10215" spans="2:3" x14ac:dyDescent="0.35">
      <c r="B10215" t="s">
        <v>1195</v>
      </c>
      <c r="C10215" t="s">
        <v>1195</v>
      </c>
    </row>
    <row r="10216" spans="2:3" x14ac:dyDescent="0.35">
      <c r="B10216" t="s">
        <v>1195</v>
      </c>
      <c r="C10216" t="s">
        <v>1195</v>
      </c>
    </row>
    <row r="10217" spans="2:3" x14ac:dyDescent="0.35">
      <c r="B10217" t="s">
        <v>1195</v>
      </c>
      <c r="C10217" t="s">
        <v>1195</v>
      </c>
    </row>
    <row r="10218" spans="2:3" x14ac:dyDescent="0.35">
      <c r="B10218" t="s">
        <v>1195</v>
      </c>
      <c r="C10218" t="s">
        <v>1195</v>
      </c>
    </row>
    <row r="10219" spans="2:3" x14ac:dyDescent="0.35">
      <c r="B10219" t="s">
        <v>1195</v>
      </c>
      <c r="C10219" t="s">
        <v>1195</v>
      </c>
    </row>
    <row r="10220" spans="2:3" x14ac:dyDescent="0.35">
      <c r="B10220" t="s">
        <v>1195</v>
      </c>
      <c r="C10220" t="s">
        <v>1195</v>
      </c>
    </row>
    <row r="10221" spans="2:3" x14ac:dyDescent="0.35">
      <c r="B10221" t="s">
        <v>1195</v>
      </c>
      <c r="C10221" t="s">
        <v>1195</v>
      </c>
    </row>
    <row r="10222" spans="2:3" x14ac:dyDescent="0.35">
      <c r="B10222" t="s">
        <v>1195</v>
      </c>
      <c r="C10222" t="s">
        <v>1195</v>
      </c>
    </row>
    <row r="10223" spans="2:3" x14ac:dyDescent="0.35">
      <c r="B10223" t="s">
        <v>1195</v>
      </c>
      <c r="C10223" t="s">
        <v>1195</v>
      </c>
    </row>
    <row r="10224" spans="2:3" x14ac:dyDescent="0.35">
      <c r="B10224" t="s">
        <v>1195</v>
      </c>
      <c r="C10224" t="s">
        <v>1195</v>
      </c>
    </row>
    <row r="10225" spans="2:3" x14ac:dyDescent="0.35">
      <c r="B10225" t="s">
        <v>1195</v>
      </c>
      <c r="C10225" t="s">
        <v>1195</v>
      </c>
    </row>
    <row r="10226" spans="2:3" x14ac:dyDescent="0.35">
      <c r="B10226" t="s">
        <v>1195</v>
      </c>
      <c r="C10226" t="s">
        <v>1195</v>
      </c>
    </row>
    <row r="10227" spans="2:3" x14ac:dyDescent="0.35">
      <c r="B10227" t="s">
        <v>1195</v>
      </c>
      <c r="C10227" t="s">
        <v>1195</v>
      </c>
    </row>
    <row r="10228" spans="2:3" x14ac:dyDescent="0.35">
      <c r="B10228" t="s">
        <v>1195</v>
      </c>
      <c r="C10228" t="s">
        <v>1195</v>
      </c>
    </row>
    <row r="10229" spans="2:3" x14ac:dyDescent="0.35">
      <c r="B10229" t="s">
        <v>1195</v>
      </c>
      <c r="C10229" t="s">
        <v>1195</v>
      </c>
    </row>
    <row r="10230" spans="2:3" x14ac:dyDescent="0.35">
      <c r="B10230" t="s">
        <v>1195</v>
      </c>
      <c r="C10230" t="s">
        <v>1195</v>
      </c>
    </row>
    <row r="10231" spans="2:3" x14ac:dyDescent="0.35">
      <c r="B10231" t="s">
        <v>1195</v>
      </c>
      <c r="C10231" t="s">
        <v>1195</v>
      </c>
    </row>
    <row r="10232" spans="2:3" x14ac:dyDescent="0.35">
      <c r="B10232" t="s">
        <v>1195</v>
      </c>
      <c r="C10232" t="s">
        <v>1195</v>
      </c>
    </row>
    <row r="10233" spans="2:3" x14ac:dyDescent="0.35">
      <c r="B10233" t="s">
        <v>1195</v>
      </c>
      <c r="C10233" t="s">
        <v>1195</v>
      </c>
    </row>
    <row r="10234" spans="2:3" x14ac:dyDescent="0.35">
      <c r="B10234" t="s">
        <v>1195</v>
      </c>
      <c r="C10234" t="s">
        <v>1195</v>
      </c>
    </row>
    <row r="10235" spans="2:3" x14ac:dyDescent="0.35">
      <c r="B10235" t="s">
        <v>1195</v>
      </c>
      <c r="C10235" t="s">
        <v>1195</v>
      </c>
    </row>
    <row r="10236" spans="2:3" x14ac:dyDescent="0.35">
      <c r="B10236" t="s">
        <v>1195</v>
      </c>
      <c r="C10236" t="s">
        <v>1195</v>
      </c>
    </row>
    <row r="10237" spans="2:3" x14ac:dyDescent="0.35">
      <c r="B10237" t="s">
        <v>1195</v>
      </c>
      <c r="C10237" t="s">
        <v>1195</v>
      </c>
    </row>
    <row r="10238" spans="2:3" x14ac:dyDescent="0.35">
      <c r="B10238" t="s">
        <v>1195</v>
      </c>
      <c r="C10238" t="s">
        <v>1195</v>
      </c>
    </row>
    <row r="10239" spans="2:3" x14ac:dyDescent="0.35">
      <c r="B10239" t="s">
        <v>1195</v>
      </c>
      <c r="C10239" t="s">
        <v>1195</v>
      </c>
    </row>
    <row r="10240" spans="2:3" x14ac:dyDescent="0.35">
      <c r="B10240" t="s">
        <v>1195</v>
      </c>
      <c r="C10240" t="s">
        <v>1195</v>
      </c>
    </row>
    <row r="10241" spans="2:3" x14ac:dyDescent="0.35">
      <c r="B10241" t="s">
        <v>1195</v>
      </c>
      <c r="C10241" t="s">
        <v>1195</v>
      </c>
    </row>
    <row r="10242" spans="2:3" x14ac:dyDescent="0.35">
      <c r="B10242" t="s">
        <v>1195</v>
      </c>
      <c r="C10242" t="s">
        <v>1195</v>
      </c>
    </row>
    <row r="10243" spans="2:3" x14ac:dyDescent="0.35">
      <c r="B10243" t="s">
        <v>1195</v>
      </c>
      <c r="C10243" t="s">
        <v>1195</v>
      </c>
    </row>
    <row r="10244" spans="2:3" x14ac:dyDescent="0.35">
      <c r="B10244" t="s">
        <v>1195</v>
      </c>
      <c r="C10244" t="s">
        <v>1195</v>
      </c>
    </row>
    <row r="10245" spans="2:3" x14ac:dyDescent="0.35">
      <c r="B10245" t="s">
        <v>1195</v>
      </c>
      <c r="C10245" t="s">
        <v>1195</v>
      </c>
    </row>
    <row r="10246" spans="2:3" x14ac:dyDescent="0.35">
      <c r="B10246" t="s">
        <v>1195</v>
      </c>
      <c r="C10246" t="s">
        <v>1195</v>
      </c>
    </row>
    <row r="10247" spans="2:3" x14ac:dyDescent="0.35">
      <c r="B10247" t="s">
        <v>1195</v>
      </c>
      <c r="C10247" t="s">
        <v>1195</v>
      </c>
    </row>
    <row r="10248" spans="2:3" x14ac:dyDescent="0.35">
      <c r="B10248" t="s">
        <v>1195</v>
      </c>
      <c r="C10248" t="s">
        <v>1195</v>
      </c>
    </row>
    <row r="10249" spans="2:3" x14ac:dyDescent="0.35">
      <c r="B10249" t="s">
        <v>1195</v>
      </c>
      <c r="C10249" t="s">
        <v>1195</v>
      </c>
    </row>
    <row r="10250" spans="2:3" x14ac:dyDescent="0.35">
      <c r="B10250" t="s">
        <v>1195</v>
      </c>
      <c r="C10250" t="s">
        <v>1195</v>
      </c>
    </row>
    <row r="10251" spans="2:3" x14ac:dyDescent="0.35">
      <c r="B10251" t="s">
        <v>1195</v>
      </c>
      <c r="C10251" t="s">
        <v>1195</v>
      </c>
    </row>
    <row r="10252" spans="2:3" x14ac:dyDescent="0.35">
      <c r="B10252" t="s">
        <v>1195</v>
      </c>
      <c r="C10252" t="s">
        <v>1195</v>
      </c>
    </row>
    <row r="10253" spans="2:3" x14ac:dyDescent="0.35">
      <c r="B10253" t="s">
        <v>1195</v>
      </c>
      <c r="C10253" t="s">
        <v>1195</v>
      </c>
    </row>
    <row r="10254" spans="2:3" x14ac:dyDescent="0.35">
      <c r="B10254" t="s">
        <v>1195</v>
      </c>
      <c r="C10254" t="s">
        <v>1195</v>
      </c>
    </row>
    <row r="10255" spans="2:3" x14ac:dyDescent="0.35">
      <c r="B10255" t="s">
        <v>1195</v>
      </c>
      <c r="C10255" t="s">
        <v>1195</v>
      </c>
    </row>
    <row r="10256" spans="2:3" x14ac:dyDescent="0.35">
      <c r="B10256" t="s">
        <v>1195</v>
      </c>
      <c r="C10256" t="s">
        <v>1195</v>
      </c>
    </row>
    <row r="10257" spans="2:3" x14ac:dyDescent="0.35">
      <c r="B10257" t="s">
        <v>1195</v>
      </c>
      <c r="C10257" t="s">
        <v>1195</v>
      </c>
    </row>
    <row r="10258" spans="2:3" x14ac:dyDescent="0.35">
      <c r="B10258" t="s">
        <v>1195</v>
      </c>
      <c r="C10258" t="s">
        <v>1195</v>
      </c>
    </row>
    <row r="10259" spans="2:3" x14ac:dyDescent="0.35">
      <c r="B10259" t="s">
        <v>1195</v>
      </c>
      <c r="C10259" t="s">
        <v>1195</v>
      </c>
    </row>
    <row r="10260" spans="2:3" x14ac:dyDescent="0.35">
      <c r="B10260" t="s">
        <v>1195</v>
      </c>
      <c r="C10260" t="s">
        <v>1195</v>
      </c>
    </row>
    <row r="10261" spans="2:3" x14ac:dyDescent="0.35">
      <c r="B10261" t="s">
        <v>1195</v>
      </c>
      <c r="C10261" t="s">
        <v>1195</v>
      </c>
    </row>
    <row r="10262" spans="2:3" x14ac:dyDescent="0.35">
      <c r="B10262" t="s">
        <v>1195</v>
      </c>
      <c r="C10262" t="s">
        <v>1195</v>
      </c>
    </row>
    <row r="10263" spans="2:3" x14ac:dyDescent="0.35">
      <c r="B10263" t="s">
        <v>1195</v>
      </c>
      <c r="C10263" t="s">
        <v>1195</v>
      </c>
    </row>
    <row r="10264" spans="2:3" x14ac:dyDescent="0.35">
      <c r="B10264" t="s">
        <v>1195</v>
      </c>
      <c r="C10264" t="s">
        <v>1195</v>
      </c>
    </row>
    <row r="10265" spans="2:3" x14ac:dyDescent="0.35">
      <c r="B10265" t="s">
        <v>1195</v>
      </c>
      <c r="C10265" t="s">
        <v>1195</v>
      </c>
    </row>
    <row r="10266" spans="2:3" x14ac:dyDescent="0.35">
      <c r="B10266" t="s">
        <v>1195</v>
      </c>
      <c r="C10266" t="s">
        <v>1195</v>
      </c>
    </row>
    <row r="10267" spans="2:3" x14ac:dyDescent="0.35">
      <c r="B10267" t="s">
        <v>1195</v>
      </c>
      <c r="C10267" t="s">
        <v>1195</v>
      </c>
    </row>
    <row r="10268" spans="2:3" x14ac:dyDescent="0.35">
      <c r="B10268" t="s">
        <v>1195</v>
      </c>
      <c r="C10268" t="s">
        <v>1195</v>
      </c>
    </row>
    <row r="10269" spans="2:3" x14ac:dyDescent="0.35">
      <c r="B10269" t="s">
        <v>1195</v>
      </c>
      <c r="C10269" t="s">
        <v>1195</v>
      </c>
    </row>
    <row r="10270" spans="2:3" x14ac:dyDescent="0.35">
      <c r="B10270" t="s">
        <v>1195</v>
      </c>
      <c r="C10270" t="s">
        <v>1195</v>
      </c>
    </row>
    <row r="10271" spans="2:3" x14ac:dyDescent="0.35">
      <c r="B10271" t="s">
        <v>1195</v>
      </c>
      <c r="C10271" t="s">
        <v>1195</v>
      </c>
    </row>
    <row r="10272" spans="2:3" x14ac:dyDescent="0.35">
      <c r="B10272" t="s">
        <v>1195</v>
      </c>
      <c r="C10272" t="s">
        <v>1195</v>
      </c>
    </row>
    <row r="10273" spans="2:3" x14ac:dyDescent="0.35">
      <c r="B10273" t="s">
        <v>1195</v>
      </c>
      <c r="C10273" t="s">
        <v>1195</v>
      </c>
    </row>
    <row r="10274" spans="2:3" x14ac:dyDescent="0.35">
      <c r="B10274" t="s">
        <v>1195</v>
      </c>
      <c r="C10274" t="s">
        <v>1195</v>
      </c>
    </row>
    <row r="10275" spans="2:3" x14ac:dyDescent="0.35">
      <c r="B10275" t="s">
        <v>1195</v>
      </c>
      <c r="C10275" t="s">
        <v>1195</v>
      </c>
    </row>
    <row r="10276" spans="2:3" x14ac:dyDescent="0.35">
      <c r="B10276" t="s">
        <v>1195</v>
      </c>
      <c r="C10276" t="s">
        <v>1195</v>
      </c>
    </row>
    <row r="10277" spans="2:3" x14ac:dyDescent="0.35">
      <c r="B10277" t="s">
        <v>1195</v>
      </c>
      <c r="C10277" t="s">
        <v>1195</v>
      </c>
    </row>
    <row r="10278" spans="2:3" x14ac:dyDescent="0.35">
      <c r="B10278" t="s">
        <v>1195</v>
      </c>
      <c r="C10278" t="s">
        <v>1195</v>
      </c>
    </row>
    <row r="10279" spans="2:3" x14ac:dyDescent="0.35">
      <c r="B10279" t="s">
        <v>1195</v>
      </c>
      <c r="C10279" t="s">
        <v>1195</v>
      </c>
    </row>
    <row r="10280" spans="2:3" x14ac:dyDescent="0.35">
      <c r="B10280" t="s">
        <v>1195</v>
      </c>
      <c r="C10280" t="s">
        <v>1195</v>
      </c>
    </row>
    <row r="10281" spans="2:3" x14ac:dyDescent="0.35">
      <c r="B10281" t="s">
        <v>1195</v>
      </c>
      <c r="C10281" t="s">
        <v>1195</v>
      </c>
    </row>
    <row r="10282" spans="2:3" x14ac:dyDescent="0.35">
      <c r="B10282" t="s">
        <v>1195</v>
      </c>
      <c r="C10282" t="s">
        <v>1195</v>
      </c>
    </row>
    <row r="10283" spans="2:3" x14ac:dyDescent="0.35">
      <c r="B10283" t="s">
        <v>1195</v>
      </c>
      <c r="C10283" t="s">
        <v>1195</v>
      </c>
    </row>
    <row r="10284" spans="2:3" x14ac:dyDescent="0.35">
      <c r="B10284" t="s">
        <v>1195</v>
      </c>
      <c r="C10284" t="s">
        <v>1195</v>
      </c>
    </row>
    <row r="10285" spans="2:3" x14ac:dyDescent="0.35">
      <c r="B10285" t="s">
        <v>1195</v>
      </c>
      <c r="C10285" t="s">
        <v>1195</v>
      </c>
    </row>
    <row r="10286" spans="2:3" x14ac:dyDescent="0.35">
      <c r="B10286" t="s">
        <v>1195</v>
      </c>
      <c r="C10286" t="s">
        <v>1195</v>
      </c>
    </row>
    <row r="10287" spans="2:3" x14ac:dyDescent="0.35">
      <c r="B10287" t="s">
        <v>1195</v>
      </c>
      <c r="C10287" t="s">
        <v>1195</v>
      </c>
    </row>
    <row r="10288" spans="2:3" x14ac:dyDescent="0.35">
      <c r="B10288" t="s">
        <v>1195</v>
      </c>
      <c r="C10288" t="s">
        <v>1195</v>
      </c>
    </row>
    <row r="10289" spans="2:3" x14ac:dyDescent="0.35">
      <c r="B10289" t="s">
        <v>1195</v>
      </c>
      <c r="C10289" t="s">
        <v>1195</v>
      </c>
    </row>
    <row r="10290" spans="2:3" x14ac:dyDescent="0.35">
      <c r="B10290" t="s">
        <v>1195</v>
      </c>
      <c r="C10290" t="s">
        <v>1195</v>
      </c>
    </row>
    <row r="10291" spans="2:3" x14ac:dyDescent="0.35">
      <c r="B10291" t="s">
        <v>1195</v>
      </c>
      <c r="C10291" t="s">
        <v>1195</v>
      </c>
    </row>
    <row r="10292" spans="2:3" x14ac:dyDescent="0.35">
      <c r="B10292" t="s">
        <v>1195</v>
      </c>
      <c r="C10292" t="s">
        <v>1195</v>
      </c>
    </row>
    <row r="10293" spans="2:3" x14ac:dyDescent="0.35">
      <c r="B10293" t="s">
        <v>1195</v>
      </c>
      <c r="C10293" t="s">
        <v>1195</v>
      </c>
    </row>
    <row r="10294" spans="2:3" x14ac:dyDescent="0.35">
      <c r="B10294" t="s">
        <v>1195</v>
      </c>
      <c r="C10294" t="s">
        <v>1195</v>
      </c>
    </row>
    <row r="10295" spans="2:3" x14ac:dyDescent="0.35">
      <c r="B10295" t="s">
        <v>1195</v>
      </c>
      <c r="C10295" t="s">
        <v>1195</v>
      </c>
    </row>
    <row r="10296" spans="2:3" x14ac:dyDescent="0.35">
      <c r="B10296" t="s">
        <v>1195</v>
      </c>
      <c r="C10296" t="s">
        <v>1195</v>
      </c>
    </row>
    <row r="10297" spans="2:3" x14ac:dyDescent="0.35">
      <c r="B10297" t="s">
        <v>1195</v>
      </c>
      <c r="C10297" t="s">
        <v>1195</v>
      </c>
    </row>
    <row r="10298" spans="2:3" x14ac:dyDescent="0.35">
      <c r="B10298" t="s">
        <v>1195</v>
      </c>
      <c r="C10298" t="s">
        <v>1195</v>
      </c>
    </row>
    <row r="10299" spans="2:3" x14ac:dyDescent="0.35">
      <c r="B10299" t="s">
        <v>1195</v>
      </c>
      <c r="C10299" t="s">
        <v>1195</v>
      </c>
    </row>
    <row r="10300" spans="2:3" x14ac:dyDescent="0.35">
      <c r="B10300" t="s">
        <v>1195</v>
      </c>
      <c r="C10300" t="s">
        <v>1195</v>
      </c>
    </row>
    <row r="10301" spans="2:3" x14ac:dyDescent="0.35">
      <c r="B10301" t="s">
        <v>1195</v>
      </c>
      <c r="C10301" t="s">
        <v>1195</v>
      </c>
    </row>
    <row r="10302" spans="2:3" x14ac:dyDescent="0.35">
      <c r="B10302" t="s">
        <v>1195</v>
      </c>
      <c r="C10302" t="s">
        <v>1195</v>
      </c>
    </row>
    <row r="10303" spans="2:3" x14ac:dyDescent="0.35">
      <c r="B10303" t="s">
        <v>1195</v>
      </c>
      <c r="C10303" t="s">
        <v>1195</v>
      </c>
    </row>
    <row r="10304" spans="2:3" x14ac:dyDescent="0.35">
      <c r="B10304" t="s">
        <v>1195</v>
      </c>
      <c r="C10304" t="s">
        <v>1195</v>
      </c>
    </row>
    <row r="10305" spans="2:3" x14ac:dyDescent="0.35">
      <c r="B10305" t="s">
        <v>1195</v>
      </c>
      <c r="C10305" t="s">
        <v>1195</v>
      </c>
    </row>
    <row r="10306" spans="2:3" x14ac:dyDescent="0.35">
      <c r="B10306" t="s">
        <v>1195</v>
      </c>
      <c r="C10306" t="s">
        <v>1195</v>
      </c>
    </row>
    <row r="10307" spans="2:3" x14ac:dyDescent="0.35">
      <c r="B10307" t="s">
        <v>1195</v>
      </c>
      <c r="C10307" t="s">
        <v>1195</v>
      </c>
    </row>
    <row r="10308" spans="2:3" x14ac:dyDescent="0.35">
      <c r="B10308" t="s">
        <v>1195</v>
      </c>
      <c r="C10308" t="s">
        <v>1195</v>
      </c>
    </row>
    <row r="10309" spans="2:3" x14ac:dyDescent="0.35">
      <c r="B10309" t="s">
        <v>1195</v>
      </c>
      <c r="C10309" t="s">
        <v>1195</v>
      </c>
    </row>
    <row r="10310" spans="2:3" x14ac:dyDescent="0.35">
      <c r="B10310" t="s">
        <v>1195</v>
      </c>
      <c r="C10310" t="s">
        <v>1195</v>
      </c>
    </row>
    <row r="10311" spans="2:3" x14ac:dyDescent="0.35">
      <c r="B10311" t="s">
        <v>1195</v>
      </c>
      <c r="C10311" t="s">
        <v>1195</v>
      </c>
    </row>
    <row r="10312" spans="2:3" x14ac:dyDescent="0.35">
      <c r="B10312" t="s">
        <v>1195</v>
      </c>
      <c r="C10312" t="s">
        <v>1195</v>
      </c>
    </row>
    <row r="10313" spans="2:3" x14ac:dyDescent="0.35">
      <c r="B10313" t="s">
        <v>1195</v>
      </c>
      <c r="C10313" t="s">
        <v>1195</v>
      </c>
    </row>
    <row r="10314" spans="2:3" x14ac:dyDescent="0.35">
      <c r="B10314" t="s">
        <v>1195</v>
      </c>
      <c r="C10314" t="s">
        <v>1195</v>
      </c>
    </row>
    <row r="10315" spans="2:3" x14ac:dyDescent="0.35">
      <c r="B10315" t="s">
        <v>1195</v>
      </c>
      <c r="C10315" t="s">
        <v>1195</v>
      </c>
    </row>
    <row r="10316" spans="2:3" x14ac:dyDescent="0.35">
      <c r="B10316" t="s">
        <v>1195</v>
      </c>
      <c r="C10316" t="s">
        <v>1195</v>
      </c>
    </row>
    <row r="10317" spans="2:3" x14ac:dyDescent="0.35">
      <c r="B10317" t="s">
        <v>1195</v>
      </c>
      <c r="C10317" t="s">
        <v>1195</v>
      </c>
    </row>
    <row r="10318" spans="2:3" x14ac:dyDescent="0.35">
      <c r="B10318" t="s">
        <v>1195</v>
      </c>
      <c r="C10318" t="s">
        <v>1195</v>
      </c>
    </row>
    <row r="10319" spans="2:3" x14ac:dyDescent="0.35">
      <c r="B10319" t="s">
        <v>1195</v>
      </c>
      <c r="C10319" t="s">
        <v>1195</v>
      </c>
    </row>
    <row r="10320" spans="2:3" x14ac:dyDescent="0.35">
      <c r="B10320" t="s">
        <v>1195</v>
      </c>
      <c r="C10320" t="s">
        <v>1195</v>
      </c>
    </row>
    <row r="10321" spans="2:3" x14ac:dyDescent="0.35">
      <c r="B10321" t="s">
        <v>1195</v>
      </c>
      <c r="C10321" t="s">
        <v>1195</v>
      </c>
    </row>
    <row r="10322" spans="2:3" x14ac:dyDescent="0.35">
      <c r="B10322" t="s">
        <v>1195</v>
      </c>
      <c r="C10322" t="s">
        <v>1195</v>
      </c>
    </row>
    <row r="10323" spans="2:3" x14ac:dyDescent="0.35">
      <c r="B10323" t="s">
        <v>1195</v>
      </c>
      <c r="C10323" t="s">
        <v>1195</v>
      </c>
    </row>
    <row r="10324" spans="2:3" x14ac:dyDescent="0.35">
      <c r="B10324" t="s">
        <v>1195</v>
      </c>
      <c r="C10324" t="s">
        <v>1195</v>
      </c>
    </row>
    <row r="10325" spans="2:3" x14ac:dyDescent="0.35">
      <c r="B10325" t="s">
        <v>1195</v>
      </c>
      <c r="C10325" t="s">
        <v>1195</v>
      </c>
    </row>
    <row r="10326" spans="2:3" x14ac:dyDescent="0.35">
      <c r="B10326" t="s">
        <v>1195</v>
      </c>
      <c r="C10326" t="s">
        <v>1195</v>
      </c>
    </row>
    <row r="10327" spans="2:3" x14ac:dyDescent="0.35">
      <c r="B10327" t="s">
        <v>1195</v>
      </c>
      <c r="C10327" t="s">
        <v>1195</v>
      </c>
    </row>
    <row r="10328" spans="2:3" x14ac:dyDescent="0.35">
      <c r="B10328" t="s">
        <v>1195</v>
      </c>
      <c r="C10328" t="s">
        <v>1195</v>
      </c>
    </row>
    <row r="10329" spans="2:3" x14ac:dyDescent="0.35">
      <c r="B10329" t="s">
        <v>1195</v>
      </c>
      <c r="C10329" t="s">
        <v>1195</v>
      </c>
    </row>
    <row r="10330" spans="2:3" x14ac:dyDescent="0.35">
      <c r="B10330" t="s">
        <v>1195</v>
      </c>
      <c r="C10330" t="s">
        <v>1195</v>
      </c>
    </row>
    <row r="10331" spans="2:3" x14ac:dyDescent="0.35">
      <c r="B10331" t="s">
        <v>1195</v>
      </c>
      <c r="C10331" t="s">
        <v>1195</v>
      </c>
    </row>
    <row r="10332" spans="2:3" x14ac:dyDescent="0.35">
      <c r="B10332" t="s">
        <v>1195</v>
      </c>
      <c r="C10332" t="s">
        <v>1195</v>
      </c>
    </row>
    <row r="10333" spans="2:3" x14ac:dyDescent="0.35">
      <c r="B10333" t="s">
        <v>1195</v>
      </c>
      <c r="C10333" t="s">
        <v>1195</v>
      </c>
    </row>
    <row r="10334" spans="2:3" x14ac:dyDescent="0.35">
      <c r="B10334" t="s">
        <v>1195</v>
      </c>
      <c r="C10334" t="s">
        <v>1195</v>
      </c>
    </row>
    <row r="10335" spans="2:3" x14ac:dyDescent="0.35">
      <c r="B10335" t="s">
        <v>1195</v>
      </c>
      <c r="C10335" t="s">
        <v>1195</v>
      </c>
    </row>
    <row r="10336" spans="2:3" x14ac:dyDescent="0.35">
      <c r="B10336" t="s">
        <v>1195</v>
      </c>
      <c r="C10336" t="s">
        <v>1195</v>
      </c>
    </row>
    <row r="10337" spans="2:3" x14ac:dyDescent="0.35">
      <c r="B10337" t="s">
        <v>1195</v>
      </c>
      <c r="C10337" t="s">
        <v>1195</v>
      </c>
    </row>
    <row r="10338" spans="2:3" x14ac:dyDescent="0.35">
      <c r="B10338" t="s">
        <v>1195</v>
      </c>
      <c r="C10338" t="s">
        <v>1195</v>
      </c>
    </row>
    <row r="10339" spans="2:3" x14ac:dyDescent="0.35">
      <c r="B10339" t="s">
        <v>1195</v>
      </c>
      <c r="C10339" t="s">
        <v>1195</v>
      </c>
    </row>
    <row r="10340" spans="2:3" x14ac:dyDescent="0.35">
      <c r="B10340" t="s">
        <v>1195</v>
      </c>
      <c r="C10340" t="s">
        <v>1195</v>
      </c>
    </row>
    <row r="10341" spans="2:3" x14ac:dyDescent="0.35">
      <c r="B10341" t="s">
        <v>1195</v>
      </c>
      <c r="C10341" t="s">
        <v>1195</v>
      </c>
    </row>
    <row r="10342" spans="2:3" x14ac:dyDescent="0.35">
      <c r="B10342" t="s">
        <v>1195</v>
      </c>
      <c r="C10342" t="s">
        <v>1195</v>
      </c>
    </row>
    <row r="10343" spans="2:3" x14ac:dyDescent="0.35">
      <c r="B10343" t="s">
        <v>1195</v>
      </c>
      <c r="C10343" t="s">
        <v>1195</v>
      </c>
    </row>
    <row r="10344" spans="2:3" x14ac:dyDescent="0.35">
      <c r="B10344" t="s">
        <v>1195</v>
      </c>
      <c r="C10344" t="s">
        <v>1195</v>
      </c>
    </row>
    <row r="10345" spans="2:3" x14ac:dyDescent="0.35">
      <c r="B10345" t="s">
        <v>1195</v>
      </c>
      <c r="C10345" t="s">
        <v>1195</v>
      </c>
    </row>
    <row r="10346" spans="2:3" x14ac:dyDescent="0.35">
      <c r="B10346" t="s">
        <v>1195</v>
      </c>
      <c r="C10346" t="s">
        <v>1195</v>
      </c>
    </row>
    <row r="10347" spans="2:3" x14ac:dyDescent="0.35">
      <c r="B10347" t="s">
        <v>1195</v>
      </c>
      <c r="C10347" t="s">
        <v>1195</v>
      </c>
    </row>
    <row r="10348" spans="2:3" x14ac:dyDescent="0.35">
      <c r="B10348" t="s">
        <v>1195</v>
      </c>
      <c r="C10348" t="s">
        <v>1195</v>
      </c>
    </row>
    <row r="10349" spans="2:3" x14ac:dyDescent="0.35">
      <c r="B10349" t="s">
        <v>1195</v>
      </c>
      <c r="C10349" t="s">
        <v>1195</v>
      </c>
    </row>
    <row r="10350" spans="2:3" x14ac:dyDescent="0.35">
      <c r="B10350" t="s">
        <v>1195</v>
      </c>
      <c r="C10350" t="s">
        <v>1195</v>
      </c>
    </row>
    <row r="10351" spans="2:3" x14ac:dyDescent="0.35">
      <c r="B10351" t="s">
        <v>1195</v>
      </c>
      <c r="C10351" t="s">
        <v>1195</v>
      </c>
    </row>
    <row r="10352" spans="2:3" x14ac:dyDescent="0.35">
      <c r="B10352" t="s">
        <v>1195</v>
      </c>
      <c r="C10352" t="s">
        <v>1195</v>
      </c>
    </row>
    <row r="10353" spans="2:3" x14ac:dyDescent="0.35">
      <c r="B10353" t="s">
        <v>1195</v>
      </c>
      <c r="C10353" t="s">
        <v>1195</v>
      </c>
    </row>
    <row r="10354" spans="2:3" x14ac:dyDescent="0.35">
      <c r="B10354" t="s">
        <v>1195</v>
      </c>
      <c r="C10354" t="s">
        <v>1195</v>
      </c>
    </row>
    <row r="10355" spans="2:3" x14ac:dyDescent="0.35">
      <c r="B10355" t="s">
        <v>1195</v>
      </c>
      <c r="C10355" t="s">
        <v>1195</v>
      </c>
    </row>
    <row r="10356" spans="2:3" x14ac:dyDescent="0.35">
      <c r="B10356" t="s">
        <v>1195</v>
      </c>
      <c r="C10356" t="s">
        <v>1195</v>
      </c>
    </row>
    <row r="10357" spans="2:3" x14ac:dyDescent="0.35">
      <c r="B10357" t="s">
        <v>1195</v>
      </c>
      <c r="C10357" t="s">
        <v>1195</v>
      </c>
    </row>
    <row r="10358" spans="2:3" x14ac:dyDescent="0.35">
      <c r="B10358" t="s">
        <v>1195</v>
      </c>
      <c r="C10358" t="s">
        <v>1195</v>
      </c>
    </row>
    <row r="10359" spans="2:3" x14ac:dyDescent="0.35">
      <c r="B10359" t="s">
        <v>1195</v>
      </c>
      <c r="C10359" t="s">
        <v>1195</v>
      </c>
    </row>
    <row r="10360" spans="2:3" x14ac:dyDescent="0.35">
      <c r="B10360" t="s">
        <v>1195</v>
      </c>
      <c r="C10360" t="s">
        <v>1195</v>
      </c>
    </row>
    <row r="10361" spans="2:3" x14ac:dyDescent="0.35">
      <c r="B10361" t="s">
        <v>1195</v>
      </c>
      <c r="C10361" t="s">
        <v>1195</v>
      </c>
    </row>
    <row r="10362" spans="2:3" x14ac:dyDescent="0.35">
      <c r="B10362" t="s">
        <v>1195</v>
      </c>
      <c r="C10362" t="s">
        <v>1195</v>
      </c>
    </row>
    <row r="10363" spans="2:3" x14ac:dyDescent="0.35">
      <c r="B10363" t="s">
        <v>1195</v>
      </c>
      <c r="C10363" t="s">
        <v>1195</v>
      </c>
    </row>
    <row r="10364" spans="2:3" x14ac:dyDescent="0.35">
      <c r="B10364" t="s">
        <v>1195</v>
      </c>
      <c r="C10364" t="s">
        <v>1195</v>
      </c>
    </row>
    <row r="10365" spans="2:3" x14ac:dyDescent="0.35">
      <c r="B10365" t="s">
        <v>1195</v>
      </c>
      <c r="C10365" t="s">
        <v>1195</v>
      </c>
    </row>
    <row r="10366" spans="2:3" x14ac:dyDescent="0.35">
      <c r="B10366" t="s">
        <v>1195</v>
      </c>
      <c r="C10366" t="s">
        <v>1195</v>
      </c>
    </row>
    <row r="10367" spans="2:3" x14ac:dyDescent="0.35">
      <c r="B10367" t="s">
        <v>1195</v>
      </c>
      <c r="C10367" t="s">
        <v>1195</v>
      </c>
    </row>
    <row r="10368" spans="2:3" x14ac:dyDescent="0.35">
      <c r="B10368" t="s">
        <v>1195</v>
      </c>
      <c r="C10368" t="s">
        <v>1195</v>
      </c>
    </row>
    <row r="10369" spans="2:3" x14ac:dyDescent="0.35">
      <c r="B10369" t="s">
        <v>1195</v>
      </c>
      <c r="C10369" t="s">
        <v>1195</v>
      </c>
    </row>
    <row r="10370" spans="2:3" x14ac:dyDescent="0.35">
      <c r="B10370" t="s">
        <v>1195</v>
      </c>
      <c r="C10370" t="s">
        <v>1195</v>
      </c>
    </row>
    <row r="10371" spans="2:3" x14ac:dyDescent="0.35">
      <c r="B10371" t="s">
        <v>1195</v>
      </c>
      <c r="C10371" t="s">
        <v>1195</v>
      </c>
    </row>
    <row r="10372" spans="2:3" x14ac:dyDescent="0.35">
      <c r="B10372" t="s">
        <v>1195</v>
      </c>
      <c r="C10372" t="s">
        <v>1195</v>
      </c>
    </row>
    <row r="10373" spans="2:3" x14ac:dyDescent="0.35">
      <c r="B10373" t="s">
        <v>1195</v>
      </c>
      <c r="C10373" t="s">
        <v>1195</v>
      </c>
    </row>
    <row r="10374" spans="2:3" x14ac:dyDescent="0.35">
      <c r="B10374" t="s">
        <v>1195</v>
      </c>
      <c r="C10374" t="s">
        <v>1195</v>
      </c>
    </row>
    <row r="10375" spans="2:3" x14ac:dyDescent="0.35">
      <c r="B10375" t="s">
        <v>1195</v>
      </c>
      <c r="C10375" t="s">
        <v>1195</v>
      </c>
    </row>
    <row r="10376" spans="2:3" x14ac:dyDescent="0.35">
      <c r="B10376" t="s">
        <v>1195</v>
      </c>
      <c r="C10376" t="s">
        <v>1195</v>
      </c>
    </row>
    <row r="10377" spans="2:3" x14ac:dyDescent="0.35">
      <c r="B10377" t="s">
        <v>1195</v>
      </c>
      <c r="C10377" t="s">
        <v>1195</v>
      </c>
    </row>
    <row r="10378" spans="2:3" x14ac:dyDescent="0.35">
      <c r="B10378" t="s">
        <v>1195</v>
      </c>
      <c r="C10378" t="s">
        <v>1195</v>
      </c>
    </row>
    <row r="10379" spans="2:3" x14ac:dyDescent="0.35">
      <c r="B10379" t="s">
        <v>1195</v>
      </c>
      <c r="C10379" t="s">
        <v>1195</v>
      </c>
    </row>
    <row r="10380" spans="2:3" x14ac:dyDescent="0.35">
      <c r="B10380" t="s">
        <v>1195</v>
      </c>
      <c r="C10380" t="s">
        <v>1195</v>
      </c>
    </row>
    <row r="10381" spans="2:3" x14ac:dyDescent="0.35">
      <c r="B10381" t="s">
        <v>1195</v>
      </c>
      <c r="C10381" t="s">
        <v>1195</v>
      </c>
    </row>
    <row r="10382" spans="2:3" x14ac:dyDescent="0.35">
      <c r="B10382" t="s">
        <v>1195</v>
      </c>
      <c r="C10382" t="s">
        <v>1195</v>
      </c>
    </row>
    <row r="10383" spans="2:3" x14ac:dyDescent="0.35">
      <c r="B10383" t="s">
        <v>1195</v>
      </c>
      <c r="C10383" t="s">
        <v>1195</v>
      </c>
    </row>
    <row r="10384" spans="2:3" x14ac:dyDescent="0.35">
      <c r="B10384" t="s">
        <v>1195</v>
      </c>
      <c r="C10384" t="s">
        <v>1195</v>
      </c>
    </row>
    <row r="10385" spans="2:3" x14ac:dyDescent="0.35">
      <c r="B10385" t="s">
        <v>1195</v>
      </c>
      <c r="C10385" t="s">
        <v>1195</v>
      </c>
    </row>
    <row r="10386" spans="2:3" x14ac:dyDescent="0.35">
      <c r="B10386" t="s">
        <v>1195</v>
      </c>
      <c r="C10386" t="s">
        <v>1195</v>
      </c>
    </row>
    <row r="10387" spans="2:3" x14ac:dyDescent="0.35">
      <c r="B10387" t="s">
        <v>1195</v>
      </c>
      <c r="C10387" t="s">
        <v>1195</v>
      </c>
    </row>
    <row r="10388" spans="2:3" x14ac:dyDescent="0.35">
      <c r="B10388" t="s">
        <v>1195</v>
      </c>
      <c r="C10388" t="s">
        <v>1195</v>
      </c>
    </row>
    <row r="10389" spans="2:3" x14ac:dyDescent="0.35">
      <c r="B10389" t="s">
        <v>1195</v>
      </c>
      <c r="C10389" t="s">
        <v>1195</v>
      </c>
    </row>
    <row r="10390" spans="2:3" x14ac:dyDescent="0.35">
      <c r="B10390" t="s">
        <v>1195</v>
      </c>
      <c r="C10390" t="s">
        <v>1195</v>
      </c>
    </row>
    <row r="10391" spans="2:3" x14ac:dyDescent="0.35">
      <c r="B10391" t="s">
        <v>1195</v>
      </c>
      <c r="C10391" t="s">
        <v>1195</v>
      </c>
    </row>
    <row r="10392" spans="2:3" x14ac:dyDescent="0.35">
      <c r="B10392" t="s">
        <v>1195</v>
      </c>
      <c r="C10392" t="s">
        <v>1195</v>
      </c>
    </row>
    <row r="10393" spans="2:3" x14ac:dyDescent="0.35">
      <c r="B10393" t="s">
        <v>1195</v>
      </c>
      <c r="C10393" t="s">
        <v>1195</v>
      </c>
    </row>
    <row r="10394" spans="2:3" x14ac:dyDescent="0.35">
      <c r="B10394" t="s">
        <v>1195</v>
      </c>
      <c r="C10394" t="s">
        <v>1195</v>
      </c>
    </row>
    <row r="10395" spans="2:3" x14ac:dyDescent="0.35">
      <c r="B10395" t="s">
        <v>1195</v>
      </c>
      <c r="C10395" t="s">
        <v>1195</v>
      </c>
    </row>
    <row r="10396" spans="2:3" x14ac:dyDescent="0.35">
      <c r="B10396" t="s">
        <v>1195</v>
      </c>
      <c r="C10396" t="s">
        <v>1195</v>
      </c>
    </row>
    <row r="10397" spans="2:3" x14ac:dyDescent="0.35">
      <c r="B10397" t="s">
        <v>1195</v>
      </c>
      <c r="C10397" t="s">
        <v>1195</v>
      </c>
    </row>
    <row r="10398" spans="2:3" x14ac:dyDescent="0.35">
      <c r="B10398" t="s">
        <v>1195</v>
      </c>
      <c r="C10398" t="s">
        <v>1195</v>
      </c>
    </row>
    <row r="10399" spans="2:3" x14ac:dyDescent="0.35">
      <c r="B10399" t="s">
        <v>1195</v>
      </c>
      <c r="C10399" t="s">
        <v>1195</v>
      </c>
    </row>
    <row r="10400" spans="2:3" x14ac:dyDescent="0.35">
      <c r="B10400" t="s">
        <v>1195</v>
      </c>
      <c r="C10400" t="s">
        <v>1195</v>
      </c>
    </row>
    <row r="10401" spans="2:3" x14ac:dyDescent="0.35">
      <c r="B10401" t="s">
        <v>1195</v>
      </c>
      <c r="C10401" t="s">
        <v>1195</v>
      </c>
    </row>
    <row r="10402" spans="2:3" x14ac:dyDescent="0.35">
      <c r="B10402" t="s">
        <v>1195</v>
      </c>
      <c r="C10402" t="s">
        <v>1195</v>
      </c>
    </row>
    <row r="10403" spans="2:3" x14ac:dyDescent="0.35">
      <c r="B10403" t="s">
        <v>1195</v>
      </c>
      <c r="C10403" t="s">
        <v>1195</v>
      </c>
    </row>
    <row r="10404" spans="2:3" x14ac:dyDescent="0.35">
      <c r="B10404" t="s">
        <v>1195</v>
      </c>
      <c r="C10404" t="s">
        <v>1195</v>
      </c>
    </row>
    <row r="10405" spans="2:3" x14ac:dyDescent="0.35">
      <c r="B10405" t="s">
        <v>1195</v>
      </c>
      <c r="C10405" t="s">
        <v>1195</v>
      </c>
    </row>
    <row r="10406" spans="2:3" x14ac:dyDescent="0.35">
      <c r="B10406" t="s">
        <v>1195</v>
      </c>
      <c r="C10406" t="s">
        <v>1195</v>
      </c>
    </row>
    <row r="10407" spans="2:3" x14ac:dyDescent="0.35">
      <c r="B10407" t="s">
        <v>1195</v>
      </c>
      <c r="C10407" t="s">
        <v>1195</v>
      </c>
    </row>
    <row r="10408" spans="2:3" x14ac:dyDescent="0.35">
      <c r="B10408" t="s">
        <v>1195</v>
      </c>
      <c r="C10408" t="s">
        <v>1195</v>
      </c>
    </row>
    <row r="10409" spans="2:3" x14ac:dyDescent="0.35">
      <c r="B10409" t="s">
        <v>1195</v>
      </c>
      <c r="C10409" t="s">
        <v>1195</v>
      </c>
    </row>
    <row r="10410" spans="2:3" x14ac:dyDescent="0.35">
      <c r="B10410" t="s">
        <v>1195</v>
      </c>
      <c r="C10410" t="s">
        <v>1195</v>
      </c>
    </row>
    <row r="10411" spans="2:3" x14ac:dyDescent="0.35">
      <c r="B10411" t="s">
        <v>1195</v>
      </c>
      <c r="C10411" t="s">
        <v>1195</v>
      </c>
    </row>
    <row r="10412" spans="2:3" x14ac:dyDescent="0.35">
      <c r="B10412" t="s">
        <v>1195</v>
      </c>
      <c r="C10412" t="s">
        <v>1195</v>
      </c>
    </row>
    <row r="10413" spans="2:3" x14ac:dyDescent="0.35">
      <c r="B10413" t="s">
        <v>1195</v>
      </c>
      <c r="C10413" t="s">
        <v>1195</v>
      </c>
    </row>
    <row r="10414" spans="2:3" x14ac:dyDescent="0.35">
      <c r="B10414" t="s">
        <v>1195</v>
      </c>
      <c r="C10414" t="s">
        <v>1195</v>
      </c>
    </row>
    <row r="10415" spans="2:3" x14ac:dyDescent="0.35">
      <c r="B10415" t="s">
        <v>1195</v>
      </c>
      <c r="C10415" t="s">
        <v>1195</v>
      </c>
    </row>
    <row r="10416" spans="2:3" x14ac:dyDescent="0.35">
      <c r="B10416" t="s">
        <v>1195</v>
      </c>
      <c r="C10416" t="s">
        <v>1195</v>
      </c>
    </row>
    <row r="10417" spans="2:3" x14ac:dyDescent="0.35">
      <c r="B10417" t="s">
        <v>1195</v>
      </c>
      <c r="C10417" t="s">
        <v>1195</v>
      </c>
    </row>
    <row r="10418" spans="2:3" x14ac:dyDescent="0.35">
      <c r="B10418" t="s">
        <v>1195</v>
      </c>
      <c r="C10418" t="s">
        <v>1195</v>
      </c>
    </row>
    <row r="10419" spans="2:3" x14ac:dyDescent="0.35">
      <c r="B10419" t="s">
        <v>1195</v>
      </c>
      <c r="C10419" t="s">
        <v>1195</v>
      </c>
    </row>
    <row r="10420" spans="2:3" x14ac:dyDescent="0.35">
      <c r="B10420" t="s">
        <v>1195</v>
      </c>
      <c r="C10420" t="s">
        <v>1195</v>
      </c>
    </row>
    <row r="10421" spans="2:3" x14ac:dyDescent="0.35">
      <c r="B10421" t="s">
        <v>1195</v>
      </c>
      <c r="C10421" t="s">
        <v>1195</v>
      </c>
    </row>
    <row r="10422" spans="2:3" x14ac:dyDescent="0.35">
      <c r="B10422" t="s">
        <v>1195</v>
      </c>
      <c r="C10422" t="s">
        <v>1195</v>
      </c>
    </row>
    <row r="10423" spans="2:3" x14ac:dyDescent="0.35">
      <c r="B10423" t="s">
        <v>1195</v>
      </c>
      <c r="C10423" t="s">
        <v>1195</v>
      </c>
    </row>
    <row r="10424" spans="2:3" x14ac:dyDescent="0.35">
      <c r="B10424" t="s">
        <v>1195</v>
      </c>
      <c r="C10424" t="s">
        <v>1195</v>
      </c>
    </row>
    <row r="10425" spans="2:3" x14ac:dyDescent="0.35">
      <c r="B10425" t="s">
        <v>1195</v>
      </c>
      <c r="C10425" t="s">
        <v>1195</v>
      </c>
    </row>
    <row r="10426" spans="2:3" x14ac:dyDescent="0.35">
      <c r="B10426" t="s">
        <v>1195</v>
      </c>
      <c r="C10426" t="s">
        <v>1195</v>
      </c>
    </row>
    <row r="10427" spans="2:3" x14ac:dyDescent="0.35">
      <c r="B10427" t="s">
        <v>1195</v>
      </c>
      <c r="C10427" t="s">
        <v>1195</v>
      </c>
    </row>
    <row r="10428" spans="2:3" x14ac:dyDescent="0.35">
      <c r="B10428" t="s">
        <v>1195</v>
      </c>
      <c r="C10428" t="s">
        <v>1195</v>
      </c>
    </row>
    <row r="10429" spans="2:3" x14ac:dyDescent="0.35">
      <c r="B10429" t="s">
        <v>1195</v>
      </c>
      <c r="C10429" t="s">
        <v>1195</v>
      </c>
    </row>
    <row r="10430" spans="2:3" x14ac:dyDescent="0.35">
      <c r="B10430" t="s">
        <v>1195</v>
      </c>
      <c r="C10430" t="s">
        <v>1195</v>
      </c>
    </row>
    <row r="10431" spans="2:3" x14ac:dyDescent="0.35">
      <c r="B10431" t="s">
        <v>1195</v>
      </c>
      <c r="C10431" t="s">
        <v>1195</v>
      </c>
    </row>
    <row r="10432" spans="2:3" x14ac:dyDescent="0.35">
      <c r="B10432" t="s">
        <v>1195</v>
      </c>
      <c r="C10432" t="s">
        <v>1195</v>
      </c>
    </row>
    <row r="10433" spans="2:3" x14ac:dyDescent="0.35">
      <c r="B10433" t="s">
        <v>1195</v>
      </c>
      <c r="C10433" t="s">
        <v>1195</v>
      </c>
    </row>
    <row r="10434" spans="2:3" x14ac:dyDescent="0.35">
      <c r="B10434" t="s">
        <v>1195</v>
      </c>
      <c r="C10434" t="s">
        <v>1195</v>
      </c>
    </row>
    <row r="10435" spans="2:3" x14ac:dyDescent="0.35">
      <c r="B10435" t="s">
        <v>1195</v>
      </c>
      <c r="C10435" t="s">
        <v>1195</v>
      </c>
    </row>
    <row r="10436" spans="2:3" x14ac:dyDescent="0.35">
      <c r="B10436" t="s">
        <v>1195</v>
      </c>
      <c r="C10436" t="s">
        <v>1195</v>
      </c>
    </row>
    <row r="10437" spans="2:3" x14ac:dyDescent="0.35">
      <c r="B10437" t="s">
        <v>1195</v>
      </c>
      <c r="C10437" t="s">
        <v>1195</v>
      </c>
    </row>
    <row r="10438" spans="2:3" x14ac:dyDescent="0.35">
      <c r="B10438" t="s">
        <v>1195</v>
      </c>
      <c r="C10438" t="s">
        <v>1195</v>
      </c>
    </row>
    <row r="10439" spans="2:3" x14ac:dyDescent="0.35">
      <c r="B10439" t="s">
        <v>1195</v>
      </c>
      <c r="C10439" t="s">
        <v>1195</v>
      </c>
    </row>
    <row r="10440" spans="2:3" x14ac:dyDescent="0.35">
      <c r="B10440" t="s">
        <v>1195</v>
      </c>
      <c r="C10440" t="s">
        <v>1195</v>
      </c>
    </row>
    <row r="10441" spans="2:3" x14ac:dyDescent="0.35">
      <c r="B10441" t="s">
        <v>1195</v>
      </c>
      <c r="C10441" t="s">
        <v>1195</v>
      </c>
    </row>
    <row r="10442" spans="2:3" x14ac:dyDescent="0.35">
      <c r="B10442" t="s">
        <v>1195</v>
      </c>
      <c r="C10442" t="s">
        <v>1195</v>
      </c>
    </row>
    <row r="10443" spans="2:3" x14ac:dyDescent="0.35">
      <c r="B10443" t="s">
        <v>1195</v>
      </c>
      <c r="C10443" t="s">
        <v>1195</v>
      </c>
    </row>
    <row r="10444" spans="2:3" x14ac:dyDescent="0.35">
      <c r="B10444" t="s">
        <v>1195</v>
      </c>
      <c r="C10444" t="s">
        <v>1195</v>
      </c>
    </row>
    <row r="10445" spans="2:3" x14ac:dyDescent="0.35">
      <c r="B10445" t="s">
        <v>1195</v>
      </c>
      <c r="C10445" t="s">
        <v>1195</v>
      </c>
    </row>
    <row r="10446" spans="2:3" x14ac:dyDescent="0.35">
      <c r="B10446" t="s">
        <v>1195</v>
      </c>
      <c r="C10446" t="s">
        <v>1195</v>
      </c>
    </row>
    <row r="10447" spans="2:3" x14ac:dyDescent="0.35">
      <c r="B10447" t="s">
        <v>1195</v>
      </c>
      <c r="C10447" t="s">
        <v>1195</v>
      </c>
    </row>
    <row r="10448" spans="2:3" x14ac:dyDescent="0.35">
      <c r="B10448" t="s">
        <v>1195</v>
      </c>
      <c r="C10448" t="s">
        <v>1195</v>
      </c>
    </row>
    <row r="10449" spans="2:3" x14ac:dyDescent="0.35">
      <c r="B10449" t="s">
        <v>1195</v>
      </c>
      <c r="C10449" t="s">
        <v>1195</v>
      </c>
    </row>
    <row r="10450" spans="2:3" x14ac:dyDescent="0.35">
      <c r="B10450" t="s">
        <v>1195</v>
      </c>
      <c r="C10450" t="s">
        <v>1195</v>
      </c>
    </row>
    <row r="10451" spans="2:3" x14ac:dyDescent="0.35">
      <c r="B10451" t="s">
        <v>1195</v>
      </c>
      <c r="C10451" t="s">
        <v>1195</v>
      </c>
    </row>
    <row r="10452" spans="2:3" x14ac:dyDescent="0.35">
      <c r="B10452" t="s">
        <v>1195</v>
      </c>
      <c r="C10452" t="s">
        <v>1195</v>
      </c>
    </row>
    <row r="10453" spans="2:3" x14ac:dyDescent="0.35">
      <c r="B10453" t="s">
        <v>1195</v>
      </c>
      <c r="C10453" t="s">
        <v>1195</v>
      </c>
    </row>
    <row r="10454" spans="2:3" x14ac:dyDescent="0.35">
      <c r="B10454" t="s">
        <v>1195</v>
      </c>
      <c r="C10454" t="s">
        <v>1195</v>
      </c>
    </row>
    <row r="10455" spans="2:3" x14ac:dyDescent="0.35">
      <c r="B10455" t="s">
        <v>1195</v>
      </c>
      <c r="C10455" t="s">
        <v>1195</v>
      </c>
    </row>
    <row r="10456" spans="2:3" x14ac:dyDescent="0.35">
      <c r="B10456" t="s">
        <v>1195</v>
      </c>
      <c r="C10456" t="s">
        <v>1195</v>
      </c>
    </row>
    <row r="10457" spans="2:3" x14ac:dyDescent="0.35">
      <c r="B10457" t="s">
        <v>1195</v>
      </c>
      <c r="C10457" t="s">
        <v>1195</v>
      </c>
    </row>
    <row r="10458" spans="2:3" x14ac:dyDescent="0.35">
      <c r="B10458" t="s">
        <v>1195</v>
      </c>
      <c r="C10458" t="s">
        <v>1195</v>
      </c>
    </row>
    <row r="10459" spans="2:3" x14ac:dyDescent="0.35">
      <c r="B10459" t="s">
        <v>1195</v>
      </c>
      <c r="C10459" t="s">
        <v>1195</v>
      </c>
    </row>
    <row r="10460" spans="2:3" x14ac:dyDescent="0.35">
      <c r="B10460" t="s">
        <v>1195</v>
      </c>
      <c r="C10460" t="s">
        <v>1195</v>
      </c>
    </row>
    <row r="10461" spans="2:3" x14ac:dyDescent="0.35">
      <c r="B10461" t="s">
        <v>1195</v>
      </c>
      <c r="C10461" t="s">
        <v>1195</v>
      </c>
    </row>
    <row r="10462" spans="2:3" x14ac:dyDescent="0.35">
      <c r="B10462" t="s">
        <v>1195</v>
      </c>
      <c r="C10462" t="s">
        <v>1195</v>
      </c>
    </row>
    <row r="10463" spans="2:3" x14ac:dyDescent="0.35">
      <c r="B10463" t="s">
        <v>1195</v>
      </c>
      <c r="C10463" t="s">
        <v>1195</v>
      </c>
    </row>
    <row r="10464" spans="2:3" x14ac:dyDescent="0.35">
      <c r="B10464" t="s">
        <v>1195</v>
      </c>
      <c r="C10464" t="s">
        <v>1195</v>
      </c>
    </row>
    <row r="10465" spans="2:3" x14ac:dyDescent="0.35">
      <c r="B10465" t="s">
        <v>1195</v>
      </c>
      <c r="C10465" t="s">
        <v>1195</v>
      </c>
    </row>
    <row r="10466" spans="2:3" x14ac:dyDescent="0.35">
      <c r="B10466" t="s">
        <v>1195</v>
      </c>
      <c r="C10466" t="s">
        <v>1195</v>
      </c>
    </row>
    <row r="10467" spans="2:3" x14ac:dyDescent="0.35">
      <c r="B10467" t="s">
        <v>1195</v>
      </c>
      <c r="C10467" t="s">
        <v>1195</v>
      </c>
    </row>
    <row r="10468" spans="2:3" x14ac:dyDescent="0.35">
      <c r="B10468" t="s">
        <v>1195</v>
      </c>
      <c r="C10468" t="s">
        <v>1195</v>
      </c>
    </row>
    <row r="10469" spans="2:3" x14ac:dyDescent="0.35">
      <c r="B10469" t="s">
        <v>1195</v>
      </c>
      <c r="C10469" t="s">
        <v>1195</v>
      </c>
    </row>
    <row r="10470" spans="2:3" x14ac:dyDescent="0.35">
      <c r="B10470" t="s">
        <v>1195</v>
      </c>
      <c r="C10470" t="s">
        <v>1195</v>
      </c>
    </row>
    <row r="10471" spans="2:3" x14ac:dyDescent="0.35">
      <c r="B10471" t="s">
        <v>1195</v>
      </c>
      <c r="C10471" t="s">
        <v>1195</v>
      </c>
    </row>
    <row r="10472" spans="2:3" x14ac:dyDescent="0.35">
      <c r="B10472" t="s">
        <v>1195</v>
      </c>
      <c r="C10472" t="s">
        <v>1195</v>
      </c>
    </row>
    <row r="10473" spans="2:3" x14ac:dyDescent="0.35">
      <c r="B10473" t="s">
        <v>1195</v>
      </c>
      <c r="C10473" t="s">
        <v>1195</v>
      </c>
    </row>
    <row r="10474" spans="2:3" x14ac:dyDescent="0.35">
      <c r="B10474" t="s">
        <v>1195</v>
      </c>
      <c r="C10474" t="s">
        <v>1195</v>
      </c>
    </row>
    <row r="10475" spans="2:3" x14ac:dyDescent="0.35">
      <c r="B10475" t="s">
        <v>1195</v>
      </c>
      <c r="C10475" t="s">
        <v>1195</v>
      </c>
    </row>
    <row r="10476" spans="2:3" x14ac:dyDescent="0.35">
      <c r="B10476" t="s">
        <v>1195</v>
      </c>
      <c r="C10476" t="s">
        <v>1195</v>
      </c>
    </row>
    <row r="10477" spans="2:3" x14ac:dyDescent="0.35">
      <c r="B10477" t="s">
        <v>1195</v>
      </c>
      <c r="C10477" t="s">
        <v>1195</v>
      </c>
    </row>
    <row r="10478" spans="2:3" x14ac:dyDescent="0.35">
      <c r="B10478" t="s">
        <v>1195</v>
      </c>
      <c r="C10478" t="s">
        <v>1195</v>
      </c>
    </row>
    <row r="10479" spans="2:3" x14ac:dyDescent="0.35">
      <c r="B10479" t="s">
        <v>1195</v>
      </c>
      <c r="C10479" t="s">
        <v>1195</v>
      </c>
    </row>
    <row r="10480" spans="2:3" x14ac:dyDescent="0.35">
      <c r="B10480" t="s">
        <v>1195</v>
      </c>
      <c r="C10480" t="s">
        <v>1195</v>
      </c>
    </row>
    <row r="10481" spans="2:3" x14ac:dyDescent="0.35">
      <c r="B10481" t="s">
        <v>1195</v>
      </c>
      <c r="C10481" t="s">
        <v>1195</v>
      </c>
    </row>
    <row r="10482" spans="2:3" x14ac:dyDescent="0.35">
      <c r="B10482" t="s">
        <v>1195</v>
      </c>
      <c r="C10482" t="s">
        <v>1195</v>
      </c>
    </row>
    <row r="10483" spans="2:3" x14ac:dyDescent="0.35">
      <c r="B10483" t="s">
        <v>1195</v>
      </c>
      <c r="C10483" t="s">
        <v>1195</v>
      </c>
    </row>
    <row r="10484" spans="2:3" x14ac:dyDescent="0.35">
      <c r="B10484" t="s">
        <v>1195</v>
      </c>
      <c r="C10484" t="s">
        <v>1195</v>
      </c>
    </row>
    <row r="10485" spans="2:3" x14ac:dyDescent="0.35">
      <c r="B10485" t="s">
        <v>1195</v>
      </c>
      <c r="C10485" t="s">
        <v>1195</v>
      </c>
    </row>
    <row r="10486" spans="2:3" x14ac:dyDescent="0.35">
      <c r="B10486" t="s">
        <v>1195</v>
      </c>
      <c r="C10486" t="s">
        <v>1195</v>
      </c>
    </row>
    <row r="10487" spans="2:3" x14ac:dyDescent="0.35">
      <c r="B10487" t="s">
        <v>1195</v>
      </c>
      <c r="C10487" t="s">
        <v>1195</v>
      </c>
    </row>
    <row r="10488" spans="2:3" x14ac:dyDescent="0.35">
      <c r="B10488" t="s">
        <v>1195</v>
      </c>
      <c r="C10488" t="s">
        <v>1195</v>
      </c>
    </row>
    <row r="10489" spans="2:3" x14ac:dyDescent="0.35">
      <c r="B10489" t="s">
        <v>1195</v>
      </c>
      <c r="C10489" t="s">
        <v>1195</v>
      </c>
    </row>
    <row r="10490" spans="2:3" x14ac:dyDescent="0.35">
      <c r="B10490" t="s">
        <v>1195</v>
      </c>
      <c r="C10490" t="s">
        <v>1195</v>
      </c>
    </row>
    <row r="10491" spans="2:3" x14ac:dyDescent="0.35">
      <c r="B10491" t="s">
        <v>1195</v>
      </c>
      <c r="C10491" t="s">
        <v>1195</v>
      </c>
    </row>
    <row r="10492" spans="2:3" x14ac:dyDescent="0.35">
      <c r="B10492" t="s">
        <v>1195</v>
      </c>
      <c r="C10492" t="s">
        <v>1195</v>
      </c>
    </row>
    <row r="10493" spans="2:3" x14ac:dyDescent="0.35">
      <c r="B10493" t="s">
        <v>1195</v>
      </c>
      <c r="C10493" t="s">
        <v>1195</v>
      </c>
    </row>
    <row r="10494" spans="2:3" x14ac:dyDescent="0.35">
      <c r="B10494" t="s">
        <v>1195</v>
      </c>
      <c r="C10494" t="s">
        <v>1195</v>
      </c>
    </row>
    <row r="10495" spans="2:3" x14ac:dyDescent="0.35">
      <c r="B10495" t="s">
        <v>1195</v>
      </c>
      <c r="C10495" t="s">
        <v>1195</v>
      </c>
    </row>
    <row r="10496" spans="2:3" x14ac:dyDescent="0.35">
      <c r="B10496" t="s">
        <v>1195</v>
      </c>
      <c r="C10496" t="s">
        <v>1195</v>
      </c>
    </row>
    <row r="10497" spans="2:3" x14ac:dyDescent="0.35">
      <c r="B10497" t="s">
        <v>1195</v>
      </c>
      <c r="C10497" t="s">
        <v>1195</v>
      </c>
    </row>
    <row r="10498" spans="2:3" x14ac:dyDescent="0.35">
      <c r="B10498" t="s">
        <v>1195</v>
      </c>
      <c r="C10498" t="s">
        <v>1195</v>
      </c>
    </row>
    <row r="10499" spans="2:3" x14ac:dyDescent="0.35">
      <c r="B10499" t="s">
        <v>1195</v>
      </c>
      <c r="C10499" t="s">
        <v>1195</v>
      </c>
    </row>
    <row r="10500" spans="2:3" x14ac:dyDescent="0.35">
      <c r="B10500" t="s">
        <v>1195</v>
      </c>
      <c r="C10500" t="s">
        <v>1195</v>
      </c>
    </row>
    <row r="10501" spans="2:3" x14ac:dyDescent="0.35">
      <c r="B10501" t="s">
        <v>1195</v>
      </c>
      <c r="C10501" t="s">
        <v>1195</v>
      </c>
    </row>
    <row r="10502" spans="2:3" x14ac:dyDescent="0.35">
      <c r="B10502" t="s">
        <v>1195</v>
      </c>
      <c r="C10502" t="s">
        <v>1195</v>
      </c>
    </row>
    <row r="10503" spans="2:3" x14ac:dyDescent="0.35">
      <c r="B10503" t="s">
        <v>1195</v>
      </c>
      <c r="C10503" t="s">
        <v>1195</v>
      </c>
    </row>
    <row r="10504" spans="2:3" x14ac:dyDescent="0.35">
      <c r="B10504" t="s">
        <v>1195</v>
      </c>
      <c r="C10504" t="s">
        <v>1195</v>
      </c>
    </row>
    <row r="10505" spans="2:3" x14ac:dyDescent="0.35">
      <c r="B10505" t="s">
        <v>1195</v>
      </c>
      <c r="C10505" t="s">
        <v>1195</v>
      </c>
    </row>
    <row r="10506" spans="2:3" x14ac:dyDescent="0.35">
      <c r="B10506" t="s">
        <v>1195</v>
      </c>
      <c r="C10506" t="s">
        <v>1195</v>
      </c>
    </row>
    <row r="10507" spans="2:3" x14ac:dyDescent="0.35">
      <c r="B10507" t="s">
        <v>1195</v>
      </c>
      <c r="C10507" t="s">
        <v>1195</v>
      </c>
    </row>
    <row r="10508" spans="2:3" x14ac:dyDescent="0.35">
      <c r="B10508" t="s">
        <v>1195</v>
      </c>
      <c r="C10508" t="s">
        <v>1195</v>
      </c>
    </row>
    <row r="10509" spans="2:3" x14ac:dyDescent="0.35">
      <c r="B10509" t="s">
        <v>1195</v>
      </c>
      <c r="C10509" t="s">
        <v>1195</v>
      </c>
    </row>
    <row r="10510" spans="2:3" x14ac:dyDescent="0.35">
      <c r="B10510" t="s">
        <v>1195</v>
      </c>
      <c r="C10510" t="s">
        <v>1195</v>
      </c>
    </row>
    <row r="10511" spans="2:3" x14ac:dyDescent="0.35">
      <c r="B10511" t="s">
        <v>1195</v>
      </c>
      <c r="C10511" t="s">
        <v>1195</v>
      </c>
    </row>
    <row r="10512" spans="2:3" x14ac:dyDescent="0.35">
      <c r="B10512" t="s">
        <v>1195</v>
      </c>
      <c r="C10512" t="s">
        <v>1195</v>
      </c>
    </row>
    <row r="10513" spans="2:3" x14ac:dyDescent="0.35">
      <c r="B10513" t="s">
        <v>1195</v>
      </c>
      <c r="C10513" t="s">
        <v>1195</v>
      </c>
    </row>
    <row r="10514" spans="2:3" x14ac:dyDescent="0.35">
      <c r="B10514" t="s">
        <v>1195</v>
      </c>
      <c r="C10514" t="s">
        <v>1195</v>
      </c>
    </row>
    <row r="10515" spans="2:3" x14ac:dyDescent="0.35">
      <c r="B10515" t="s">
        <v>1195</v>
      </c>
      <c r="C10515" t="s">
        <v>1195</v>
      </c>
    </row>
    <row r="10516" spans="2:3" x14ac:dyDescent="0.35">
      <c r="B10516" t="s">
        <v>1195</v>
      </c>
      <c r="C10516" t="s">
        <v>1195</v>
      </c>
    </row>
    <row r="10517" spans="2:3" x14ac:dyDescent="0.35">
      <c r="B10517" t="s">
        <v>1195</v>
      </c>
      <c r="C10517" t="s">
        <v>1195</v>
      </c>
    </row>
    <row r="10518" spans="2:3" x14ac:dyDescent="0.35">
      <c r="B10518" t="s">
        <v>1195</v>
      </c>
      <c r="C10518" t="s">
        <v>1195</v>
      </c>
    </row>
    <row r="10519" spans="2:3" x14ac:dyDescent="0.35">
      <c r="B10519" t="s">
        <v>1195</v>
      </c>
      <c r="C10519" t="s">
        <v>1195</v>
      </c>
    </row>
    <row r="10520" spans="2:3" x14ac:dyDescent="0.35">
      <c r="B10520" t="s">
        <v>1195</v>
      </c>
      <c r="C10520" t="s">
        <v>1195</v>
      </c>
    </row>
    <row r="10521" spans="2:3" x14ac:dyDescent="0.35">
      <c r="B10521" t="s">
        <v>1195</v>
      </c>
      <c r="C10521" t="s">
        <v>1195</v>
      </c>
    </row>
    <row r="10522" spans="2:3" x14ac:dyDescent="0.35">
      <c r="B10522" t="s">
        <v>1195</v>
      </c>
      <c r="C10522" t="s">
        <v>1195</v>
      </c>
    </row>
    <row r="10523" spans="2:3" x14ac:dyDescent="0.35">
      <c r="B10523" t="s">
        <v>1195</v>
      </c>
      <c r="C10523" t="s">
        <v>1195</v>
      </c>
    </row>
    <row r="10524" spans="2:3" x14ac:dyDescent="0.35">
      <c r="B10524" t="s">
        <v>1195</v>
      </c>
      <c r="C10524" t="s">
        <v>1195</v>
      </c>
    </row>
    <row r="10525" spans="2:3" x14ac:dyDescent="0.35">
      <c r="B10525" t="s">
        <v>1195</v>
      </c>
      <c r="C10525" t="s">
        <v>1195</v>
      </c>
    </row>
    <row r="10526" spans="2:3" x14ac:dyDescent="0.35">
      <c r="B10526" t="s">
        <v>1195</v>
      </c>
      <c r="C10526" t="s">
        <v>1195</v>
      </c>
    </row>
    <row r="10527" spans="2:3" x14ac:dyDescent="0.35">
      <c r="B10527" t="s">
        <v>1195</v>
      </c>
      <c r="C10527" t="s">
        <v>1195</v>
      </c>
    </row>
    <row r="10528" spans="2:3" x14ac:dyDescent="0.35">
      <c r="B10528" t="s">
        <v>1195</v>
      </c>
      <c r="C10528" t="s">
        <v>1195</v>
      </c>
    </row>
    <row r="10529" spans="2:3" x14ac:dyDescent="0.35">
      <c r="B10529" t="s">
        <v>1195</v>
      </c>
      <c r="C10529" t="s">
        <v>1195</v>
      </c>
    </row>
    <row r="10530" spans="2:3" x14ac:dyDescent="0.35">
      <c r="B10530" t="s">
        <v>1195</v>
      </c>
      <c r="C10530" t="s">
        <v>1195</v>
      </c>
    </row>
    <row r="10531" spans="2:3" x14ac:dyDescent="0.35">
      <c r="B10531" t="s">
        <v>1195</v>
      </c>
      <c r="C10531" t="s">
        <v>1195</v>
      </c>
    </row>
    <row r="10532" spans="2:3" x14ac:dyDescent="0.35">
      <c r="B10532" t="s">
        <v>1195</v>
      </c>
      <c r="C10532" t="s">
        <v>1195</v>
      </c>
    </row>
    <row r="10533" spans="2:3" x14ac:dyDescent="0.35">
      <c r="B10533" t="s">
        <v>1195</v>
      </c>
      <c r="C10533" t="s">
        <v>1195</v>
      </c>
    </row>
    <row r="10534" spans="2:3" x14ac:dyDescent="0.35">
      <c r="B10534" t="s">
        <v>1195</v>
      </c>
      <c r="C10534" t="s">
        <v>1195</v>
      </c>
    </row>
    <row r="10535" spans="2:3" x14ac:dyDescent="0.35">
      <c r="B10535" t="s">
        <v>1195</v>
      </c>
      <c r="C10535" t="s">
        <v>1195</v>
      </c>
    </row>
    <row r="10536" spans="2:3" x14ac:dyDescent="0.35">
      <c r="B10536" t="s">
        <v>1195</v>
      </c>
      <c r="C10536" t="s">
        <v>1195</v>
      </c>
    </row>
    <row r="10537" spans="2:3" x14ac:dyDescent="0.35">
      <c r="B10537" t="s">
        <v>1195</v>
      </c>
      <c r="C10537" t="s">
        <v>1195</v>
      </c>
    </row>
    <row r="10538" spans="2:3" x14ac:dyDescent="0.35">
      <c r="B10538" t="s">
        <v>1195</v>
      </c>
      <c r="C10538" t="s">
        <v>1195</v>
      </c>
    </row>
    <row r="10539" spans="2:3" x14ac:dyDescent="0.35">
      <c r="B10539" t="s">
        <v>1195</v>
      </c>
      <c r="C10539" t="s">
        <v>1195</v>
      </c>
    </row>
    <row r="10540" spans="2:3" x14ac:dyDescent="0.35">
      <c r="B10540" t="s">
        <v>1195</v>
      </c>
      <c r="C10540" t="s">
        <v>1195</v>
      </c>
    </row>
    <row r="10541" spans="2:3" x14ac:dyDescent="0.35">
      <c r="B10541" t="s">
        <v>1195</v>
      </c>
      <c r="C10541" t="s">
        <v>1195</v>
      </c>
    </row>
    <row r="10542" spans="2:3" x14ac:dyDescent="0.35">
      <c r="B10542" t="s">
        <v>1195</v>
      </c>
      <c r="C10542" t="s">
        <v>1195</v>
      </c>
    </row>
    <row r="10543" spans="2:3" x14ac:dyDescent="0.35">
      <c r="B10543" t="s">
        <v>1195</v>
      </c>
      <c r="C10543" t="s">
        <v>1195</v>
      </c>
    </row>
    <row r="10544" spans="2:3" x14ac:dyDescent="0.35">
      <c r="B10544" t="s">
        <v>1195</v>
      </c>
      <c r="C10544" t="s">
        <v>1195</v>
      </c>
    </row>
    <row r="10545" spans="2:3" x14ac:dyDescent="0.35">
      <c r="B10545" t="s">
        <v>1195</v>
      </c>
      <c r="C10545" t="s">
        <v>1195</v>
      </c>
    </row>
    <row r="10546" spans="2:3" x14ac:dyDescent="0.35">
      <c r="B10546" t="s">
        <v>1195</v>
      </c>
      <c r="C10546" t="s">
        <v>1195</v>
      </c>
    </row>
    <row r="10547" spans="2:3" x14ac:dyDescent="0.35">
      <c r="B10547" t="s">
        <v>1195</v>
      </c>
      <c r="C10547" t="s">
        <v>1195</v>
      </c>
    </row>
    <row r="10548" spans="2:3" x14ac:dyDescent="0.35">
      <c r="B10548" t="s">
        <v>1195</v>
      </c>
      <c r="C10548" t="s">
        <v>1195</v>
      </c>
    </row>
    <row r="10549" spans="2:3" x14ac:dyDescent="0.35">
      <c r="B10549" t="s">
        <v>1195</v>
      </c>
      <c r="C10549" t="s">
        <v>1195</v>
      </c>
    </row>
    <row r="10550" spans="2:3" x14ac:dyDescent="0.35">
      <c r="B10550" t="s">
        <v>1195</v>
      </c>
      <c r="C10550" t="s">
        <v>1195</v>
      </c>
    </row>
    <row r="10551" spans="2:3" x14ac:dyDescent="0.35">
      <c r="B10551" t="s">
        <v>1195</v>
      </c>
      <c r="C10551" t="s">
        <v>1195</v>
      </c>
    </row>
    <row r="10552" spans="2:3" x14ac:dyDescent="0.35">
      <c r="B10552" t="s">
        <v>1195</v>
      </c>
      <c r="C10552" t="s">
        <v>1195</v>
      </c>
    </row>
    <row r="10553" spans="2:3" x14ac:dyDescent="0.35">
      <c r="B10553" t="s">
        <v>1195</v>
      </c>
      <c r="C10553" t="s">
        <v>1195</v>
      </c>
    </row>
    <row r="10554" spans="2:3" x14ac:dyDescent="0.35">
      <c r="B10554" t="s">
        <v>1195</v>
      </c>
      <c r="C10554" t="s">
        <v>1195</v>
      </c>
    </row>
    <row r="10555" spans="2:3" x14ac:dyDescent="0.35">
      <c r="B10555" t="s">
        <v>1195</v>
      </c>
      <c r="C10555" t="s">
        <v>1195</v>
      </c>
    </row>
    <row r="10556" spans="2:3" x14ac:dyDescent="0.35">
      <c r="B10556" t="s">
        <v>1195</v>
      </c>
      <c r="C10556" t="s">
        <v>1195</v>
      </c>
    </row>
    <row r="10557" spans="2:3" x14ac:dyDescent="0.35">
      <c r="B10557" t="s">
        <v>1195</v>
      </c>
      <c r="C10557" t="s">
        <v>1195</v>
      </c>
    </row>
    <row r="10558" spans="2:3" x14ac:dyDescent="0.35">
      <c r="B10558" t="s">
        <v>1195</v>
      </c>
      <c r="C10558" t="s">
        <v>1195</v>
      </c>
    </row>
    <row r="10559" spans="2:3" x14ac:dyDescent="0.35">
      <c r="B10559" t="s">
        <v>1195</v>
      </c>
      <c r="C10559" t="s">
        <v>1195</v>
      </c>
    </row>
    <row r="10560" spans="2:3" x14ac:dyDescent="0.35">
      <c r="B10560" t="s">
        <v>1195</v>
      </c>
      <c r="C10560" t="s">
        <v>1195</v>
      </c>
    </row>
    <row r="10561" spans="2:3" x14ac:dyDescent="0.35">
      <c r="B10561" t="s">
        <v>1195</v>
      </c>
      <c r="C10561" t="s">
        <v>1195</v>
      </c>
    </row>
    <row r="10562" spans="2:3" x14ac:dyDescent="0.35">
      <c r="B10562" t="s">
        <v>1195</v>
      </c>
      <c r="C10562" t="s">
        <v>1195</v>
      </c>
    </row>
    <row r="10563" spans="2:3" x14ac:dyDescent="0.35">
      <c r="B10563" t="s">
        <v>1195</v>
      </c>
      <c r="C10563" t="s">
        <v>1195</v>
      </c>
    </row>
    <row r="10564" spans="2:3" x14ac:dyDescent="0.35">
      <c r="B10564" t="s">
        <v>1195</v>
      </c>
      <c r="C10564" t="s">
        <v>1195</v>
      </c>
    </row>
    <row r="10565" spans="2:3" x14ac:dyDescent="0.35">
      <c r="B10565" t="s">
        <v>1195</v>
      </c>
      <c r="C10565" t="s">
        <v>1195</v>
      </c>
    </row>
    <row r="10566" spans="2:3" x14ac:dyDescent="0.35">
      <c r="B10566" t="s">
        <v>1195</v>
      </c>
      <c r="C10566" t="s">
        <v>1195</v>
      </c>
    </row>
    <row r="10567" spans="2:3" x14ac:dyDescent="0.35">
      <c r="B10567" t="s">
        <v>1195</v>
      </c>
      <c r="C10567" t="s">
        <v>1195</v>
      </c>
    </row>
    <row r="10568" spans="2:3" x14ac:dyDescent="0.35">
      <c r="B10568" t="s">
        <v>1195</v>
      </c>
      <c r="C10568" t="s">
        <v>1195</v>
      </c>
    </row>
    <row r="10569" spans="2:3" x14ac:dyDescent="0.35">
      <c r="B10569" t="s">
        <v>1195</v>
      </c>
      <c r="C10569" t="s">
        <v>1195</v>
      </c>
    </row>
    <row r="10570" spans="2:3" x14ac:dyDescent="0.35">
      <c r="B10570" t="s">
        <v>1195</v>
      </c>
      <c r="C10570" t="s">
        <v>1195</v>
      </c>
    </row>
    <row r="10571" spans="2:3" x14ac:dyDescent="0.35">
      <c r="B10571" t="s">
        <v>1195</v>
      </c>
      <c r="C10571" t="s">
        <v>1195</v>
      </c>
    </row>
    <row r="10572" spans="2:3" x14ac:dyDescent="0.35">
      <c r="B10572" t="s">
        <v>1195</v>
      </c>
      <c r="C10572" t="s">
        <v>1195</v>
      </c>
    </row>
    <row r="10573" spans="2:3" x14ac:dyDescent="0.35">
      <c r="B10573" t="s">
        <v>1195</v>
      </c>
      <c r="C10573" t="s">
        <v>1195</v>
      </c>
    </row>
    <row r="10574" spans="2:3" x14ac:dyDescent="0.35">
      <c r="B10574" t="s">
        <v>1195</v>
      </c>
      <c r="C10574" t="s">
        <v>1195</v>
      </c>
    </row>
    <row r="10575" spans="2:3" x14ac:dyDescent="0.35">
      <c r="B10575" t="s">
        <v>1195</v>
      </c>
      <c r="C10575" t="s">
        <v>1195</v>
      </c>
    </row>
    <row r="10576" spans="2:3" x14ac:dyDescent="0.35">
      <c r="B10576" t="s">
        <v>1195</v>
      </c>
      <c r="C10576" t="s">
        <v>1195</v>
      </c>
    </row>
    <row r="10577" spans="2:3" x14ac:dyDescent="0.35">
      <c r="B10577" t="s">
        <v>1195</v>
      </c>
      <c r="C10577" t="s">
        <v>1195</v>
      </c>
    </row>
    <row r="10578" spans="2:3" x14ac:dyDescent="0.35">
      <c r="B10578" t="s">
        <v>1195</v>
      </c>
      <c r="C10578" t="s">
        <v>1195</v>
      </c>
    </row>
    <row r="10579" spans="2:3" x14ac:dyDescent="0.35">
      <c r="B10579" t="s">
        <v>1195</v>
      </c>
      <c r="C10579" t="s">
        <v>1195</v>
      </c>
    </row>
    <row r="10580" spans="2:3" x14ac:dyDescent="0.35">
      <c r="B10580" t="s">
        <v>1195</v>
      </c>
      <c r="C10580" t="s">
        <v>1195</v>
      </c>
    </row>
    <row r="10581" spans="2:3" x14ac:dyDescent="0.35">
      <c r="B10581" t="s">
        <v>1195</v>
      </c>
      <c r="C10581" t="s">
        <v>1195</v>
      </c>
    </row>
    <row r="10582" spans="2:3" x14ac:dyDescent="0.35">
      <c r="B10582" t="s">
        <v>1195</v>
      </c>
      <c r="C10582" t="s">
        <v>1195</v>
      </c>
    </row>
    <row r="10583" spans="2:3" x14ac:dyDescent="0.35">
      <c r="B10583" t="s">
        <v>1195</v>
      </c>
      <c r="C10583" t="s">
        <v>1195</v>
      </c>
    </row>
    <row r="10584" spans="2:3" x14ac:dyDescent="0.35">
      <c r="B10584" t="s">
        <v>1195</v>
      </c>
      <c r="C10584" t="s">
        <v>1195</v>
      </c>
    </row>
    <row r="10585" spans="2:3" x14ac:dyDescent="0.35">
      <c r="B10585" t="s">
        <v>1195</v>
      </c>
      <c r="C10585" t="s">
        <v>1195</v>
      </c>
    </row>
    <row r="10586" spans="2:3" x14ac:dyDescent="0.35">
      <c r="B10586" t="s">
        <v>1195</v>
      </c>
      <c r="C10586" t="s">
        <v>1195</v>
      </c>
    </row>
    <row r="10587" spans="2:3" x14ac:dyDescent="0.35">
      <c r="B10587" t="s">
        <v>1195</v>
      </c>
      <c r="C10587" t="s">
        <v>1195</v>
      </c>
    </row>
    <row r="10588" spans="2:3" x14ac:dyDescent="0.35">
      <c r="B10588" t="s">
        <v>1195</v>
      </c>
      <c r="C10588" t="s">
        <v>1195</v>
      </c>
    </row>
    <row r="10589" spans="2:3" x14ac:dyDescent="0.35">
      <c r="B10589" t="s">
        <v>1195</v>
      </c>
      <c r="C10589" t="s">
        <v>1195</v>
      </c>
    </row>
    <row r="10590" spans="2:3" x14ac:dyDescent="0.35">
      <c r="B10590" t="s">
        <v>1195</v>
      </c>
      <c r="C10590" t="s">
        <v>1195</v>
      </c>
    </row>
    <row r="10591" spans="2:3" x14ac:dyDescent="0.35">
      <c r="B10591" t="s">
        <v>1195</v>
      </c>
      <c r="C10591" t="s">
        <v>1195</v>
      </c>
    </row>
    <row r="10592" spans="2:3" x14ac:dyDescent="0.35">
      <c r="B10592" t="s">
        <v>1195</v>
      </c>
      <c r="C10592" t="s">
        <v>1195</v>
      </c>
    </row>
    <row r="10593" spans="2:3" x14ac:dyDescent="0.35">
      <c r="B10593" t="s">
        <v>1195</v>
      </c>
      <c r="C10593" t="s">
        <v>1195</v>
      </c>
    </row>
    <row r="10594" spans="2:3" x14ac:dyDescent="0.35">
      <c r="B10594" t="s">
        <v>1195</v>
      </c>
      <c r="C10594" t="s">
        <v>1195</v>
      </c>
    </row>
    <row r="10595" spans="2:3" x14ac:dyDescent="0.35">
      <c r="B10595" t="s">
        <v>1195</v>
      </c>
      <c r="C10595" t="s">
        <v>1195</v>
      </c>
    </row>
    <row r="10596" spans="2:3" x14ac:dyDescent="0.35">
      <c r="B10596" t="s">
        <v>1195</v>
      </c>
      <c r="C10596" t="s">
        <v>1195</v>
      </c>
    </row>
    <row r="10597" spans="2:3" x14ac:dyDescent="0.35">
      <c r="B10597" t="s">
        <v>1195</v>
      </c>
      <c r="C10597" t="s">
        <v>1195</v>
      </c>
    </row>
    <row r="10598" spans="2:3" x14ac:dyDescent="0.35">
      <c r="B10598" t="s">
        <v>1195</v>
      </c>
      <c r="C10598" t="s">
        <v>1195</v>
      </c>
    </row>
    <row r="10599" spans="2:3" x14ac:dyDescent="0.35">
      <c r="B10599" t="s">
        <v>1195</v>
      </c>
      <c r="C10599" t="s">
        <v>1195</v>
      </c>
    </row>
    <row r="10600" spans="2:3" x14ac:dyDescent="0.35">
      <c r="B10600" t="s">
        <v>1195</v>
      </c>
      <c r="C10600" t="s">
        <v>1195</v>
      </c>
    </row>
    <row r="10601" spans="2:3" x14ac:dyDescent="0.35">
      <c r="B10601" t="s">
        <v>1195</v>
      </c>
      <c r="C10601" t="s">
        <v>1195</v>
      </c>
    </row>
    <row r="10602" spans="2:3" x14ac:dyDescent="0.35">
      <c r="B10602" t="s">
        <v>1195</v>
      </c>
      <c r="C10602" t="s">
        <v>1195</v>
      </c>
    </row>
    <row r="10603" spans="2:3" x14ac:dyDescent="0.35">
      <c r="B10603" t="s">
        <v>1195</v>
      </c>
      <c r="C10603" t="s">
        <v>1195</v>
      </c>
    </row>
    <row r="10604" spans="2:3" x14ac:dyDescent="0.35">
      <c r="B10604" t="s">
        <v>1195</v>
      </c>
      <c r="C10604" t="s">
        <v>1195</v>
      </c>
    </row>
    <row r="10605" spans="2:3" x14ac:dyDescent="0.35">
      <c r="B10605" t="s">
        <v>1195</v>
      </c>
      <c r="C10605" t="s">
        <v>1195</v>
      </c>
    </row>
    <row r="10606" spans="2:3" x14ac:dyDescent="0.35">
      <c r="B10606" t="s">
        <v>1195</v>
      </c>
      <c r="C10606" t="s">
        <v>1195</v>
      </c>
    </row>
    <row r="10607" spans="2:3" x14ac:dyDescent="0.35">
      <c r="B10607" t="s">
        <v>1195</v>
      </c>
      <c r="C10607" t="s">
        <v>1195</v>
      </c>
    </row>
    <row r="10608" spans="2:3" x14ac:dyDescent="0.35">
      <c r="B10608" t="s">
        <v>1195</v>
      </c>
      <c r="C10608" t="s">
        <v>1195</v>
      </c>
    </row>
    <row r="10609" spans="2:3" x14ac:dyDescent="0.35">
      <c r="B10609" t="s">
        <v>1195</v>
      </c>
      <c r="C10609" t="s">
        <v>1195</v>
      </c>
    </row>
    <row r="10610" spans="2:3" x14ac:dyDescent="0.35">
      <c r="B10610" t="s">
        <v>1195</v>
      </c>
      <c r="C10610" t="s">
        <v>1195</v>
      </c>
    </row>
    <row r="10611" spans="2:3" x14ac:dyDescent="0.35">
      <c r="B10611" t="s">
        <v>1195</v>
      </c>
      <c r="C10611" t="s">
        <v>1195</v>
      </c>
    </row>
    <row r="10612" spans="2:3" x14ac:dyDescent="0.35">
      <c r="B10612" t="s">
        <v>1195</v>
      </c>
      <c r="C10612" t="s">
        <v>1195</v>
      </c>
    </row>
    <row r="10613" spans="2:3" x14ac:dyDescent="0.35">
      <c r="B10613" t="s">
        <v>1195</v>
      </c>
      <c r="C10613" t="s">
        <v>1195</v>
      </c>
    </row>
    <row r="10614" spans="2:3" x14ac:dyDescent="0.35">
      <c r="B10614" t="s">
        <v>1195</v>
      </c>
      <c r="C10614" t="s">
        <v>1195</v>
      </c>
    </row>
    <row r="10615" spans="2:3" x14ac:dyDescent="0.35">
      <c r="B10615" t="s">
        <v>1195</v>
      </c>
      <c r="C10615" t="s">
        <v>1195</v>
      </c>
    </row>
    <row r="10616" spans="2:3" x14ac:dyDescent="0.35">
      <c r="B10616" t="s">
        <v>1195</v>
      </c>
      <c r="C10616" t="s">
        <v>1195</v>
      </c>
    </row>
    <row r="10617" spans="2:3" x14ac:dyDescent="0.35">
      <c r="B10617" t="s">
        <v>1195</v>
      </c>
      <c r="C10617" t="s">
        <v>1195</v>
      </c>
    </row>
    <row r="10618" spans="2:3" x14ac:dyDescent="0.35">
      <c r="B10618" t="s">
        <v>1195</v>
      </c>
      <c r="C10618" t="s">
        <v>1195</v>
      </c>
    </row>
    <row r="10619" spans="2:3" x14ac:dyDescent="0.35">
      <c r="B10619" t="s">
        <v>1195</v>
      </c>
      <c r="C10619" t="s">
        <v>1195</v>
      </c>
    </row>
    <row r="10620" spans="2:3" x14ac:dyDescent="0.35">
      <c r="B10620" t="s">
        <v>1195</v>
      </c>
      <c r="C10620" t="s">
        <v>1195</v>
      </c>
    </row>
    <row r="10621" spans="2:3" x14ac:dyDescent="0.35">
      <c r="B10621" t="s">
        <v>1195</v>
      </c>
      <c r="C10621" t="s">
        <v>1195</v>
      </c>
    </row>
    <row r="10622" spans="2:3" x14ac:dyDescent="0.35">
      <c r="B10622" t="s">
        <v>1195</v>
      </c>
      <c r="C10622" t="s">
        <v>1195</v>
      </c>
    </row>
    <row r="10623" spans="2:3" x14ac:dyDescent="0.35">
      <c r="B10623" t="s">
        <v>1195</v>
      </c>
      <c r="C10623" t="s">
        <v>1195</v>
      </c>
    </row>
    <row r="10624" spans="2:3" x14ac:dyDescent="0.35">
      <c r="B10624" t="s">
        <v>1195</v>
      </c>
      <c r="C10624" t="s">
        <v>1195</v>
      </c>
    </row>
    <row r="10625" spans="2:3" x14ac:dyDescent="0.35">
      <c r="B10625" t="s">
        <v>1195</v>
      </c>
      <c r="C10625" t="s">
        <v>1195</v>
      </c>
    </row>
    <row r="10626" spans="2:3" x14ac:dyDescent="0.35">
      <c r="B10626" t="s">
        <v>1195</v>
      </c>
      <c r="C10626" t="s">
        <v>1195</v>
      </c>
    </row>
    <row r="10627" spans="2:3" x14ac:dyDescent="0.35">
      <c r="B10627" t="s">
        <v>1195</v>
      </c>
      <c r="C10627" t="s">
        <v>1195</v>
      </c>
    </row>
    <row r="10628" spans="2:3" x14ac:dyDescent="0.35">
      <c r="B10628" t="s">
        <v>1195</v>
      </c>
      <c r="C10628" t="s">
        <v>1195</v>
      </c>
    </row>
    <row r="10629" spans="2:3" x14ac:dyDescent="0.35">
      <c r="B10629" t="s">
        <v>1195</v>
      </c>
      <c r="C10629" t="s">
        <v>1195</v>
      </c>
    </row>
    <row r="10630" spans="2:3" x14ac:dyDescent="0.35">
      <c r="B10630" t="s">
        <v>1195</v>
      </c>
      <c r="C10630" t="s">
        <v>1195</v>
      </c>
    </row>
    <row r="10631" spans="2:3" x14ac:dyDescent="0.35">
      <c r="B10631" t="s">
        <v>1195</v>
      </c>
      <c r="C10631" t="s">
        <v>1195</v>
      </c>
    </row>
    <row r="10632" spans="2:3" x14ac:dyDescent="0.35">
      <c r="B10632" t="s">
        <v>1195</v>
      </c>
      <c r="C10632" t="s">
        <v>1195</v>
      </c>
    </row>
    <row r="10633" spans="2:3" x14ac:dyDescent="0.35">
      <c r="B10633" t="s">
        <v>1195</v>
      </c>
      <c r="C10633" t="s">
        <v>1195</v>
      </c>
    </row>
    <row r="10634" spans="2:3" x14ac:dyDescent="0.35">
      <c r="B10634" t="s">
        <v>1195</v>
      </c>
      <c r="C10634" t="s">
        <v>1195</v>
      </c>
    </row>
    <row r="10635" spans="2:3" x14ac:dyDescent="0.35">
      <c r="B10635" t="s">
        <v>1195</v>
      </c>
      <c r="C10635" t="s">
        <v>1195</v>
      </c>
    </row>
    <row r="10636" spans="2:3" x14ac:dyDescent="0.35">
      <c r="B10636" t="s">
        <v>1195</v>
      </c>
      <c r="C10636" t="s">
        <v>1195</v>
      </c>
    </row>
    <row r="10637" spans="2:3" x14ac:dyDescent="0.35">
      <c r="B10637" t="s">
        <v>1195</v>
      </c>
      <c r="C10637" t="s">
        <v>1195</v>
      </c>
    </row>
    <row r="10638" spans="2:3" x14ac:dyDescent="0.35">
      <c r="B10638" t="s">
        <v>1195</v>
      </c>
      <c r="C10638" t="s">
        <v>1195</v>
      </c>
    </row>
    <row r="10639" spans="2:3" x14ac:dyDescent="0.35">
      <c r="B10639" t="s">
        <v>1195</v>
      </c>
      <c r="C10639" t="s">
        <v>1195</v>
      </c>
    </row>
    <row r="10640" spans="2:3" x14ac:dyDescent="0.35">
      <c r="B10640" t="s">
        <v>1195</v>
      </c>
      <c r="C10640" t="s">
        <v>1195</v>
      </c>
    </row>
    <row r="10641" spans="2:3" x14ac:dyDescent="0.35">
      <c r="B10641" t="s">
        <v>1195</v>
      </c>
      <c r="C10641" t="s">
        <v>1195</v>
      </c>
    </row>
    <row r="10642" spans="2:3" x14ac:dyDescent="0.35">
      <c r="B10642" t="s">
        <v>1195</v>
      </c>
      <c r="C10642" t="s">
        <v>1195</v>
      </c>
    </row>
    <row r="10643" spans="2:3" x14ac:dyDescent="0.35">
      <c r="B10643" t="s">
        <v>1195</v>
      </c>
      <c r="C10643" t="s">
        <v>1195</v>
      </c>
    </row>
    <row r="10644" spans="2:3" x14ac:dyDescent="0.35">
      <c r="B10644" t="s">
        <v>1195</v>
      </c>
      <c r="C10644" t="s">
        <v>1195</v>
      </c>
    </row>
    <row r="10645" spans="2:3" x14ac:dyDescent="0.35">
      <c r="B10645" t="s">
        <v>1195</v>
      </c>
      <c r="C10645" t="s">
        <v>1195</v>
      </c>
    </row>
    <row r="10646" spans="2:3" x14ac:dyDescent="0.35">
      <c r="B10646" t="s">
        <v>1195</v>
      </c>
      <c r="C10646" t="s">
        <v>1195</v>
      </c>
    </row>
    <row r="10647" spans="2:3" x14ac:dyDescent="0.35">
      <c r="B10647" t="s">
        <v>1195</v>
      </c>
      <c r="C10647" t="s">
        <v>1195</v>
      </c>
    </row>
    <row r="10648" spans="2:3" x14ac:dyDescent="0.35">
      <c r="B10648" t="s">
        <v>1195</v>
      </c>
      <c r="C10648" t="s">
        <v>1195</v>
      </c>
    </row>
    <row r="10649" spans="2:3" x14ac:dyDescent="0.35">
      <c r="B10649" t="s">
        <v>1195</v>
      </c>
      <c r="C10649" t="s">
        <v>1195</v>
      </c>
    </row>
    <row r="10650" spans="2:3" x14ac:dyDescent="0.35">
      <c r="B10650" t="s">
        <v>1195</v>
      </c>
      <c r="C10650" t="s">
        <v>1195</v>
      </c>
    </row>
    <row r="10651" spans="2:3" x14ac:dyDescent="0.35">
      <c r="B10651" t="s">
        <v>1195</v>
      </c>
      <c r="C10651" t="s">
        <v>1195</v>
      </c>
    </row>
    <row r="10652" spans="2:3" x14ac:dyDescent="0.35">
      <c r="B10652" t="s">
        <v>1195</v>
      </c>
      <c r="C10652" t="s">
        <v>1195</v>
      </c>
    </row>
    <row r="10653" spans="2:3" x14ac:dyDescent="0.35">
      <c r="B10653" t="s">
        <v>1195</v>
      </c>
      <c r="C10653" t="s">
        <v>1195</v>
      </c>
    </row>
    <row r="10654" spans="2:3" x14ac:dyDescent="0.35">
      <c r="B10654" t="s">
        <v>1195</v>
      </c>
      <c r="C10654" t="s">
        <v>1195</v>
      </c>
    </row>
    <row r="10655" spans="2:3" x14ac:dyDescent="0.35">
      <c r="B10655" t="s">
        <v>1195</v>
      </c>
      <c r="C10655" t="s">
        <v>1195</v>
      </c>
    </row>
    <row r="10656" spans="2:3" x14ac:dyDescent="0.35">
      <c r="B10656" t="s">
        <v>1195</v>
      </c>
      <c r="C10656" t="s">
        <v>1195</v>
      </c>
    </row>
    <row r="10657" spans="2:3" x14ac:dyDescent="0.35">
      <c r="B10657" t="s">
        <v>1195</v>
      </c>
      <c r="C10657" t="s">
        <v>1195</v>
      </c>
    </row>
    <row r="10658" spans="2:3" x14ac:dyDescent="0.35">
      <c r="B10658" t="s">
        <v>1195</v>
      </c>
      <c r="C10658" t="s">
        <v>1195</v>
      </c>
    </row>
    <row r="10659" spans="2:3" x14ac:dyDescent="0.35">
      <c r="B10659" t="s">
        <v>1195</v>
      </c>
      <c r="C10659" t="s">
        <v>1195</v>
      </c>
    </row>
    <row r="10660" spans="2:3" x14ac:dyDescent="0.35">
      <c r="B10660" t="s">
        <v>1195</v>
      </c>
      <c r="C10660" t="s">
        <v>1195</v>
      </c>
    </row>
    <row r="10661" spans="2:3" x14ac:dyDescent="0.35">
      <c r="B10661" t="s">
        <v>1195</v>
      </c>
      <c r="C10661" t="s">
        <v>1195</v>
      </c>
    </row>
    <row r="10662" spans="2:3" x14ac:dyDescent="0.35">
      <c r="B10662" t="s">
        <v>1195</v>
      </c>
      <c r="C10662" t="s">
        <v>1195</v>
      </c>
    </row>
    <row r="10663" spans="2:3" x14ac:dyDescent="0.35">
      <c r="B10663" t="s">
        <v>1195</v>
      </c>
      <c r="C10663" t="s">
        <v>1195</v>
      </c>
    </row>
    <row r="10664" spans="2:3" x14ac:dyDescent="0.35">
      <c r="B10664" t="s">
        <v>1195</v>
      </c>
      <c r="C10664" t="s">
        <v>1195</v>
      </c>
    </row>
    <row r="10665" spans="2:3" x14ac:dyDescent="0.35">
      <c r="B10665" t="s">
        <v>1195</v>
      </c>
      <c r="C10665" t="s">
        <v>1195</v>
      </c>
    </row>
    <row r="10666" spans="2:3" x14ac:dyDescent="0.35">
      <c r="B10666" t="s">
        <v>1195</v>
      </c>
      <c r="C10666" t="s">
        <v>1195</v>
      </c>
    </row>
    <row r="10667" spans="2:3" x14ac:dyDescent="0.35">
      <c r="B10667" t="s">
        <v>1195</v>
      </c>
      <c r="C10667" t="s">
        <v>1195</v>
      </c>
    </row>
    <row r="10668" spans="2:3" x14ac:dyDescent="0.35">
      <c r="B10668" t="s">
        <v>1195</v>
      </c>
      <c r="C10668" t="s">
        <v>1195</v>
      </c>
    </row>
    <row r="10669" spans="2:3" x14ac:dyDescent="0.35">
      <c r="B10669" t="s">
        <v>1195</v>
      </c>
      <c r="C10669" t="s">
        <v>1195</v>
      </c>
    </row>
    <row r="10670" spans="2:3" x14ac:dyDescent="0.35">
      <c r="B10670" t="s">
        <v>1195</v>
      </c>
      <c r="C10670" t="s">
        <v>1195</v>
      </c>
    </row>
    <row r="10671" spans="2:3" x14ac:dyDescent="0.35">
      <c r="B10671" t="s">
        <v>1195</v>
      </c>
      <c r="C10671" t="s">
        <v>1195</v>
      </c>
    </row>
    <row r="10672" spans="2:3" x14ac:dyDescent="0.35">
      <c r="B10672" t="s">
        <v>1195</v>
      </c>
      <c r="C10672" t="s">
        <v>1195</v>
      </c>
    </row>
    <row r="10673" spans="2:3" x14ac:dyDescent="0.35">
      <c r="B10673" t="s">
        <v>1195</v>
      </c>
      <c r="C10673" t="s">
        <v>1195</v>
      </c>
    </row>
    <row r="10674" spans="2:3" x14ac:dyDescent="0.35">
      <c r="B10674" t="s">
        <v>1195</v>
      </c>
      <c r="C10674" t="s">
        <v>1195</v>
      </c>
    </row>
    <row r="10675" spans="2:3" x14ac:dyDescent="0.35">
      <c r="B10675" t="s">
        <v>1195</v>
      </c>
      <c r="C10675" t="s">
        <v>1195</v>
      </c>
    </row>
    <row r="10676" spans="2:3" x14ac:dyDescent="0.35">
      <c r="B10676" t="s">
        <v>1195</v>
      </c>
      <c r="C10676" t="s">
        <v>1195</v>
      </c>
    </row>
    <row r="10677" spans="2:3" x14ac:dyDescent="0.35">
      <c r="B10677" t="s">
        <v>1195</v>
      </c>
      <c r="C10677" t="s">
        <v>1195</v>
      </c>
    </row>
    <row r="10678" spans="2:3" x14ac:dyDescent="0.35">
      <c r="B10678" t="s">
        <v>1195</v>
      </c>
      <c r="C10678" t="s">
        <v>1195</v>
      </c>
    </row>
    <row r="10679" spans="2:3" x14ac:dyDescent="0.35">
      <c r="B10679" t="s">
        <v>1195</v>
      </c>
      <c r="C10679" t="s">
        <v>1195</v>
      </c>
    </row>
    <row r="10680" spans="2:3" x14ac:dyDescent="0.35">
      <c r="B10680" t="s">
        <v>1195</v>
      </c>
      <c r="C10680" t="s">
        <v>1195</v>
      </c>
    </row>
    <row r="10681" spans="2:3" x14ac:dyDescent="0.35">
      <c r="B10681" t="s">
        <v>1195</v>
      </c>
      <c r="C10681" t="s">
        <v>1195</v>
      </c>
    </row>
    <row r="10682" spans="2:3" x14ac:dyDescent="0.35">
      <c r="B10682" t="s">
        <v>1195</v>
      </c>
      <c r="C10682" t="s">
        <v>1195</v>
      </c>
    </row>
    <row r="10683" spans="2:3" x14ac:dyDescent="0.35">
      <c r="B10683" t="s">
        <v>1195</v>
      </c>
      <c r="C10683" t="s">
        <v>1195</v>
      </c>
    </row>
    <row r="10684" spans="2:3" x14ac:dyDescent="0.35">
      <c r="B10684" t="s">
        <v>1195</v>
      </c>
      <c r="C10684" t="s">
        <v>1195</v>
      </c>
    </row>
    <row r="10685" spans="2:3" x14ac:dyDescent="0.35">
      <c r="B10685" t="s">
        <v>1195</v>
      </c>
      <c r="C10685" t="s">
        <v>1195</v>
      </c>
    </row>
    <row r="10686" spans="2:3" x14ac:dyDescent="0.35">
      <c r="B10686" t="s">
        <v>1195</v>
      </c>
      <c r="C10686" t="s">
        <v>1195</v>
      </c>
    </row>
    <row r="10687" spans="2:3" x14ac:dyDescent="0.35">
      <c r="B10687" t="s">
        <v>1195</v>
      </c>
      <c r="C10687" t="s">
        <v>1195</v>
      </c>
    </row>
    <row r="10688" spans="2:3" x14ac:dyDescent="0.35">
      <c r="B10688" t="s">
        <v>1195</v>
      </c>
      <c r="C10688" t="s">
        <v>1195</v>
      </c>
    </row>
    <row r="10689" spans="2:3" x14ac:dyDescent="0.35">
      <c r="B10689" t="s">
        <v>1195</v>
      </c>
      <c r="C10689" t="s">
        <v>1195</v>
      </c>
    </row>
    <row r="10690" spans="2:3" x14ac:dyDescent="0.35">
      <c r="B10690" t="s">
        <v>1195</v>
      </c>
      <c r="C10690" t="s">
        <v>1195</v>
      </c>
    </row>
    <row r="10691" spans="2:3" x14ac:dyDescent="0.35">
      <c r="B10691" t="s">
        <v>1195</v>
      </c>
      <c r="C10691" t="s">
        <v>1195</v>
      </c>
    </row>
    <row r="10692" spans="2:3" x14ac:dyDescent="0.35">
      <c r="B10692" t="s">
        <v>1195</v>
      </c>
      <c r="C10692" t="s">
        <v>1195</v>
      </c>
    </row>
    <row r="10693" spans="2:3" x14ac:dyDescent="0.35">
      <c r="B10693" t="s">
        <v>1195</v>
      </c>
      <c r="C10693" t="s">
        <v>1195</v>
      </c>
    </row>
    <row r="10694" spans="2:3" x14ac:dyDescent="0.35">
      <c r="B10694" t="s">
        <v>1195</v>
      </c>
      <c r="C10694" t="s">
        <v>1195</v>
      </c>
    </row>
    <row r="10695" spans="2:3" x14ac:dyDescent="0.35">
      <c r="B10695" t="s">
        <v>1195</v>
      </c>
      <c r="C10695" t="s">
        <v>1195</v>
      </c>
    </row>
    <row r="10696" spans="2:3" x14ac:dyDescent="0.35">
      <c r="B10696" t="s">
        <v>1195</v>
      </c>
      <c r="C10696" t="s">
        <v>1195</v>
      </c>
    </row>
    <row r="10697" spans="2:3" x14ac:dyDescent="0.35">
      <c r="B10697" t="s">
        <v>1195</v>
      </c>
      <c r="C10697" t="s">
        <v>1195</v>
      </c>
    </row>
    <row r="10698" spans="2:3" x14ac:dyDescent="0.35">
      <c r="B10698" t="s">
        <v>1195</v>
      </c>
      <c r="C10698" t="s">
        <v>1195</v>
      </c>
    </row>
    <row r="10699" spans="2:3" x14ac:dyDescent="0.35">
      <c r="B10699" t="s">
        <v>1195</v>
      </c>
      <c r="C10699" t="s">
        <v>1195</v>
      </c>
    </row>
    <row r="10700" spans="2:3" x14ac:dyDescent="0.35">
      <c r="B10700" t="s">
        <v>1195</v>
      </c>
      <c r="C10700" t="s">
        <v>1195</v>
      </c>
    </row>
    <row r="10701" spans="2:3" x14ac:dyDescent="0.35">
      <c r="B10701" t="s">
        <v>1195</v>
      </c>
      <c r="C10701" t="s">
        <v>1195</v>
      </c>
    </row>
    <row r="10702" spans="2:3" x14ac:dyDescent="0.35">
      <c r="B10702" t="s">
        <v>1195</v>
      </c>
      <c r="C10702" t="s">
        <v>1195</v>
      </c>
    </row>
    <row r="10703" spans="2:3" x14ac:dyDescent="0.35">
      <c r="B10703" t="s">
        <v>1195</v>
      </c>
      <c r="C10703" t="s">
        <v>1195</v>
      </c>
    </row>
    <row r="10704" spans="2:3" x14ac:dyDescent="0.35">
      <c r="B10704" t="s">
        <v>1195</v>
      </c>
      <c r="C10704" t="s">
        <v>1195</v>
      </c>
    </row>
    <row r="10705" spans="2:3" x14ac:dyDescent="0.35">
      <c r="B10705" t="s">
        <v>1195</v>
      </c>
      <c r="C10705" t="s">
        <v>1195</v>
      </c>
    </row>
    <row r="10706" spans="2:3" x14ac:dyDescent="0.35">
      <c r="B10706" t="s">
        <v>1195</v>
      </c>
      <c r="C10706" t="s">
        <v>1195</v>
      </c>
    </row>
    <row r="10707" spans="2:3" x14ac:dyDescent="0.35">
      <c r="B10707" t="s">
        <v>1195</v>
      </c>
      <c r="C10707" t="s">
        <v>1195</v>
      </c>
    </row>
    <row r="10708" spans="2:3" x14ac:dyDescent="0.35">
      <c r="B10708" t="s">
        <v>1195</v>
      </c>
      <c r="C10708" t="s">
        <v>1195</v>
      </c>
    </row>
    <row r="10709" spans="2:3" x14ac:dyDescent="0.35">
      <c r="B10709" t="s">
        <v>1195</v>
      </c>
      <c r="C10709" t="s">
        <v>1195</v>
      </c>
    </row>
    <row r="10710" spans="2:3" x14ac:dyDescent="0.35">
      <c r="B10710" t="s">
        <v>1195</v>
      </c>
      <c r="C10710" t="s">
        <v>1195</v>
      </c>
    </row>
    <row r="10711" spans="2:3" x14ac:dyDescent="0.35">
      <c r="B10711" t="s">
        <v>1195</v>
      </c>
      <c r="C10711" t="s">
        <v>1195</v>
      </c>
    </row>
    <row r="10712" spans="2:3" x14ac:dyDescent="0.35">
      <c r="B10712" t="s">
        <v>1195</v>
      </c>
      <c r="C10712" t="s">
        <v>1195</v>
      </c>
    </row>
    <row r="10713" spans="2:3" x14ac:dyDescent="0.35">
      <c r="B10713" t="s">
        <v>1195</v>
      </c>
      <c r="C10713" t="s">
        <v>1195</v>
      </c>
    </row>
    <row r="10714" spans="2:3" x14ac:dyDescent="0.35">
      <c r="B10714" t="s">
        <v>1195</v>
      </c>
      <c r="C10714" t="s">
        <v>1195</v>
      </c>
    </row>
    <row r="10715" spans="2:3" x14ac:dyDescent="0.35">
      <c r="B10715" t="s">
        <v>1195</v>
      </c>
      <c r="C10715" t="s">
        <v>1195</v>
      </c>
    </row>
    <row r="10716" spans="2:3" x14ac:dyDescent="0.35">
      <c r="B10716" t="s">
        <v>1195</v>
      </c>
      <c r="C10716" t="s">
        <v>1195</v>
      </c>
    </row>
    <row r="10717" spans="2:3" x14ac:dyDescent="0.35">
      <c r="B10717" t="s">
        <v>1195</v>
      </c>
      <c r="C10717" t="s">
        <v>1195</v>
      </c>
    </row>
    <row r="10718" spans="2:3" x14ac:dyDescent="0.35">
      <c r="B10718" t="s">
        <v>1195</v>
      </c>
      <c r="C10718" t="s">
        <v>1195</v>
      </c>
    </row>
    <row r="10719" spans="2:3" x14ac:dyDescent="0.35">
      <c r="B10719" t="s">
        <v>1195</v>
      </c>
      <c r="C10719" t="s">
        <v>1195</v>
      </c>
    </row>
    <row r="10720" spans="2:3" x14ac:dyDescent="0.35">
      <c r="B10720" t="s">
        <v>1195</v>
      </c>
      <c r="C10720" t="s">
        <v>1195</v>
      </c>
    </row>
    <row r="10721" spans="2:3" x14ac:dyDescent="0.35">
      <c r="B10721" t="s">
        <v>1195</v>
      </c>
      <c r="C10721" t="s">
        <v>1195</v>
      </c>
    </row>
    <row r="10722" spans="2:3" x14ac:dyDescent="0.35">
      <c r="B10722" t="s">
        <v>1195</v>
      </c>
      <c r="C10722" t="s">
        <v>1195</v>
      </c>
    </row>
    <row r="10723" spans="2:3" x14ac:dyDescent="0.35">
      <c r="B10723" t="s">
        <v>1195</v>
      </c>
      <c r="C10723" t="s">
        <v>1195</v>
      </c>
    </row>
    <row r="10724" spans="2:3" x14ac:dyDescent="0.35">
      <c r="B10724" t="s">
        <v>1195</v>
      </c>
      <c r="C10724" t="s">
        <v>1195</v>
      </c>
    </row>
    <row r="10725" spans="2:3" x14ac:dyDescent="0.35">
      <c r="B10725" t="s">
        <v>1195</v>
      </c>
      <c r="C10725" t="s">
        <v>1195</v>
      </c>
    </row>
    <row r="10726" spans="2:3" x14ac:dyDescent="0.35">
      <c r="B10726" t="s">
        <v>1195</v>
      </c>
      <c r="C10726" t="s">
        <v>1195</v>
      </c>
    </row>
    <row r="10727" spans="2:3" x14ac:dyDescent="0.35">
      <c r="B10727" t="s">
        <v>1195</v>
      </c>
      <c r="C10727" t="s">
        <v>1195</v>
      </c>
    </row>
    <row r="10728" spans="2:3" x14ac:dyDescent="0.35">
      <c r="B10728" t="s">
        <v>1195</v>
      </c>
      <c r="C10728" t="s">
        <v>1195</v>
      </c>
    </row>
    <row r="10729" spans="2:3" x14ac:dyDescent="0.35">
      <c r="B10729" t="s">
        <v>1195</v>
      </c>
      <c r="C10729" t="s">
        <v>1195</v>
      </c>
    </row>
    <row r="10730" spans="2:3" x14ac:dyDescent="0.35">
      <c r="B10730" t="s">
        <v>1195</v>
      </c>
      <c r="C10730" t="s">
        <v>1195</v>
      </c>
    </row>
    <row r="10731" spans="2:3" x14ac:dyDescent="0.35">
      <c r="B10731" t="s">
        <v>1195</v>
      </c>
      <c r="C10731" t="s">
        <v>1195</v>
      </c>
    </row>
    <row r="10732" spans="2:3" x14ac:dyDescent="0.35">
      <c r="B10732" t="s">
        <v>1195</v>
      </c>
      <c r="C10732" t="s">
        <v>1195</v>
      </c>
    </row>
    <row r="10733" spans="2:3" x14ac:dyDescent="0.35">
      <c r="B10733" t="s">
        <v>1195</v>
      </c>
      <c r="C10733" t="s">
        <v>1195</v>
      </c>
    </row>
    <row r="10734" spans="2:3" x14ac:dyDescent="0.35">
      <c r="B10734" t="s">
        <v>1195</v>
      </c>
      <c r="C10734" t="s">
        <v>1195</v>
      </c>
    </row>
    <row r="10735" spans="2:3" x14ac:dyDescent="0.35">
      <c r="B10735" t="s">
        <v>1195</v>
      </c>
      <c r="C10735" t="s">
        <v>1195</v>
      </c>
    </row>
    <row r="10736" spans="2:3" x14ac:dyDescent="0.35">
      <c r="B10736" t="s">
        <v>1195</v>
      </c>
      <c r="C10736" t="s">
        <v>1195</v>
      </c>
    </row>
    <row r="10737" spans="2:3" x14ac:dyDescent="0.35">
      <c r="B10737" t="s">
        <v>1195</v>
      </c>
      <c r="C10737" t="s">
        <v>1195</v>
      </c>
    </row>
    <row r="10738" spans="2:3" x14ac:dyDescent="0.35">
      <c r="B10738" t="s">
        <v>1195</v>
      </c>
      <c r="C10738" t="s">
        <v>1195</v>
      </c>
    </row>
    <row r="10739" spans="2:3" x14ac:dyDescent="0.35">
      <c r="B10739" t="s">
        <v>1195</v>
      </c>
      <c r="C10739" t="s">
        <v>1195</v>
      </c>
    </row>
    <row r="10740" spans="2:3" x14ac:dyDescent="0.35">
      <c r="B10740" t="s">
        <v>1195</v>
      </c>
      <c r="C10740" t="s">
        <v>1195</v>
      </c>
    </row>
    <row r="10741" spans="2:3" x14ac:dyDescent="0.35">
      <c r="B10741" t="s">
        <v>1195</v>
      </c>
      <c r="C10741" t="s">
        <v>1195</v>
      </c>
    </row>
    <row r="10742" spans="2:3" x14ac:dyDescent="0.35">
      <c r="B10742" t="s">
        <v>1195</v>
      </c>
      <c r="C10742" t="s">
        <v>1195</v>
      </c>
    </row>
    <row r="10743" spans="2:3" x14ac:dyDescent="0.35">
      <c r="B10743" t="s">
        <v>1195</v>
      </c>
      <c r="C10743" t="s">
        <v>1195</v>
      </c>
    </row>
    <row r="10744" spans="2:3" x14ac:dyDescent="0.35">
      <c r="B10744" t="s">
        <v>1195</v>
      </c>
      <c r="C10744" t="s">
        <v>1195</v>
      </c>
    </row>
    <row r="10745" spans="2:3" x14ac:dyDescent="0.35">
      <c r="B10745" t="s">
        <v>1195</v>
      </c>
      <c r="C10745" t="s">
        <v>1195</v>
      </c>
    </row>
    <row r="10746" spans="2:3" x14ac:dyDescent="0.35">
      <c r="B10746" t="s">
        <v>1195</v>
      </c>
      <c r="C10746" t="s">
        <v>1195</v>
      </c>
    </row>
    <row r="10747" spans="2:3" x14ac:dyDescent="0.35">
      <c r="B10747" t="s">
        <v>1195</v>
      </c>
      <c r="C10747" t="s">
        <v>1195</v>
      </c>
    </row>
    <row r="10748" spans="2:3" x14ac:dyDescent="0.35">
      <c r="B10748" t="s">
        <v>1195</v>
      </c>
      <c r="C10748" t="s">
        <v>1195</v>
      </c>
    </row>
    <row r="10749" spans="2:3" x14ac:dyDescent="0.35">
      <c r="B10749" t="s">
        <v>1195</v>
      </c>
      <c r="C10749" t="s">
        <v>1195</v>
      </c>
    </row>
    <row r="10750" spans="2:3" x14ac:dyDescent="0.35">
      <c r="B10750" t="s">
        <v>1195</v>
      </c>
      <c r="C10750" t="s">
        <v>1195</v>
      </c>
    </row>
    <row r="10751" spans="2:3" x14ac:dyDescent="0.35">
      <c r="B10751" t="s">
        <v>1195</v>
      </c>
      <c r="C10751" t="s">
        <v>1195</v>
      </c>
    </row>
    <row r="10752" spans="2:3" x14ac:dyDescent="0.35">
      <c r="B10752" t="s">
        <v>1195</v>
      </c>
      <c r="C10752" t="s">
        <v>1195</v>
      </c>
    </row>
    <row r="10753" spans="2:3" x14ac:dyDescent="0.35">
      <c r="B10753" t="s">
        <v>1195</v>
      </c>
      <c r="C10753" t="s">
        <v>1195</v>
      </c>
    </row>
    <row r="10754" spans="2:3" x14ac:dyDescent="0.35">
      <c r="B10754" t="s">
        <v>1195</v>
      </c>
      <c r="C10754" t="s">
        <v>1195</v>
      </c>
    </row>
    <row r="10755" spans="2:3" x14ac:dyDescent="0.35">
      <c r="B10755" t="s">
        <v>1195</v>
      </c>
      <c r="C10755" t="s">
        <v>1195</v>
      </c>
    </row>
    <row r="10756" spans="2:3" x14ac:dyDescent="0.35">
      <c r="B10756" t="s">
        <v>1195</v>
      </c>
      <c r="C10756" t="s">
        <v>1195</v>
      </c>
    </row>
    <row r="10757" spans="2:3" x14ac:dyDescent="0.35">
      <c r="B10757" t="s">
        <v>1195</v>
      </c>
      <c r="C10757" t="s">
        <v>1195</v>
      </c>
    </row>
    <row r="10758" spans="2:3" x14ac:dyDescent="0.35">
      <c r="B10758" t="s">
        <v>1195</v>
      </c>
      <c r="C10758" t="s">
        <v>1195</v>
      </c>
    </row>
    <row r="10759" spans="2:3" x14ac:dyDescent="0.35">
      <c r="B10759" t="s">
        <v>1195</v>
      </c>
      <c r="C10759" t="s">
        <v>1195</v>
      </c>
    </row>
    <row r="10760" spans="2:3" x14ac:dyDescent="0.35">
      <c r="B10760" t="s">
        <v>1195</v>
      </c>
      <c r="C10760" t="s">
        <v>1195</v>
      </c>
    </row>
    <row r="10761" spans="2:3" x14ac:dyDescent="0.35">
      <c r="B10761" t="s">
        <v>1195</v>
      </c>
      <c r="C10761" t="s">
        <v>1195</v>
      </c>
    </row>
    <row r="10762" spans="2:3" x14ac:dyDescent="0.35">
      <c r="B10762" t="s">
        <v>1195</v>
      </c>
      <c r="C10762" t="s">
        <v>1195</v>
      </c>
    </row>
    <row r="10763" spans="2:3" x14ac:dyDescent="0.35">
      <c r="B10763" t="s">
        <v>1195</v>
      </c>
      <c r="C10763" t="s">
        <v>1195</v>
      </c>
    </row>
    <row r="10764" spans="2:3" x14ac:dyDescent="0.35">
      <c r="B10764" t="s">
        <v>1195</v>
      </c>
      <c r="C10764" t="s">
        <v>1195</v>
      </c>
    </row>
    <row r="10765" spans="2:3" x14ac:dyDescent="0.35">
      <c r="B10765" t="s">
        <v>1195</v>
      </c>
      <c r="C10765" t="s">
        <v>1195</v>
      </c>
    </row>
    <row r="10766" spans="2:3" x14ac:dyDescent="0.35">
      <c r="B10766" t="s">
        <v>1195</v>
      </c>
      <c r="C10766" t="s">
        <v>1195</v>
      </c>
    </row>
    <row r="10767" spans="2:3" x14ac:dyDescent="0.35">
      <c r="B10767" t="s">
        <v>1195</v>
      </c>
      <c r="C10767" t="s">
        <v>1195</v>
      </c>
    </row>
    <row r="10768" spans="2:3" x14ac:dyDescent="0.35">
      <c r="B10768" t="s">
        <v>1195</v>
      </c>
      <c r="C10768" t="s">
        <v>1195</v>
      </c>
    </row>
    <row r="10769" spans="2:3" x14ac:dyDescent="0.35">
      <c r="B10769" t="s">
        <v>1195</v>
      </c>
      <c r="C10769" t="s">
        <v>1195</v>
      </c>
    </row>
    <row r="10770" spans="2:3" x14ac:dyDescent="0.35">
      <c r="B10770" t="s">
        <v>1195</v>
      </c>
      <c r="C10770" t="s">
        <v>1195</v>
      </c>
    </row>
    <row r="10771" spans="2:3" x14ac:dyDescent="0.35">
      <c r="B10771" t="s">
        <v>1195</v>
      </c>
      <c r="C10771" t="s">
        <v>1195</v>
      </c>
    </row>
    <row r="10772" spans="2:3" x14ac:dyDescent="0.35">
      <c r="B10772" t="s">
        <v>1195</v>
      </c>
      <c r="C10772" t="s">
        <v>1195</v>
      </c>
    </row>
    <row r="10773" spans="2:3" x14ac:dyDescent="0.35">
      <c r="B10773" t="s">
        <v>1195</v>
      </c>
      <c r="C10773" t="s">
        <v>1195</v>
      </c>
    </row>
    <row r="10774" spans="2:3" x14ac:dyDescent="0.35">
      <c r="B10774" t="s">
        <v>1195</v>
      </c>
      <c r="C10774" t="s">
        <v>1195</v>
      </c>
    </row>
    <row r="10775" spans="2:3" x14ac:dyDescent="0.35">
      <c r="B10775" t="s">
        <v>1195</v>
      </c>
      <c r="C10775" t="s">
        <v>1195</v>
      </c>
    </row>
    <row r="10776" spans="2:3" x14ac:dyDescent="0.35">
      <c r="B10776" t="s">
        <v>1195</v>
      </c>
      <c r="C10776" t="s">
        <v>1195</v>
      </c>
    </row>
    <row r="10777" spans="2:3" x14ac:dyDescent="0.35">
      <c r="B10777" t="s">
        <v>1195</v>
      </c>
      <c r="C10777" t="s">
        <v>1195</v>
      </c>
    </row>
    <row r="10778" spans="2:3" x14ac:dyDescent="0.35">
      <c r="B10778" t="s">
        <v>1195</v>
      </c>
      <c r="C10778" t="s">
        <v>1195</v>
      </c>
    </row>
    <row r="10779" spans="2:3" x14ac:dyDescent="0.35">
      <c r="B10779" t="s">
        <v>1195</v>
      </c>
      <c r="C10779" t="s">
        <v>1195</v>
      </c>
    </row>
    <row r="10780" spans="2:3" x14ac:dyDescent="0.35">
      <c r="B10780" t="s">
        <v>1195</v>
      </c>
      <c r="C10780" t="s">
        <v>1195</v>
      </c>
    </row>
    <row r="10781" spans="2:3" x14ac:dyDescent="0.35">
      <c r="B10781" t="s">
        <v>1195</v>
      </c>
      <c r="C10781" t="s">
        <v>1195</v>
      </c>
    </row>
    <row r="10782" spans="2:3" x14ac:dyDescent="0.35">
      <c r="B10782" t="s">
        <v>1195</v>
      </c>
      <c r="C10782" t="s">
        <v>1195</v>
      </c>
    </row>
    <row r="10783" spans="2:3" x14ac:dyDescent="0.35">
      <c r="B10783" t="s">
        <v>1195</v>
      </c>
      <c r="C10783" t="s">
        <v>1195</v>
      </c>
    </row>
    <row r="10784" spans="2:3" x14ac:dyDescent="0.35">
      <c r="B10784" t="s">
        <v>1195</v>
      </c>
      <c r="C10784" t="s">
        <v>1195</v>
      </c>
    </row>
    <row r="10785" spans="2:3" x14ac:dyDescent="0.35">
      <c r="B10785" t="s">
        <v>1195</v>
      </c>
      <c r="C10785" t="s">
        <v>1195</v>
      </c>
    </row>
    <row r="10786" spans="2:3" x14ac:dyDescent="0.35">
      <c r="B10786" t="s">
        <v>1195</v>
      </c>
      <c r="C10786" t="s">
        <v>1195</v>
      </c>
    </row>
    <row r="10787" spans="2:3" x14ac:dyDescent="0.35">
      <c r="B10787" t="s">
        <v>1195</v>
      </c>
      <c r="C10787" t="s">
        <v>1195</v>
      </c>
    </row>
    <row r="10788" spans="2:3" x14ac:dyDescent="0.35">
      <c r="B10788" t="s">
        <v>1195</v>
      </c>
      <c r="C10788" t="s">
        <v>1195</v>
      </c>
    </row>
    <row r="10789" spans="2:3" x14ac:dyDescent="0.35">
      <c r="B10789" t="s">
        <v>1195</v>
      </c>
      <c r="C10789" t="s">
        <v>1195</v>
      </c>
    </row>
    <row r="10790" spans="2:3" x14ac:dyDescent="0.35">
      <c r="B10790" t="s">
        <v>1195</v>
      </c>
      <c r="C10790" t="s">
        <v>1195</v>
      </c>
    </row>
    <row r="10791" spans="2:3" x14ac:dyDescent="0.35">
      <c r="B10791" t="s">
        <v>1195</v>
      </c>
      <c r="C10791" t="s">
        <v>1195</v>
      </c>
    </row>
    <row r="10792" spans="2:3" x14ac:dyDescent="0.35">
      <c r="B10792" t="s">
        <v>1195</v>
      </c>
      <c r="C10792" t="s">
        <v>1195</v>
      </c>
    </row>
    <row r="10793" spans="2:3" x14ac:dyDescent="0.35">
      <c r="B10793" t="s">
        <v>1195</v>
      </c>
      <c r="C10793" t="s">
        <v>1195</v>
      </c>
    </row>
    <row r="10794" spans="2:3" x14ac:dyDescent="0.35">
      <c r="B10794" t="s">
        <v>1195</v>
      </c>
      <c r="C10794" t="s">
        <v>1195</v>
      </c>
    </row>
    <row r="10795" spans="2:3" x14ac:dyDescent="0.35">
      <c r="B10795" t="s">
        <v>1195</v>
      </c>
      <c r="C10795" t="s">
        <v>1195</v>
      </c>
    </row>
    <row r="10796" spans="2:3" x14ac:dyDescent="0.35">
      <c r="B10796" t="s">
        <v>1195</v>
      </c>
      <c r="C10796" t="s">
        <v>1195</v>
      </c>
    </row>
    <row r="10797" spans="2:3" x14ac:dyDescent="0.35">
      <c r="B10797" t="s">
        <v>1195</v>
      </c>
      <c r="C10797" t="s">
        <v>1195</v>
      </c>
    </row>
    <row r="10798" spans="2:3" x14ac:dyDescent="0.35">
      <c r="B10798" t="s">
        <v>1195</v>
      </c>
      <c r="C10798" t="s">
        <v>1195</v>
      </c>
    </row>
    <row r="10799" spans="2:3" x14ac:dyDescent="0.35">
      <c r="B10799" t="s">
        <v>1195</v>
      </c>
      <c r="C10799" t="s">
        <v>1195</v>
      </c>
    </row>
    <row r="10800" spans="2:3" x14ac:dyDescent="0.35">
      <c r="B10800" t="s">
        <v>1195</v>
      </c>
      <c r="C10800" t="s">
        <v>1195</v>
      </c>
    </row>
    <row r="10801" spans="2:3" x14ac:dyDescent="0.35">
      <c r="B10801" t="s">
        <v>1195</v>
      </c>
      <c r="C10801" t="s">
        <v>1195</v>
      </c>
    </row>
    <row r="10802" spans="2:3" x14ac:dyDescent="0.35">
      <c r="B10802" t="s">
        <v>1195</v>
      </c>
      <c r="C10802" t="s">
        <v>1195</v>
      </c>
    </row>
    <row r="10803" spans="2:3" x14ac:dyDescent="0.35">
      <c r="B10803" t="s">
        <v>1195</v>
      </c>
      <c r="C10803" t="s">
        <v>1195</v>
      </c>
    </row>
    <row r="10804" spans="2:3" x14ac:dyDescent="0.35">
      <c r="B10804" t="s">
        <v>1195</v>
      </c>
      <c r="C10804" t="s">
        <v>1195</v>
      </c>
    </row>
    <row r="10805" spans="2:3" x14ac:dyDescent="0.35">
      <c r="B10805" t="s">
        <v>1195</v>
      </c>
      <c r="C10805" t="s">
        <v>1195</v>
      </c>
    </row>
    <row r="10806" spans="2:3" x14ac:dyDescent="0.35">
      <c r="B10806" t="s">
        <v>1195</v>
      </c>
      <c r="C10806" t="s">
        <v>1195</v>
      </c>
    </row>
    <row r="10807" spans="2:3" x14ac:dyDescent="0.35">
      <c r="B10807" t="s">
        <v>1195</v>
      </c>
      <c r="C10807" t="s">
        <v>1195</v>
      </c>
    </row>
    <row r="10808" spans="2:3" x14ac:dyDescent="0.35">
      <c r="B10808" t="s">
        <v>1195</v>
      </c>
      <c r="C10808" t="s">
        <v>1195</v>
      </c>
    </row>
    <row r="10809" spans="2:3" x14ac:dyDescent="0.35">
      <c r="B10809" t="s">
        <v>1195</v>
      </c>
      <c r="C10809" t="s">
        <v>1195</v>
      </c>
    </row>
    <row r="10810" spans="2:3" x14ac:dyDescent="0.35">
      <c r="B10810" t="s">
        <v>1195</v>
      </c>
      <c r="C10810" t="s">
        <v>1195</v>
      </c>
    </row>
    <row r="10811" spans="2:3" x14ac:dyDescent="0.35">
      <c r="B10811" t="s">
        <v>1195</v>
      </c>
      <c r="C10811" t="s">
        <v>1195</v>
      </c>
    </row>
    <row r="10812" spans="2:3" x14ac:dyDescent="0.35">
      <c r="B10812" t="s">
        <v>1195</v>
      </c>
      <c r="C10812" t="s">
        <v>1195</v>
      </c>
    </row>
    <row r="10813" spans="2:3" x14ac:dyDescent="0.35">
      <c r="B10813" t="s">
        <v>1195</v>
      </c>
      <c r="C10813" t="s">
        <v>1195</v>
      </c>
    </row>
    <row r="10814" spans="2:3" x14ac:dyDescent="0.35">
      <c r="B10814" t="s">
        <v>1195</v>
      </c>
      <c r="C10814" t="s">
        <v>1195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346A-4F6A-4A30-873E-FB83A7E67F6B}">
  <sheetPr codeName="Sheet11"/>
  <dimension ref="A1:B6"/>
  <sheetViews>
    <sheetView workbookViewId="0">
      <selection activeCell="A6" sqref="A6"/>
    </sheetView>
  </sheetViews>
  <sheetFormatPr defaultRowHeight="14.5" x14ac:dyDescent="0.35"/>
  <cols>
    <col min="1" max="1" width="18" customWidth="1"/>
    <col min="2" max="2" width="17" customWidth="1"/>
  </cols>
  <sheetData>
    <row r="1" spans="1:2" x14ac:dyDescent="0.35">
      <c r="A1" s="5" t="s">
        <v>879</v>
      </c>
      <c r="B1" s="6" t="s">
        <v>1262</v>
      </c>
    </row>
    <row r="2" spans="1:2" x14ac:dyDescent="0.35">
      <c r="A2" s="5" t="s">
        <v>903</v>
      </c>
      <c r="B2" s="7">
        <v>8.6107921928817461E-3</v>
      </c>
    </row>
    <row r="3" spans="1:2" x14ac:dyDescent="0.35">
      <c r="A3" s="5" t="s">
        <v>912</v>
      </c>
      <c r="B3" s="7">
        <v>1.3363028953229399E-2</v>
      </c>
    </row>
    <row r="4" spans="1:2" x14ac:dyDescent="0.35">
      <c r="A4" s="5" t="s">
        <v>929</v>
      </c>
      <c r="B4" s="7">
        <v>1.2025654730090861E-2</v>
      </c>
    </row>
    <row r="5" spans="1:2" x14ac:dyDescent="0.35">
      <c r="A5" s="5" t="s">
        <v>935</v>
      </c>
      <c r="B5" s="7">
        <v>8.1081081081081086E-3</v>
      </c>
    </row>
    <row r="6" spans="1:2" x14ac:dyDescent="0.35">
      <c r="A6" s="5" t="s">
        <v>893</v>
      </c>
      <c r="B6" s="7">
        <v>3.3227848101265819E-2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88CC-7F20-4C04-9A2B-CA54108118FA}">
  <sheetPr codeName="Sheet12"/>
  <dimension ref="A1:E858"/>
  <sheetViews>
    <sheetView workbookViewId="0">
      <selection activeCell="A3" sqref="A3"/>
    </sheetView>
  </sheetViews>
  <sheetFormatPr defaultRowHeight="14.5" x14ac:dyDescent="0.35"/>
  <cols>
    <col min="1" max="1" width="34.81640625" bestFit="1" customWidth="1"/>
    <col min="2" max="2" width="26" bestFit="1" customWidth="1"/>
    <col min="3" max="3" width="38.26953125" bestFit="1" customWidth="1"/>
  </cols>
  <sheetData>
    <row r="1" spans="1:5" x14ac:dyDescent="0.35">
      <c r="A1" t="s">
        <v>1263</v>
      </c>
      <c r="B1" t="s">
        <v>2</v>
      </c>
      <c r="C1" t="s">
        <v>3</v>
      </c>
      <c r="D1" t="s">
        <v>1264</v>
      </c>
    </row>
    <row r="2" spans="1:5" x14ac:dyDescent="0.35">
      <c r="A2" t="s">
        <v>1265</v>
      </c>
      <c r="E2" t="e">
        <f>VLOOKUP(B2,UniqueCCOQueueCodes!A:F,6,0)</f>
        <v>#N/A</v>
      </c>
    </row>
    <row r="3" spans="1:5" x14ac:dyDescent="0.35">
      <c r="A3" t="s">
        <v>1266</v>
      </c>
      <c r="E3" t="e">
        <f>VLOOKUP(B3,UniqueCCOQueueCodes!A:F,6,0)</f>
        <v>#N/A</v>
      </c>
    </row>
    <row r="4" spans="1:5" x14ac:dyDescent="0.35">
      <c r="A4" t="s">
        <v>1267</v>
      </c>
      <c r="E4" t="e">
        <f>VLOOKUP(B4,UniqueCCOQueueCodes!A:F,6,0)</f>
        <v>#N/A</v>
      </c>
    </row>
    <row r="5" spans="1:5" x14ac:dyDescent="0.35">
      <c r="A5" t="s">
        <v>1268</v>
      </c>
      <c r="E5" t="e">
        <f>VLOOKUP(B5,UniqueCCOQueueCodes!A:F,6,0)</f>
        <v>#N/A</v>
      </c>
    </row>
    <row r="6" spans="1:5" x14ac:dyDescent="0.35">
      <c r="A6" t="s">
        <v>1269</v>
      </c>
      <c r="E6" t="e">
        <f>VLOOKUP(B6,UniqueCCOQueueCodes!A:F,6,0)</f>
        <v>#N/A</v>
      </c>
    </row>
    <row r="7" spans="1:5" x14ac:dyDescent="0.35">
      <c r="A7" t="s">
        <v>1270</v>
      </c>
      <c r="E7" t="e">
        <f>VLOOKUP(B7,UniqueCCOQueueCodes!A:F,6,0)</f>
        <v>#N/A</v>
      </c>
    </row>
    <row r="8" spans="1:5" x14ac:dyDescent="0.35">
      <c r="A8" t="s">
        <v>1271</v>
      </c>
      <c r="E8" t="e">
        <f>VLOOKUP(B8,UniqueCCOQueueCodes!A:F,6,0)</f>
        <v>#N/A</v>
      </c>
    </row>
    <row r="9" spans="1:5" x14ac:dyDescent="0.35">
      <c r="A9" t="s">
        <v>1272</v>
      </c>
      <c r="B9" t="s">
        <v>50</v>
      </c>
      <c r="C9" t="s">
        <v>51</v>
      </c>
      <c r="D9" t="str">
        <f>VLOOKUP(B9,UniqueCCOQueueCodes!$A$2:$F$554,4,FALSE)</f>
        <v>DPD</v>
      </c>
      <c r="E9" t="str">
        <f>VLOOKUP(B9,UniqueCCOQueueCodes!A:F,6,0)</f>
        <v>Y</v>
      </c>
    </row>
    <row r="10" spans="1:5" x14ac:dyDescent="0.35">
      <c r="A10" t="s">
        <v>1273</v>
      </c>
      <c r="B10" t="s">
        <v>50</v>
      </c>
      <c r="C10" t="s">
        <v>51</v>
      </c>
      <c r="D10" t="str">
        <f>VLOOKUP(B10,UniqueCCOQueueCodes!$A$2:$F$554,4,FALSE)</f>
        <v>DPD</v>
      </c>
      <c r="E10" t="str">
        <f>VLOOKUP(B10,UniqueCCOQueueCodes!A:F,6,0)</f>
        <v>Y</v>
      </c>
    </row>
    <row r="11" spans="1:5" x14ac:dyDescent="0.35">
      <c r="A11" t="s">
        <v>1274</v>
      </c>
      <c r="B11" t="s">
        <v>50</v>
      </c>
      <c r="C11" t="s">
        <v>51</v>
      </c>
      <c r="D11" t="str">
        <f>VLOOKUP(B11,UniqueCCOQueueCodes!$A$2:$F$554,4,FALSE)</f>
        <v>DPD</v>
      </c>
      <c r="E11" t="str">
        <f>VLOOKUP(B11,UniqueCCOQueueCodes!A:F,6,0)</f>
        <v>Y</v>
      </c>
    </row>
    <row r="12" spans="1:5" x14ac:dyDescent="0.35">
      <c r="A12" t="s">
        <v>1275</v>
      </c>
      <c r="B12" t="s">
        <v>310</v>
      </c>
      <c r="C12" t="s">
        <v>311</v>
      </c>
      <c r="D12" t="str">
        <f>VLOOKUP(B12,UniqueCCOQueueCodes!$A$2:$F$554,4,FALSE)</f>
        <v>Primary</v>
      </c>
      <c r="E12" t="str">
        <f>VLOOKUP(B12,UniqueCCOQueueCodes!A:F,6,0)</f>
        <v>Y</v>
      </c>
    </row>
    <row r="13" spans="1:5" x14ac:dyDescent="0.35">
      <c r="A13" t="s">
        <v>1276</v>
      </c>
      <c r="B13" t="s">
        <v>310</v>
      </c>
      <c r="C13" t="s">
        <v>311</v>
      </c>
      <c r="D13" t="str">
        <f>VLOOKUP(B13,UniqueCCOQueueCodes!$A$2:$F$554,4,FALSE)</f>
        <v>Primary</v>
      </c>
      <c r="E13" t="str">
        <f>VLOOKUP(B13,UniqueCCOQueueCodes!A:F,6,0)</f>
        <v>Y</v>
      </c>
    </row>
    <row r="14" spans="1:5" x14ac:dyDescent="0.35">
      <c r="A14" t="s">
        <v>1277</v>
      </c>
      <c r="B14" t="s">
        <v>310</v>
      </c>
      <c r="C14" t="s">
        <v>311</v>
      </c>
      <c r="D14" t="str">
        <f>VLOOKUP(B14,UniqueCCOQueueCodes!$A$2:$F$554,4,FALSE)</f>
        <v>Primary</v>
      </c>
      <c r="E14" t="str">
        <f>VLOOKUP(B14,UniqueCCOQueueCodes!A:F,6,0)</f>
        <v>Y</v>
      </c>
    </row>
    <row r="15" spans="1:5" x14ac:dyDescent="0.35">
      <c r="A15" t="s">
        <v>1278</v>
      </c>
      <c r="B15" t="s">
        <v>163</v>
      </c>
      <c r="C15" t="s">
        <v>1279</v>
      </c>
      <c r="D15" t="str">
        <f>VLOOKUP(B15,UniqueCCOQueueCodes!$A$2:$F$554,4,FALSE)</f>
        <v>GNCS</v>
      </c>
      <c r="E15" t="str">
        <f>VLOOKUP(B15,UniqueCCOQueueCodes!A:F,6,0)</f>
        <v>Y</v>
      </c>
    </row>
    <row r="16" spans="1:5" x14ac:dyDescent="0.35">
      <c r="A16" t="s">
        <v>1280</v>
      </c>
      <c r="B16" t="s">
        <v>163</v>
      </c>
      <c r="C16" t="s">
        <v>1279</v>
      </c>
      <c r="D16" t="str">
        <f>VLOOKUP(B16,UniqueCCOQueueCodes!$A$2:$F$554,4,FALSE)</f>
        <v>GNCS</v>
      </c>
      <c r="E16" t="str">
        <f>VLOOKUP(B16,UniqueCCOQueueCodes!A:F,6,0)</f>
        <v>Y</v>
      </c>
    </row>
    <row r="17" spans="1:5" x14ac:dyDescent="0.35">
      <c r="A17" t="s">
        <v>1281</v>
      </c>
      <c r="B17" t="s">
        <v>76</v>
      </c>
      <c r="C17" t="s">
        <v>77</v>
      </c>
      <c r="D17" t="str">
        <f>VLOOKUP(B17,UniqueCCOQueueCodes!$A$2:$F$554,4,FALSE)</f>
        <v>DPD</v>
      </c>
      <c r="E17" t="str">
        <f>VLOOKUP(B17,UniqueCCOQueueCodes!A:F,6,0)</f>
        <v>Y</v>
      </c>
    </row>
    <row r="18" spans="1:5" x14ac:dyDescent="0.35">
      <c r="A18" t="s">
        <v>1282</v>
      </c>
      <c r="B18" t="s">
        <v>76</v>
      </c>
      <c r="C18" t="s">
        <v>77</v>
      </c>
      <c r="D18" t="str">
        <f>VLOOKUP(B18,UniqueCCOQueueCodes!$A$2:$F$554,4,FALSE)</f>
        <v>DPD</v>
      </c>
      <c r="E18" t="str">
        <f>VLOOKUP(B18,UniqueCCOQueueCodes!A:F,6,0)</f>
        <v>Y</v>
      </c>
    </row>
    <row r="19" spans="1:5" x14ac:dyDescent="0.35">
      <c r="A19" t="s">
        <v>1283</v>
      </c>
      <c r="B19" t="s">
        <v>328</v>
      </c>
      <c r="C19" t="s">
        <v>329</v>
      </c>
      <c r="D19" t="str">
        <f>VLOOKUP(B19,UniqueCCOQueueCodes!$A$2:$F$554,4,FALSE)</f>
        <v>Primary</v>
      </c>
      <c r="E19" t="str">
        <f>VLOOKUP(B19,UniqueCCOQueueCodes!A:F,6,0)</f>
        <v>Y</v>
      </c>
    </row>
    <row r="20" spans="1:5" x14ac:dyDescent="0.35">
      <c r="A20" t="s">
        <v>1284</v>
      </c>
      <c r="B20" t="s">
        <v>95</v>
      </c>
      <c r="C20" t="s">
        <v>96</v>
      </c>
      <c r="D20" t="str">
        <f>VLOOKUP(B20,UniqueCCOQueueCodes!$A$2:$F$554,4,FALSE)</f>
        <v>DPD</v>
      </c>
      <c r="E20" t="str">
        <f>VLOOKUP(B20,UniqueCCOQueueCodes!A:F,6,0)</f>
        <v>Y</v>
      </c>
    </row>
    <row r="21" spans="1:5" x14ac:dyDescent="0.35">
      <c r="A21" t="s">
        <v>1285</v>
      </c>
      <c r="B21" t="s">
        <v>330</v>
      </c>
      <c r="C21" t="s">
        <v>331</v>
      </c>
      <c r="D21" t="str">
        <f>VLOOKUP(B21,UniqueCCOQueueCodes!$A$2:$F$554,4,FALSE)</f>
        <v>Primary</v>
      </c>
      <c r="E21" t="str">
        <f>VLOOKUP(B21,UniqueCCOQueueCodes!A:F,6,0)</f>
        <v>Y</v>
      </c>
    </row>
    <row r="22" spans="1:5" x14ac:dyDescent="0.35">
      <c r="A22" t="s">
        <v>1286</v>
      </c>
      <c r="B22" t="s">
        <v>330</v>
      </c>
      <c r="C22" t="s">
        <v>331</v>
      </c>
      <c r="D22" t="str">
        <f>VLOOKUP(B22,UniqueCCOQueueCodes!$A$2:$F$554,4,FALSE)</f>
        <v>Primary</v>
      </c>
      <c r="E22" t="str">
        <f>VLOOKUP(B22,UniqueCCOQueueCodes!A:F,6,0)</f>
        <v>Y</v>
      </c>
    </row>
    <row r="23" spans="1:5" x14ac:dyDescent="0.35">
      <c r="A23" t="s">
        <v>1287</v>
      </c>
      <c r="B23" t="s">
        <v>332</v>
      </c>
      <c r="C23" t="s">
        <v>333</v>
      </c>
      <c r="D23" t="str">
        <f>VLOOKUP(B23,UniqueCCOQueueCodes!$A$2:$F$554,4,FALSE)</f>
        <v>Primary</v>
      </c>
      <c r="E23" t="str">
        <f>VLOOKUP(B23,UniqueCCOQueueCodes!A:F,6,0)</f>
        <v>Y</v>
      </c>
    </row>
    <row r="24" spans="1:5" x14ac:dyDescent="0.35">
      <c r="A24" t="s">
        <v>1288</v>
      </c>
      <c r="B24" t="s">
        <v>332</v>
      </c>
      <c r="C24" t="s">
        <v>333</v>
      </c>
      <c r="D24" t="str">
        <f>VLOOKUP(B24,UniqueCCOQueueCodes!$A$2:$F$554,4,FALSE)</f>
        <v>Primary</v>
      </c>
      <c r="E24" t="str">
        <f>VLOOKUP(B24,UniqueCCOQueueCodes!A:F,6,0)</f>
        <v>Y</v>
      </c>
    </row>
    <row r="25" spans="1:5" x14ac:dyDescent="0.35">
      <c r="A25" t="s">
        <v>1289</v>
      </c>
      <c r="B25" t="s">
        <v>1056</v>
      </c>
      <c r="C25" t="s">
        <v>1057</v>
      </c>
      <c r="D25">
        <f>VLOOKUP(B25,UniqueCCOQueueCodes!$A$2:$F$554,4,FALSE)</f>
        <v>0</v>
      </c>
      <c r="E25" t="str">
        <f>VLOOKUP(B25,UniqueCCOQueueCodes!A:F,6,0)</f>
        <v>N</v>
      </c>
    </row>
    <row r="26" spans="1:5" x14ac:dyDescent="0.35">
      <c r="A26" t="s">
        <v>1290</v>
      </c>
      <c r="B26" t="s">
        <v>196</v>
      </c>
      <c r="C26" t="s">
        <v>197</v>
      </c>
      <c r="D26" t="str">
        <f>VLOOKUP(B26,UniqueCCOQueueCodes!$A$2:$F$554,4,FALSE)</f>
        <v>GNCS</v>
      </c>
      <c r="E26" t="str">
        <f>VLOOKUP(B26,UniqueCCOQueueCodes!A:F,6,0)</f>
        <v>Y</v>
      </c>
    </row>
    <row r="27" spans="1:5" x14ac:dyDescent="0.35">
      <c r="A27" t="s">
        <v>1291</v>
      </c>
      <c r="B27" t="s">
        <v>743</v>
      </c>
      <c r="C27" t="s">
        <v>744</v>
      </c>
      <c r="D27">
        <f>VLOOKUP(B27,UniqueCCOQueueCodes!$A$2:$F$554,4,FALSE)</f>
        <v>0</v>
      </c>
      <c r="E27" t="str">
        <f>VLOOKUP(B27,UniqueCCOQueueCodes!A:F,6,0)</f>
        <v>Y</v>
      </c>
    </row>
    <row r="28" spans="1:5" x14ac:dyDescent="0.35">
      <c r="A28" t="s">
        <v>1292</v>
      </c>
      <c r="B28" t="s">
        <v>682</v>
      </c>
      <c r="C28" t="s">
        <v>683</v>
      </c>
      <c r="D28" t="str">
        <f>VLOOKUP(B28,UniqueCCOQueueCodes!$A$2:$F$554,4,FALSE)</f>
        <v>UDS</v>
      </c>
      <c r="E28" t="str">
        <f>VLOOKUP(B28,UniqueCCOQueueCodes!A:F,6,0)</f>
        <v>Y</v>
      </c>
    </row>
    <row r="29" spans="1:5" x14ac:dyDescent="0.35">
      <c r="A29" t="s">
        <v>1293</v>
      </c>
      <c r="B29" t="s">
        <v>682</v>
      </c>
      <c r="C29" t="s">
        <v>683</v>
      </c>
      <c r="D29" t="str">
        <f>VLOOKUP(B29,UniqueCCOQueueCodes!$A$2:$F$554,4,FALSE)</f>
        <v>UDS</v>
      </c>
      <c r="E29" t="str">
        <f>VLOOKUP(B29,UniqueCCOQueueCodes!A:F,6,0)</f>
        <v>Y</v>
      </c>
    </row>
    <row r="30" spans="1:5" x14ac:dyDescent="0.35">
      <c r="A30" t="s">
        <v>1294</v>
      </c>
      <c r="B30" t="s">
        <v>355</v>
      </c>
      <c r="C30" t="s">
        <v>356</v>
      </c>
      <c r="D30" t="str">
        <f>VLOOKUP(B30,UniqueCCOQueueCodes!$A$2:$F$554,4,FALSE)</f>
        <v>Primary</v>
      </c>
      <c r="E30" t="str">
        <f>VLOOKUP(B30,UniqueCCOQueueCodes!A:F,6,0)</f>
        <v>Y</v>
      </c>
    </row>
    <row r="31" spans="1:5" x14ac:dyDescent="0.35">
      <c r="A31" t="s">
        <v>1295</v>
      </c>
      <c r="B31" t="s">
        <v>114</v>
      </c>
      <c r="C31" t="s">
        <v>115</v>
      </c>
      <c r="D31" t="str">
        <f>VLOOKUP(B31,UniqueCCOQueueCodes!$A$2:$F$554,4,FALSE)</f>
        <v>DPD</v>
      </c>
      <c r="E31" t="str">
        <f>VLOOKUP(B31,UniqueCCOQueueCodes!A:F,6,0)</f>
        <v>Y</v>
      </c>
    </row>
    <row r="32" spans="1:5" x14ac:dyDescent="0.35">
      <c r="A32" t="s">
        <v>1296</v>
      </c>
      <c r="B32" t="s">
        <v>114</v>
      </c>
      <c r="C32" t="s">
        <v>115</v>
      </c>
      <c r="D32" t="str">
        <f>VLOOKUP(B32,UniqueCCOQueueCodes!$A$2:$F$554,4,FALSE)</f>
        <v>DPD</v>
      </c>
      <c r="E32" t="str">
        <f>VLOOKUP(B32,UniqueCCOQueueCodes!A:F,6,0)</f>
        <v>Y</v>
      </c>
    </row>
    <row r="33" spans="1:5" x14ac:dyDescent="0.35">
      <c r="A33" t="s">
        <v>1297</v>
      </c>
      <c r="B33" t="s">
        <v>114</v>
      </c>
      <c r="C33" t="s">
        <v>115</v>
      </c>
      <c r="D33" t="str">
        <f>VLOOKUP(B33,UniqueCCOQueueCodes!$A$2:$F$554,4,FALSE)</f>
        <v>DPD</v>
      </c>
      <c r="E33" t="str">
        <f>VLOOKUP(B33,UniqueCCOQueueCodes!A:F,6,0)</f>
        <v>Y</v>
      </c>
    </row>
    <row r="34" spans="1:5" x14ac:dyDescent="0.35">
      <c r="A34" t="s">
        <v>1298</v>
      </c>
      <c r="B34" t="s">
        <v>114</v>
      </c>
      <c r="C34" t="s">
        <v>115</v>
      </c>
      <c r="D34" t="str">
        <f>VLOOKUP(B34,UniqueCCOQueueCodes!$A$2:$F$554,4,FALSE)</f>
        <v>DPD</v>
      </c>
      <c r="E34" t="str">
        <f>VLOOKUP(B34,UniqueCCOQueueCodes!A:F,6,0)</f>
        <v>Y</v>
      </c>
    </row>
    <row r="35" spans="1:5" x14ac:dyDescent="0.35">
      <c r="A35" t="s">
        <v>1299</v>
      </c>
      <c r="B35" t="s">
        <v>705</v>
      </c>
      <c r="C35" t="s">
        <v>706</v>
      </c>
      <c r="D35" t="str">
        <f>VLOOKUP(B35,UniqueCCOQueueCodes!$A$2:$F$554,4,FALSE)</f>
        <v>UDS</v>
      </c>
      <c r="E35" t="str">
        <f>VLOOKUP(B35,UniqueCCOQueueCodes!A:F,6,0)</f>
        <v>Y</v>
      </c>
    </row>
    <row r="36" spans="1:5" x14ac:dyDescent="0.35">
      <c r="A36" t="s">
        <v>1300</v>
      </c>
      <c r="B36" t="s">
        <v>131</v>
      </c>
      <c r="C36" t="s">
        <v>132</v>
      </c>
      <c r="D36" t="str">
        <f>VLOOKUP(B36,UniqueCCOQueueCodes!$A$2:$F$554,4,FALSE)</f>
        <v>DPD</v>
      </c>
      <c r="E36" t="str">
        <f>VLOOKUP(B36,UniqueCCOQueueCodes!A:F,6,0)</f>
        <v>Y</v>
      </c>
    </row>
    <row r="37" spans="1:5" x14ac:dyDescent="0.35">
      <c r="A37" t="s">
        <v>1301</v>
      </c>
      <c r="B37" t="s">
        <v>140</v>
      </c>
      <c r="C37" t="s">
        <v>141</v>
      </c>
      <c r="D37" t="str">
        <f>VLOOKUP(B37,UniqueCCOQueueCodes!$A$2:$F$554,4,FALSE)</f>
        <v>DPD</v>
      </c>
      <c r="E37" t="str">
        <f>VLOOKUP(B37,UniqueCCOQueueCodes!A:F,6,0)</f>
        <v>Y</v>
      </c>
    </row>
    <row r="38" spans="1:5" x14ac:dyDescent="0.35">
      <c r="A38" t="s">
        <v>1302</v>
      </c>
      <c r="B38" t="s">
        <v>140</v>
      </c>
      <c r="C38" t="s">
        <v>141</v>
      </c>
      <c r="D38" t="str">
        <f>VLOOKUP(B38,UniqueCCOQueueCodes!$A$2:$F$554,4,FALSE)</f>
        <v>DPD</v>
      </c>
      <c r="E38" t="str">
        <f>VLOOKUP(B38,UniqueCCOQueueCodes!A:F,6,0)</f>
        <v>Y</v>
      </c>
    </row>
    <row r="39" spans="1:5" x14ac:dyDescent="0.35">
      <c r="A39" t="s">
        <v>1303</v>
      </c>
      <c r="B39" t="s">
        <v>140</v>
      </c>
      <c r="C39" t="s">
        <v>141</v>
      </c>
      <c r="D39" t="str">
        <f>VLOOKUP(B39,UniqueCCOQueueCodes!$A$2:$F$554,4,FALSE)</f>
        <v>DPD</v>
      </c>
      <c r="E39" t="str">
        <f>VLOOKUP(B39,UniqueCCOQueueCodes!A:F,6,0)</f>
        <v>Y</v>
      </c>
    </row>
    <row r="40" spans="1:5" x14ac:dyDescent="0.35">
      <c r="A40" t="s">
        <v>1304</v>
      </c>
      <c r="D40" t="e">
        <f>VLOOKUP(B40,UniqueCCOQueueCodes!$A$2:$F$554,4,FALSE)</f>
        <v>#N/A</v>
      </c>
      <c r="E40" t="e">
        <f>VLOOKUP(B40,UniqueCCOQueueCodes!A:F,6,0)</f>
        <v>#N/A</v>
      </c>
    </row>
    <row r="41" spans="1:5" x14ac:dyDescent="0.35">
      <c r="A41" t="s">
        <v>1305</v>
      </c>
      <c r="D41" t="e">
        <f>VLOOKUP(B41,UniqueCCOQueueCodes!$A$2:$F$554,4,FALSE)</f>
        <v>#N/A</v>
      </c>
      <c r="E41" t="e">
        <f>VLOOKUP(B41,UniqueCCOQueueCodes!A:F,6,0)</f>
        <v>#N/A</v>
      </c>
    </row>
    <row r="42" spans="1:5" x14ac:dyDescent="0.35">
      <c r="A42" t="s">
        <v>1306</v>
      </c>
      <c r="D42" t="e">
        <f>VLOOKUP(B42,UniqueCCOQueueCodes!$A$2:$F$554,4,FALSE)</f>
        <v>#N/A</v>
      </c>
      <c r="E42" t="e">
        <f>VLOOKUP(B42,UniqueCCOQueueCodes!A:F,6,0)</f>
        <v>#N/A</v>
      </c>
    </row>
    <row r="43" spans="1:5" x14ac:dyDescent="0.35">
      <c r="A43" t="s">
        <v>1307</v>
      </c>
      <c r="D43" t="e">
        <f>VLOOKUP(B43,UniqueCCOQueueCodes!$A$2:$F$554,4,FALSE)</f>
        <v>#N/A</v>
      </c>
      <c r="E43" t="e">
        <f>VLOOKUP(B43,UniqueCCOQueueCodes!A:F,6,0)</f>
        <v>#N/A</v>
      </c>
    </row>
    <row r="44" spans="1:5" x14ac:dyDescent="0.35">
      <c r="A44" t="s">
        <v>1308</v>
      </c>
      <c r="D44" t="e">
        <f>VLOOKUP(B44,UniqueCCOQueueCodes!$A$2:$F$554,4,FALSE)</f>
        <v>#N/A</v>
      </c>
      <c r="E44" t="e">
        <f>VLOOKUP(B44,UniqueCCOQueueCodes!A:F,6,0)</f>
        <v>#N/A</v>
      </c>
    </row>
    <row r="45" spans="1:5" x14ac:dyDescent="0.35">
      <c r="A45" t="s">
        <v>1309</v>
      </c>
      <c r="B45" t="s">
        <v>339</v>
      </c>
      <c r="C45" t="s">
        <v>340</v>
      </c>
      <c r="D45" t="str">
        <f>VLOOKUP(B45,UniqueCCOQueueCodes!$A$2:$F$554,4,FALSE)</f>
        <v>Primary</v>
      </c>
      <c r="E45" t="str">
        <f>VLOOKUP(B45,UniqueCCOQueueCodes!A:F,6,0)</f>
        <v>Y</v>
      </c>
    </row>
    <row r="46" spans="1:5" x14ac:dyDescent="0.35">
      <c r="A46" t="s">
        <v>1310</v>
      </c>
      <c r="B46" t="s">
        <v>339</v>
      </c>
      <c r="C46" t="s">
        <v>340</v>
      </c>
      <c r="D46" t="str">
        <f>VLOOKUP(B46,UniqueCCOQueueCodes!$A$2:$F$554,4,FALSE)</f>
        <v>Primary</v>
      </c>
      <c r="E46" t="str">
        <f>VLOOKUP(B46,UniqueCCOQueueCodes!A:F,6,0)</f>
        <v>Y</v>
      </c>
    </row>
    <row r="47" spans="1:5" x14ac:dyDescent="0.35">
      <c r="A47" t="s">
        <v>1311</v>
      </c>
      <c r="B47" t="s">
        <v>339</v>
      </c>
      <c r="C47" t="s">
        <v>340</v>
      </c>
      <c r="D47" t="str">
        <f>VLOOKUP(B47,UniqueCCOQueueCodes!$A$2:$F$554,4,FALSE)</f>
        <v>Primary</v>
      </c>
      <c r="E47" t="str">
        <f>VLOOKUP(B47,UniqueCCOQueueCodes!A:F,6,0)</f>
        <v>Y</v>
      </c>
    </row>
    <row r="48" spans="1:5" x14ac:dyDescent="0.35">
      <c r="A48" t="s">
        <v>1312</v>
      </c>
      <c r="B48" t="s">
        <v>227</v>
      </c>
      <c r="C48" t="s">
        <v>228</v>
      </c>
      <c r="D48" t="str">
        <f>VLOOKUP(B48,UniqueCCOQueueCodes!$A$2:$F$554,4,FALSE)</f>
        <v>GNCS</v>
      </c>
      <c r="E48" t="str">
        <f>VLOOKUP(B48,UniqueCCOQueueCodes!A:F,6,0)</f>
        <v>Y</v>
      </c>
    </row>
    <row r="49" spans="1:5" x14ac:dyDescent="0.35">
      <c r="A49" t="s">
        <v>1313</v>
      </c>
      <c r="B49" t="s">
        <v>143</v>
      </c>
      <c r="C49" t="s">
        <v>144</v>
      </c>
      <c r="D49" t="str">
        <f>VLOOKUP(B49,UniqueCCOQueueCodes!$A$2:$F$554,4,FALSE)</f>
        <v>DPD</v>
      </c>
      <c r="E49" t="str">
        <f>VLOOKUP(B49,UniqueCCOQueueCodes!A:F,6,0)</f>
        <v>Y</v>
      </c>
    </row>
    <row r="50" spans="1:5" x14ac:dyDescent="0.35">
      <c r="A50" t="s">
        <v>1314</v>
      </c>
      <c r="B50" t="s">
        <v>364</v>
      </c>
      <c r="C50" t="s">
        <v>365</v>
      </c>
      <c r="D50" t="str">
        <f>VLOOKUP(B50,UniqueCCOQueueCodes!$A$2:$F$554,4,FALSE)</f>
        <v>Primary</v>
      </c>
      <c r="E50" t="str">
        <f>VLOOKUP(B50,UniqueCCOQueueCodes!A:F,6,0)</f>
        <v>Y</v>
      </c>
    </row>
    <row r="51" spans="1:5" x14ac:dyDescent="0.35">
      <c r="A51" t="s">
        <v>1315</v>
      </c>
      <c r="B51" t="s">
        <v>364</v>
      </c>
      <c r="C51" t="s">
        <v>365</v>
      </c>
      <c r="D51" t="str">
        <f>VLOOKUP(B51,UniqueCCOQueueCodes!$A$2:$F$554,4,FALSE)</f>
        <v>Primary</v>
      </c>
      <c r="E51" t="str">
        <f>VLOOKUP(B51,UniqueCCOQueueCodes!A:F,6,0)</f>
        <v>Y</v>
      </c>
    </row>
    <row r="52" spans="1:5" x14ac:dyDescent="0.35">
      <c r="A52" t="s">
        <v>1316</v>
      </c>
      <c r="B52" t="s">
        <v>364</v>
      </c>
      <c r="C52" t="s">
        <v>365</v>
      </c>
      <c r="D52" t="str">
        <f>VLOOKUP(B52,UniqueCCOQueueCodes!$A$2:$F$554,4,FALSE)</f>
        <v>Primary</v>
      </c>
      <c r="E52" t="str">
        <f>VLOOKUP(B52,UniqueCCOQueueCodes!A:F,6,0)</f>
        <v>Y</v>
      </c>
    </row>
    <row r="53" spans="1:5" x14ac:dyDescent="0.35">
      <c r="A53" t="s">
        <v>1317</v>
      </c>
      <c r="B53" t="s">
        <v>391</v>
      </c>
      <c r="C53" t="s">
        <v>392</v>
      </c>
      <c r="D53" t="str">
        <f>VLOOKUP(B53,UniqueCCOQueueCodes!$A$2:$F$554,4,FALSE)</f>
        <v>Primary</v>
      </c>
      <c r="E53" t="str">
        <f>VLOOKUP(B53,UniqueCCOQueueCodes!A:F,6,0)</f>
        <v>Y</v>
      </c>
    </row>
    <row r="54" spans="1:5" x14ac:dyDescent="0.35">
      <c r="A54" t="s">
        <v>1318</v>
      </c>
      <c r="B54" t="s">
        <v>236</v>
      </c>
      <c r="C54" t="s">
        <v>237</v>
      </c>
      <c r="D54" t="str">
        <f>VLOOKUP(B54,UniqueCCOQueueCodes!$A$2:$F$554,4,FALSE)</f>
        <v>Midrange</v>
      </c>
      <c r="E54" t="str">
        <f>VLOOKUP(B54,UniqueCCOQueueCodes!A:F,6,0)</f>
        <v>Y</v>
      </c>
    </row>
    <row r="55" spans="1:5" x14ac:dyDescent="0.35">
      <c r="A55" t="s">
        <v>1319</v>
      </c>
      <c r="B55" t="s">
        <v>236</v>
      </c>
      <c r="C55" t="s">
        <v>237</v>
      </c>
      <c r="D55" t="str">
        <f>VLOOKUP(B55,UniqueCCOQueueCodes!$A$2:$F$554,4,FALSE)</f>
        <v>Midrange</v>
      </c>
      <c r="E55" t="str">
        <f>VLOOKUP(B55,UniqueCCOQueueCodes!A:F,6,0)</f>
        <v>Y</v>
      </c>
    </row>
    <row r="56" spans="1:5" x14ac:dyDescent="0.35">
      <c r="A56" t="s">
        <v>1320</v>
      </c>
      <c r="B56" t="s">
        <v>236</v>
      </c>
      <c r="C56" t="s">
        <v>237</v>
      </c>
      <c r="D56" t="str">
        <f>VLOOKUP(B56,UniqueCCOQueueCodes!$A$2:$F$554,4,FALSE)</f>
        <v>Midrange</v>
      </c>
      <c r="E56" t="str">
        <f>VLOOKUP(B56,UniqueCCOQueueCodes!A:F,6,0)</f>
        <v>Y</v>
      </c>
    </row>
    <row r="57" spans="1:5" x14ac:dyDescent="0.35">
      <c r="A57" t="s">
        <v>1321</v>
      </c>
      <c r="B57" t="s">
        <v>408</v>
      </c>
      <c r="C57" t="s">
        <v>409</v>
      </c>
      <c r="D57" t="str">
        <f>VLOOKUP(B57,UniqueCCOQueueCodes!$A$2:$F$554,4,FALSE)</f>
        <v>Primary</v>
      </c>
      <c r="E57" t="str">
        <f>VLOOKUP(B57,UniqueCCOQueueCodes!A:F,6,0)</f>
        <v>Y</v>
      </c>
    </row>
    <row r="58" spans="1:5" x14ac:dyDescent="0.35">
      <c r="A58" t="s">
        <v>1322</v>
      </c>
      <c r="B58" t="s">
        <v>408</v>
      </c>
      <c r="C58" t="s">
        <v>409</v>
      </c>
      <c r="D58" t="str">
        <f>VLOOKUP(B58,UniqueCCOQueueCodes!$A$2:$F$554,4,FALSE)</f>
        <v>Primary</v>
      </c>
      <c r="E58" t="str">
        <f>VLOOKUP(B58,UniqueCCOQueueCodes!A:F,6,0)</f>
        <v>Y</v>
      </c>
    </row>
    <row r="59" spans="1:5" x14ac:dyDescent="0.35">
      <c r="A59" t="s">
        <v>1323</v>
      </c>
      <c r="B59" t="s">
        <v>422</v>
      </c>
      <c r="C59" t="s">
        <v>423</v>
      </c>
      <c r="D59" t="str">
        <f>VLOOKUP(B59,UniqueCCOQueueCodes!$A$2:$F$554,4,FALSE)</f>
        <v>Primary</v>
      </c>
      <c r="E59" t="str">
        <f>VLOOKUP(B59,UniqueCCOQueueCodes!A:F,6,0)</f>
        <v>Y</v>
      </c>
    </row>
    <row r="60" spans="1:5" x14ac:dyDescent="0.35">
      <c r="A60" t="s">
        <v>1324</v>
      </c>
      <c r="B60" t="s">
        <v>422</v>
      </c>
      <c r="C60" t="s">
        <v>423</v>
      </c>
      <c r="D60" t="str">
        <f>VLOOKUP(B60,UniqueCCOQueueCodes!$A$2:$F$554,4,FALSE)</f>
        <v>Primary</v>
      </c>
      <c r="E60" t="str">
        <f>VLOOKUP(B60,UniqueCCOQueueCodes!A:F,6,0)</f>
        <v>Y</v>
      </c>
    </row>
    <row r="61" spans="1:5" x14ac:dyDescent="0.35">
      <c r="A61" t="s">
        <v>1325</v>
      </c>
      <c r="B61" t="s">
        <v>50</v>
      </c>
      <c r="C61" t="s">
        <v>51</v>
      </c>
      <c r="D61" t="str">
        <f>VLOOKUP(B61,UniqueCCOQueueCodes!$A$2:$F$554,4,FALSE)</f>
        <v>DPD</v>
      </c>
      <c r="E61" t="str">
        <f>VLOOKUP(B61,UniqueCCOQueueCodes!A:F,6,0)</f>
        <v>Y</v>
      </c>
    </row>
    <row r="62" spans="1:5" x14ac:dyDescent="0.35">
      <c r="A62" t="s">
        <v>1326</v>
      </c>
      <c r="B62" t="s">
        <v>50</v>
      </c>
      <c r="C62" t="s">
        <v>51</v>
      </c>
      <c r="D62" t="str">
        <f>VLOOKUP(B62,UniqueCCOQueueCodes!$A$2:$F$554,4,FALSE)</f>
        <v>DPD</v>
      </c>
      <c r="E62" t="str">
        <f>VLOOKUP(B62,UniqueCCOQueueCodes!A:F,6,0)</f>
        <v>Y</v>
      </c>
    </row>
    <row r="63" spans="1:5" x14ac:dyDescent="0.35">
      <c r="A63" t="s">
        <v>1327</v>
      </c>
      <c r="B63" t="s">
        <v>50</v>
      </c>
      <c r="C63" t="s">
        <v>51</v>
      </c>
      <c r="D63" t="str">
        <f>VLOOKUP(B63,UniqueCCOQueueCodes!$A$2:$F$554,4,FALSE)</f>
        <v>DPD</v>
      </c>
      <c r="E63" t="str">
        <f>VLOOKUP(B63,UniqueCCOQueueCodes!A:F,6,0)</f>
        <v>Y</v>
      </c>
    </row>
    <row r="64" spans="1:5" x14ac:dyDescent="0.35">
      <c r="A64" t="s">
        <v>1328</v>
      </c>
      <c r="B64" t="s">
        <v>50</v>
      </c>
      <c r="C64" t="s">
        <v>51</v>
      </c>
      <c r="D64" t="str">
        <f>VLOOKUP(B64,UniqueCCOQueueCodes!$A$2:$F$554,4,FALSE)</f>
        <v>DPD</v>
      </c>
      <c r="E64" t="str">
        <f>VLOOKUP(B64,UniqueCCOQueueCodes!A:F,6,0)</f>
        <v>Y</v>
      </c>
    </row>
    <row r="65" spans="1:5" x14ac:dyDescent="0.35">
      <c r="A65" t="s">
        <v>1329</v>
      </c>
      <c r="B65" t="s">
        <v>50</v>
      </c>
      <c r="C65" t="s">
        <v>51</v>
      </c>
      <c r="D65" t="str">
        <f>VLOOKUP(B65,UniqueCCOQueueCodes!$A$2:$F$554,4,FALSE)</f>
        <v>DPD</v>
      </c>
      <c r="E65" t="str">
        <f>VLOOKUP(B65,UniqueCCOQueueCodes!A:F,6,0)</f>
        <v>Y</v>
      </c>
    </row>
    <row r="66" spans="1:5" x14ac:dyDescent="0.35">
      <c r="A66" t="s">
        <v>1330</v>
      </c>
      <c r="B66" t="s">
        <v>50</v>
      </c>
      <c r="C66" t="s">
        <v>51</v>
      </c>
      <c r="D66" t="str">
        <f>VLOOKUP(B66,UniqueCCOQueueCodes!$A$2:$F$554,4,FALSE)</f>
        <v>DPD</v>
      </c>
      <c r="E66" t="str">
        <f>VLOOKUP(B66,UniqueCCOQueueCodes!A:F,6,0)</f>
        <v>Y</v>
      </c>
    </row>
    <row r="67" spans="1:5" x14ac:dyDescent="0.35">
      <c r="A67" t="s">
        <v>1331</v>
      </c>
      <c r="B67" t="s">
        <v>310</v>
      </c>
      <c r="C67" t="s">
        <v>311</v>
      </c>
      <c r="D67" t="str">
        <f>VLOOKUP(B67,UniqueCCOQueueCodes!$A$2:$F$554,4,FALSE)</f>
        <v>Primary</v>
      </c>
      <c r="E67" t="str">
        <f>VLOOKUP(B67,UniqueCCOQueueCodes!A:F,6,0)</f>
        <v>Y</v>
      </c>
    </row>
    <row r="68" spans="1:5" x14ac:dyDescent="0.35">
      <c r="A68" t="s">
        <v>1332</v>
      </c>
      <c r="B68" t="s">
        <v>310</v>
      </c>
      <c r="C68" t="s">
        <v>311</v>
      </c>
      <c r="D68" t="str">
        <f>VLOOKUP(B68,UniqueCCOQueueCodes!$A$2:$F$554,4,FALSE)</f>
        <v>Primary</v>
      </c>
      <c r="E68" t="str">
        <f>VLOOKUP(B68,UniqueCCOQueueCodes!A:F,6,0)</f>
        <v>Y</v>
      </c>
    </row>
    <row r="69" spans="1:5" x14ac:dyDescent="0.35">
      <c r="A69" t="s">
        <v>1333</v>
      </c>
      <c r="D69" t="e">
        <f>VLOOKUP(B69,UniqueCCOQueueCodes!$A$2:$F$554,4,FALSE)</f>
        <v>#N/A</v>
      </c>
      <c r="E69" t="e">
        <f>VLOOKUP(B69,UniqueCCOQueueCodes!A:F,6,0)</f>
        <v>#N/A</v>
      </c>
    </row>
    <row r="70" spans="1:5" x14ac:dyDescent="0.35">
      <c r="A70" t="s">
        <v>1334</v>
      </c>
      <c r="D70" t="e">
        <f>VLOOKUP(B70,UniqueCCOQueueCodes!$A$2:$F$554,4,FALSE)</f>
        <v>#N/A</v>
      </c>
      <c r="E70" t="e">
        <f>VLOOKUP(B70,UniqueCCOQueueCodes!A:F,6,0)</f>
        <v>#N/A</v>
      </c>
    </row>
    <row r="71" spans="1:5" x14ac:dyDescent="0.35">
      <c r="A71" t="s">
        <v>1335</v>
      </c>
      <c r="B71" t="s">
        <v>76</v>
      </c>
      <c r="C71" t="s">
        <v>77</v>
      </c>
      <c r="D71" t="str">
        <f>VLOOKUP(B71,UniqueCCOQueueCodes!$A$2:$F$554,4,FALSE)</f>
        <v>DPD</v>
      </c>
      <c r="E71" t="str">
        <f>VLOOKUP(B71,UniqueCCOQueueCodes!A:F,6,0)</f>
        <v>Y</v>
      </c>
    </row>
    <row r="72" spans="1:5" x14ac:dyDescent="0.35">
      <c r="A72" t="s">
        <v>1336</v>
      </c>
      <c r="B72" t="s">
        <v>76</v>
      </c>
      <c r="C72" t="s">
        <v>77</v>
      </c>
      <c r="D72" t="str">
        <f>VLOOKUP(B72,UniqueCCOQueueCodes!$A$2:$F$554,4,FALSE)</f>
        <v>DPD</v>
      </c>
      <c r="E72" t="str">
        <f>VLOOKUP(B72,UniqueCCOQueueCodes!A:F,6,0)</f>
        <v>Y</v>
      </c>
    </row>
    <row r="73" spans="1:5" x14ac:dyDescent="0.35">
      <c r="A73" t="s">
        <v>1337</v>
      </c>
      <c r="B73" t="s">
        <v>76</v>
      </c>
      <c r="C73" t="s">
        <v>77</v>
      </c>
      <c r="D73" t="str">
        <f>VLOOKUP(B73,UniqueCCOQueueCodes!$A$2:$F$554,4,FALSE)</f>
        <v>DPD</v>
      </c>
      <c r="E73" t="str">
        <f>VLOOKUP(B73,UniqueCCOQueueCodes!A:F,6,0)</f>
        <v>Y</v>
      </c>
    </row>
    <row r="74" spans="1:5" x14ac:dyDescent="0.35">
      <c r="A74" t="s">
        <v>1338</v>
      </c>
      <c r="B74" t="s">
        <v>76</v>
      </c>
      <c r="C74" t="s">
        <v>77</v>
      </c>
      <c r="D74" t="str">
        <f>VLOOKUP(B74,UniqueCCOQueueCodes!$A$2:$F$554,4,FALSE)</f>
        <v>DPD</v>
      </c>
      <c r="E74" t="str">
        <f>VLOOKUP(B74,UniqueCCOQueueCodes!A:F,6,0)</f>
        <v>Y</v>
      </c>
    </row>
    <row r="75" spans="1:5" x14ac:dyDescent="0.35">
      <c r="A75" t="s">
        <v>1339</v>
      </c>
      <c r="B75" t="s">
        <v>95</v>
      </c>
      <c r="C75" t="s">
        <v>96</v>
      </c>
      <c r="D75" t="str">
        <f>VLOOKUP(B75,UniqueCCOQueueCodes!$A$2:$F$554,4,FALSE)</f>
        <v>DPD</v>
      </c>
      <c r="E75" t="str">
        <f>VLOOKUP(B75,UniqueCCOQueueCodes!A:F,6,0)</f>
        <v>Y</v>
      </c>
    </row>
    <row r="76" spans="1:5" x14ac:dyDescent="0.35">
      <c r="A76" t="s">
        <v>1340</v>
      </c>
      <c r="B76" t="s">
        <v>76</v>
      </c>
      <c r="C76" t="s">
        <v>77</v>
      </c>
      <c r="D76" t="str">
        <f>VLOOKUP(B76,UniqueCCOQueueCodes!$A$2:$F$554,4,FALSE)</f>
        <v>DPD</v>
      </c>
      <c r="E76" t="str">
        <f>VLOOKUP(B76,UniqueCCOQueueCodes!A:F,6,0)</f>
        <v>Y</v>
      </c>
    </row>
    <row r="77" spans="1:5" x14ac:dyDescent="0.35">
      <c r="A77" t="s">
        <v>1341</v>
      </c>
      <c r="B77" t="s">
        <v>156</v>
      </c>
      <c r="C77" t="s">
        <v>157</v>
      </c>
      <c r="D77" t="str">
        <f>VLOOKUP(B77,UniqueCCOQueueCodes!$A$2:$F$554,4,FALSE)</f>
        <v>E2E</v>
      </c>
      <c r="E77" t="str">
        <f>VLOOKUP(B77,UniqueCCOQueueCodes!A:F,6,0)</f>
        <v>Y</v>
      </c>
    </row>
    <row r="78" spans="1:5" x14ac:dyDescent="0.35">
      <c r="A78" t="s">
        <v>1342</v>
      </c>
      <c r="D78" t="e">
        <f>VLOOKUP(B78,UniqueCCOQueueCodes!$A$2:$F$554,4,FALSE)</f>
        <v>#N/A</v>
      </c>
      <c r="E78" t="e">
        <f>VLOOKUP(B78,UniqueCCOQueueCodes!A:F,6,0)</f>
        <v>#N/A</v>
      </c>
    </row>
    <row r="79" spans="1:5" x14ac:dyDescent="0.35">
      <c r="A79" t="s">
        <v>1343</v>
      </c>
      <c r="B79" t="s">
        <v>196</v>
      </c>
      <c r="C79" t="s">
        <v>197</v>
      </c>
      <c r="D79" t="str">
        <f>VLOOKUP(B79,UniqueCCOQueueCodes!$A$2:$F$554,4,FALSE)</f>
        <v>GNCS</v>
      </c>
      <c r="E79" t="str">
        <f>VLOOKUP(B79,UniqueCCOQueueCodes!A:F,6,0)</f>
        <v>Y</v>
      </c>
    </row>
    <row r="80" spans="1:5" x14ac:dyDescent="0.35">
      <c r="A80" t="s">
        <v>1344</v>
      </c>
      <c r="B80" t="s">
        <v>339</v>
      </c>
      <c r="C80" t="s">
        <v>340</v>
      </c>
      <c r="D80" t="str">
        <f>VLOOKUP(B80,UniqueCCOQueueCodes!$A$2:$F$554,4,FALSE)</f>
        <v>Primary</v>
      </c>
      <c r="E80" t="str">
        <f>VLOOKUP(B80,UniqueCCOQueueCodes!A:F,6,0)</f>
        <v>Y</v>
      </c>
    </row>
    <row r="81" spans="1:5" x14ac:dyDescent="0.35">
      <c r="A81" t="s">
        <v>1345</v>
      </c>
      <c r="B81" t="s">
        <v>339</v>
      </c>
      <c r="C81" t="s">
        <v>340</v>
      </c>
      <c r="D81" t="str">
        <f>VLOOKUP(B81,UniqueCCOQueueCodes!$A$2:$F$554,4,FALSE)</f>
        <v>Primary</v>
      </c>
      <c r="E81" t="str">
        <f>VLOOKUP(B81,UniqueCCOQueueCodes!A:F,6,0)</f>
        <v>Y</v>
      </c>
    </row>
    <row r="82" spans="1:5" x14ac:dyDescent="0.35">
      <c r="A82" t="s">
        <v>1346</v>
      </c>
      <c r="B82" t="s">
        <v>339</v>
      </c>
      <c r="C82" t="s">
        <v>340</v>
      </c>
      <c r="D82" t="str">
        <f>VLOOKUP(B82,UniqueCCOQueueCodes!$A$2:$F$554,4,FALSE)</f>
        <v>Primary</v>
      </c>
      <c r="E82" t="str">
        <f>VLOOKUP(B82,UniqueCCOQueueCodes!A:F,6,0)</f>
        <v>Y</v>
      </c>
    </row>
    <row r="83" spans="1:5" x14ac:dyDescent="0.35">
      <c r="A83" t="s">
        <v>1347</v>
      </c>
      <c r="B83" t="s">
        <v>749</v>
      </c>
      <c r="C83" t="s">
        <v>750</v>
      </c>
      <c r="D83">
        <f>VLOOKUP(B83,UniqueCCOQueueCodes!$A$2:$F$554,4,FALSE)</f>
        <v>0</v>
      </c>
      <c r="E83" t="str">
        <f>VLOOKUP(B83,UniqueCCOQueueCodes!A:F,6,0)</f>
        <v>Y</v>
      </c>
    </row>
    <row r="84" spans="1:5" x14ac:dyDescent="0.35">
      <c r="A84" t="s">
        <v>1348</v>
      </c>
      <c r="B84" t="s">
        <v>682</v>
      </c>
      <c r="C84" t="s">
        <v>683</v>
      </c>
      <c r="D84" t="str">
        <f>VLOOKUP(B84,UniqueCCOQueueCodes!$A$2:$F$554,4,FALSE)</f>
        <v>UDS</v>
      </c>
      <c r="E84" t="str">
        <f>VLOOKUP(B84,UniqueCCOQueueCodes!A:F,6,0)</f>
        <v>Y</v>
      </c>
    </row>
    <row r="85" spans="1:5" x14ac:dyDescent="0.35">
      <c r="A85" t="s">
        <v>1349</v>
      </c>
      <c r="B85" t="s">
        <v>682</v>
      </c>
      <c r="C85" t="s">
        <v>683</v>
      </c>
      <c r="D85" t="str">
        <f>VLOOKUP(B85,UniqueCCOQueueCodes!$A$2:$F$554,4,FALSE)</f>
        <v>UDS</v>
      </c>
      <c r="E85" t="str">
        <f>VLOOKUP(B85,UniqueCCOQueueCodes!A:F,6,0)</f>
        <v>Y</v>
      </c>
    </row>
    <row r="86" spans="1:5" x14ac:dyDescent="0.35">
      <c r="A86" t="s">
        <v>1350</v>
      </c>
      <c r="B86" t="s">
        <v>749</v>
      </c>
      <c r="C86" t="s">
        <v>750</v>
      </c>
      <c r="D86">
        <f>VLOOKUP(B86,UniqueCCOQueueCodes!$A$2:$F$554,4,FALSE)</f>
        <v>0</v>
      </c>
      <c r="E86" t="str">
        <f>VLOOKUP(B86,UniqueCCOQueueCodes!A:F,6,0)</f>
        <v>Y</v>
      </c>
    </row>
    <row r="87" spans="1:5" x14ac:dyDescent="0.35">
      <c r="A87" t="s">
        <v>1351</v>
      </c>
      <c r="B87" t="s">
        <v>682</v>
      </c>
      <c r="C87" t="s">
        <v>683</v>
      </c>
      <c r="D87" t="str">
        <f>VLOOKUP(B87,UniqueCCOQueueCodes!$A$2:$F$554,4,FALSE)</f>
        <v>UDS</v>
      </c>
      <c r="E87" t="str">
        <f>VLOOKUP(B87,UniqueCCOQueueCodes!A:F,6,0)</f>
        <v>Y</v>
      </c>
    </row>
    <row r="88" spans="1:5" x14ac:dyDescent="0.35">
      <c r="A88" t="s">
        <v>1352</v>
      </c>
      <c r="B88" t="s">
        <v>682</v>
      </c>
      <c r="C88" t="s">
        <v>683</v>
      </c>
      <c r="D88" t="str">
        <f>VLOOKUP(B88,UniqueCCOQueueCodes!$A$2:$F$554,4,FALSE)</f>
        <v>UDS</v>
      </c>
      <c r="E88" t="str">
        <f>VLOOKUP(B88,UniqueCCOQueueCodes!A:F,6,0)</f>
        <v>Y</v>
      </c>
    </row>
    <row r="89" spans="1:5" x14ac:dyDescent="0.35">
      <c r="A89" t="s">
        <v>1353</v>
      </c>
      <c r="B89" t="s">
        <v>682</v>
      </c>
      <c r="C89" t="s">
        <v>683</v>
      </c>
      <c r="D89" t="str">
        <f>VLOOKUP(B89,UniqueCCOQueueCodes!$A$2:$F$554,4,FALSE)</f>
        <v>UDS</v>
      </c>
      <c r="E89" t="str">
        <f>VLOOKUP(B89,UniqueCCOQueueCodes!A:F,6,0)</f>
        <v>Y</v>
      </c>
    </row>
    <row r="90" spans="1:5" x14ac:dyDescent="0.35">
      <c r="A90" t="s">
        <v>1354</v>
      </c>
      <c r="B90" t="s">
        <v>114</v>
      </c>
      <c r="C90" t="s">
        <v>115</v>
      </c>
      <c r="D90" t="str">
        <f>VLOOKUP(B90,UniqueCCOQueueCodes!$A$2:$F$554,4,FALSE)</f>
        <v>DPD</v>
      </c>
      <c r="E90" t="str">
        <f>VLOOKUP(B90,UniqueCCOQueueCodes!A:F,6,0)</f>
        <v>Y</v>
      </c>
    </row>
    <row r="91" spans="1:5" x14ac:dyDescent="0.35">
      <c r="A91" t="s">
        <v>1355</v>
      </c>
      <c r="B91" t="s">
        <v>114</v>
      </c>
      <c r="C91" t="s">
        <v>115</v>
      </c>
      <c r="D91" t="str">
        <f>VLOOKUP(B91,UniqueCCOQueueCodes!$A$2:$F$554,4,FALSE)</f>
        <v>DPD</v>
      </c>
      <c r="E91" t="str">
        <f>VLOOKUP(B91,UniqueCCOQueueCodes!A:F,6,0)</f>
        <v>Y</v>
      </c>
    </row>
    <row r="92" spans="1:5" x14ac:dyDescent="0.35">
      <c r="A92" t="s">
        <v>1356</v>
      </c>
      <c r="B92" t="s">
        <v>114</v>
      </c>
      <c r="C92" t="s">
        <v>115</v>
      </c>
      <c r="D92" t="str">
        <f>VLOOKUP(B92,UniqueCCOQueueCodes!$A$2:$F$554,4,FALSE)</f>
        <v>DPD</v>
      </c>
      <c r="E92" t="str">
        <f>VLOOKUP(B92,UniqueCCOQueueCodes!A:F,6,0)</f>
        <v>Y</v>
      </c>
    </row>
    <row r="93" spans="1:5" x14ac:dyDescent="0.35">
      <c r="A93" t="s">
        <v>1357</v>
      </c>
      <c r="B93" t="s">
        <v>114</v>
      </c>
      <c r="C93" t="s">
        <v>115</v>
      </c>
      <c r="D93" t="str">
        <f>VLOOKUP(B93,UniqueCCOQueueCodes!$A$2:$F$554,4,FALSE)</f>
        <v>DPD</v>
      </c>
      <c r="E93" t="str">
        <f>VLOOKUP(B93,UniqueCCOQueueCodes!A:F,6,0)</f>
        <v>Y</v>
      </c>
    </row>
    <row r="94" spans="1:5" x14ac:dyDescent="0.35">
      <c r="A94" t="s">
        <v>1358</v>
      </c>
      <c r="B94" t="s">
        <v>114</v>
      </c>
      <c r="C94" t="s">
        <v>115</v>
      </c>
      <c r="D94" t="str">
        <f>VLOOKUP(B94,UniqueCCOQueueCodes!$A$2:$F$554,4,FALSE)</f>
        <v>DPD</v>
      </c>
      <c r="E94" t="str">
        <f>VLOOKUP(B94,UniqueCCOQueueCodes!A:F,6,0)</f>
        <v>Y</v>
      </c>
    </row>
    <row r="95" spans="1:5" x14ac:dyDescent="0.35">
      <c r="A95" t="s">
        <v>1359</v>
      </c>
      <c r="B95" t="s">
        <v>114</v>
      </c>
      <c r="C95" t="s">
        <v>115</v>
      </c>
      <c r="D95" t="str">
        <f>VLOOKUP(B95,UniqueCCOQueueCodes!$A$2:$F$554,4,FALSE)</f>
        <v>DPD</v>
      </c>
      <c r="E95" t="str">
        <f>VLOOKUP(B95,UniqueCCOQueueCodes!A:F,6,0)</f>
        <v>Y</v>
      </c>
    </row>
    <row r="96" spans="1:5" x14ac:dyDescent="0.35">
      <c r="A96" t="s">
        <v>1360</v>
      </c>
      <c r="B96" t="s">
        <v>749</v>
      </c>
      <c r="C96" t="s">
        <v>750</v>
      </c>
      <c r="D96">
        <f>VLOOKUP(B96,UniqueCCOQueueCodes!$A$2:$F$554,4,FALSE)</f>
        <v>0</v>
      </c>
      <c r="E96" t="str">
        <f>VLOOKUP(B96,UniqueCCOQueueCodes!A:F,6,0)</f>
        <v>Y</v>
      </c>
    </row>
    <row r="97" spans="1:5" x14ac:dyDescent="0.35">
      <c r="A97" t="s">
        <v>1361</v>
      </c>
      <c r="B97" t="s">
        <v>705</v>
      </c>
      <c r="C97" t="s">
        <v>706</v>
      </c>
      <c r="D97" t="str">
        <f>VLOOKUP(B97,UniqueCCOQueueCodes!$A$2:$F$554,4,FALSE)</f>
        <v>UDS</v>
      </c>
      <c r="E97" t="str">
        <f>VLOOKUP(B97,UniqueCCOQueueCodes!A:F,6,0)</f>
        <v>Y</v>
      </c>
    </row>
    <row r="98" spans="1:5" x14ac:dyDescent="0.35">
      <c r="A98" t="s">
        <v>1362</v>
      </c>
      <c r="B98" t="s">
        <v>705</v>
      </c>
      <c r="C98" t="s">
        <v>706</v>
      </c>
      <c r="D98" t="str">
        <f>VLOOKUP(B98,UniqueCCOQueueCodes!$A$2:$F$554,4,FALSE)</f>
        <v>UDS</v>
      </c>
      <c r="E98" t="str">
        <f>VLOOKUP(B98,UniqueCCOQueueCodes!A:F,6,0)</f>
        <v>Y</v>
      </c>
    </row>
    <row r="99" spans="1:5" x14ac:dyDescent="0.35">
      <c r="A99" t="s">
        <v>1363</v>
      </c>
      <c r="B99" t="s">
        <v>705</v>
      </c>
      <c r="C99" t="s">
        <v>706</v>
      </c>
      <c r="D99" t="str">
        <f>VLOOKUP(B99,UniqueCCOQueueCodes!$A$2:$F$554,4,FALSE)</f>
        <v>UDS</v>
      </c>
      <c r="E99" t="str">
        <f>VLOOKUP(B99,UniqueCCOQueueCodes!A:F,6,0)</f>
        <v>Y</v>
      </c>
    </row>
    <row r="100" spans="1:5" x14ac:dyDescent="0.35">
      <c r="A100" t="s">
        <v>1364</v>
      </c>
      <c r="B100" t="s">
        <v>705</v>
      </c>
      <c r="C100" t="s">
        <v>706</v>
      </c>
      <c r="D100" t="str">
        <f>VLOOKUP(B100,UniqueCCOQueueCodes!$A$2:$F$554,4,FALSE)</f>
        <v>UDS</v>
      </c>
      <c r="E100" t="str">
        <f>VLOOKUP(B100,UniqueCCOQueueCodes!A:F,6,0)</f>
        <v>Y</v>
      </c>
    </row>
    <row r="101" spans="1:5" x14ac:dyDescent="0.35">
      <c r="A101" t="s">
        <v>1365</v>
      </c>
      <c r="B101" t="s">
        <v>705</v>
      </c>
      <c r="C101" t="s">
        <v>706</v>
      </c>
      <c r="D101" t="str">
        <f>VLOOKUP(B101,UniqueCCOQueueCodes!$A$2:$F$554,4,FALSE)</f>
        <v>UDS</v>
      </c>
      <c r="E101" t="str">
        <f>VLOOKUP(B101,UniqueCCOQueueCodes!A:F,6,0)</f>
        <v>Y</v>
      </c>
    </row>
    <row r="102" spans="1:5" x14ac:dyDescent="0.35">
      <c r="A102" t="s">
        <v>1366</v>
      </c>
      <c r="B102" t="s">
        <v>705</v>
      </c>
      <c r="C102" t="s">
        <v>706</v>
      </c>
      <c r="D102" t="str">
        <f>VLOOKUP(B102,UniqueCCOQueueCodes!$A$2:$F$554,4,FALSE)</f>
        <v>UDS</v>
      </c>
      <c r="E102" t="str">
        <f>VLOOKUP(B102,UniqueCCOQueueCodes!A:F,6,0)</f>
        <v>Y</v>
      </c>
    </row>
    <row r="103" spans="1:5" x14ac:dyDescent="0.35">
      <c r="A103" t="s">
        <v>1367</v>
      </c>
      <c r="B103" t="s">
        <v>705</v>
      </c>
      <c r="C103" t="s">
        <v>706</v>
      </c>
      <c r="D103" t="str">
        <f>VLOOKUP(B103,UniqueCCOQueueCodes!$A$2:$F$554,4,FALSE)</f>
        <v>UDS</v>
      </c>
      <c r="E103" t="str">
        <f>VLOOKUP(B103,UniqueCCOQueueCodes!A:F,6,0)</f>
        <v>Y</v>
      </c>
    </row>
    <row r="104" spans="1:5" x14ac:dyDescent="0.35">
      <c r="A104" t="s">
        <v>1368</v>
      </c>
      <c r="B104" t="s">
        <v>1061</v>
      </c>
      <c r="C104" t="s">
        <v>1062</v>
      </c>
      <c r="D104" t="str">
        <f>VLOOKUP(B104,UniqueCCOQueueCodes!$A$2:$F$554,4,FALSE)</f>
        <v>RPS</v>
      </c>
      <c r="E104" t="str">
        <f>VLOOKUP(B104,UniqueCCOQueueCodes!A:F,6,0)</f>
        <v>N</v>
      </c>
    </row>
    <row r="105" spans="1:5" x14ac:dyDescent="0.35">
      <c r="A105" t="s">
        <v>1369</v>
      </c>
      <c r="B105" t="s">
        <v>1061</v>
      </c>
      <c r="C105" t="s">
        <v>1062</v>
      </c>
      <c r="D105" t="str">
        <f>VLOOKUP(B105,UniqueCCOQueueCodes!$A$2:$F$554,4,FALSE)</f>
        <v>RPS</v>
      </c>
      <c r="E105" t="str">
        <f>VLOOKUP(B105,UniqueCCOQueueCodes!A:F,6,0)</f>
        <v>N</v>
      </c>
    </row>
    <row r="106" spans="1:5" x14ac:dyDescent="0.35">
      <c r="A106" t="s">
        <v>1370</v>
      </c>
      <c r="B106" t="s">
        <v>140</v>
      </c>
      <c r="C106" t="s">
        <v>141</v>
      </c>
      <c r="D106" t="str">
        <f>VLOOKUP(B106,UniqueCCOQueueCodes!$A$2:$F$554,4,FALSE)</f>
        <v>DPD</v>
      </c>
      <c r="E106" t="str">
        <f>VLOOKUP(B106,UniqueCCOQueueCodes!A:F,6,0)</f>
        <v>Y</v>
      </c>
    </row>
    <row r="107" spans="1:5" x14ac:dyDescent="0.35">
      <c r="A107" t="s">
        <v>1371</v>
      </c>
      <c r="B107" t="s">
        <v>140</v>
      </c>
      <c r="C107" t="s">
        <v>141</v>
      </c>
      <c r="D107" t="str">
        <f>VLOOKUP(B107,UniqueCCOQueueCodes!$A$2:$F$554,4,FALSE)</f>
        <v>DPD</v>
      </c>
      <c r="E107" t="str">
        <f>VLOOKUP(B107,UniqueCCOQueueCodes!A:F,6,0)</f>
        <v>Y</v>
      </c>
    </row>
    <row r="108" spans="1:5" x14ac:dyDescent="0.35">
      <c r="A108" t="s">
        <v>1372</v>
      </c>
      <c r="B108" t="s">
        <v>145</v>
      </c>
      <c r="C108" t="s">
        <v>146</v>
      </c>
      <c r="D108" t="str">
        <f>VLOOKUP(B108,UniqueCCOQueueCodes!$A$2:$F$554,4,FALSE)</f>
        <v>DPD</v>
      </c>
      <c r="E108" t="str">
        <f>VLOOKUP(B108,UniqueCCOQueueCodes!A:F,6,0)</f>
        <v>Y</v>
      </c>
    </row>
    <row r="109" spans="1:5" x14ac:dyDescent="0.35">
      <c r="A109" t="s">
        <v>1373</v>
      </c>
      <c r="B109" t="s">
        <v>50</v>
      </c>
      <c r="C109" t="s">
        <v>51</v>
      </c>
      <c r="D109" t="str">
        <f>VLOOKUP(B109,UniqueCCOQueueCodes!$A$2:$F$554,4,FALSE)</f>
        <v>DPD</v>
      </c>
      <c r="E109" t="str">
        <f>VLOOKUP(B109,UniqueCCOQueueCodes!A:F,6,0)</f>
        <v>Y</v>
      </c>
    </row>
    <row r="110" spans="1:5" x14ac:dyDescent="0.35">
      <c r="A110" t="s">
        <v>1374</v>
      </c>
      <c r="B110" t="s">
        <v>391</v>
      </c>
      <c r="C110" t="s">
        <v>392</v>
      </c>
      <c r="D110" t="str">
        <f>VLOOKUP(B110,UniqueCCOQueueCodes!$A$2:$F$554,4,FALSE)</f>
        <v>Primary</v>
      </c>
      <c r="E110" t="str">
        <f>VLOOKUP(B110,UniqueCCOQueueCodes!A:F,6,0)</f>
        <v>Y</v>
      </c>
    </row>
    <row r="111" spans="1:5" x14ac:dyDescent="0.35">
      <c r="A111" t="s">
        <v>1375</v>
      </c>
      <c r="B111" t="s">
        <v>248</v>
      </c>
      <c r="C111" t="s">
        <v>249</v>
      </c>
      <c r="D111" t="str">
        <f>VLOOKUP(B111,UniqueCCOQueueCodes!$A$2:$F$554,4,FALSE)</f>
        <v>Midrange</v>
      </c>
      <c r="E111" t="str">
        <f>VLOOKUP(B111,UniqueCCOQueueCodes!A:F,6,0)</f>
        <v>Y</v>
      </c>
    </row>
    <row r="112" spans="1:5" x14ac:dyDescent="0.35">
      <c r="A112" t="s">
        <v>1376</v>
      </c>
      <c r="B112" t="s">
        <v>248</v>
      </c>
      <c r="C112" t="s">
        <v>249</v>
      </c>
      <c r="D112" t="str">
        <f>VLOOKUP(B112,UniqueCCOQueueCodes!$A$2:$F$554,4,FALSE)</f>
        <v>Midrange</v>
      </c>
      <c r="E112" t="str">
        <f>VLOOKUP(B112,UniqueCCOQueueCodes!A:F,6,0)</f>
        <v>Y</v>
      </c>
    </row>
    <row r="113" spans="1:5" x14ac:dyDescent="0.35">
      <c r="A113" t="s">
        <v>1377</v>
      </c>
      <c r="B113" t="s">
        <v>248</v>
      </c>
      <c r="C113" t="s">
        <v>249</v>
      </c>
      <c r="D113" t="str">
        <f>VLOOKUP(B113,UniqueCCOQueueCodes!$A$2:$F$554,4,FALSE)</f>
        <v>Midrange</v>
      </c>
      <c r="E113" t="str">
        <f>VLOOKUP(B113,UniqueCCOQueueCodes!A:F,6,0)</f>
        <v>Y</v>
      </c>
    </row>
    <row r="114" spans="1:5" x14ac:dyDescent="0.35">
      <c r="A114" t="s">
        <v>1378</v>
      </c>
      <c r="B114" t="s">
        <v>248</v>
      </c>
      <c r="C114" t="s">
        <v>249</v>
      </c>
      <c r="D114" t="str">
        <f>VLOOKUP(B114,UniqueCCOQueueCodes!$A$2:$F$554,4,FALSE)</f>
        <v>Midrange</v>
      </c>
      <c r="E114" t="str">
        <f>VLOOKUP(B114,UniqueCCOQueueCodes!A:F,6,0)</f>
        <v>Y</v>
      </c>
    </row>
    <row r="115" spans="1:5" x14ac:dyDescent="0.35">
      <c r="A115" t="s">
        <v>1379</v>
      </c>
      <c r="B115" t="s">
        <v>248</v>
      </c>
      <c r="C115" t="s">
        <v>249</v>
      </c>
      <c r="D115" t="str">
        <f>VLOOKUP(B115,UniqueCCOQueueCodes!$A$2:$F$554,4,FALSE)</f>
        <v>Midrange</v>
      </c>
      <c r="E115" t="str">
        <f>VLOOKUP(B115,UniqueCCOQueueCodes!A:F,6,0)</f>
        <v>Y</v>
      </c>
    </row>
    <row r="116" spans="1:5" x14ac:dyDescent="0.35">
      <c r="A116" t="s">
        <v>1380</v>
      </c>
      <c r="B116" t="s">
        <v>248</v>
      </c>
      <c r="C116" t="s">
        <v>249</v>
      </c>
      <c r="D116" t="str">
        <f>VLOOKUP(B116,UniqueCCOQueueCodes!$A$2:$F$554,4,FALSE)</f>
        <v>Midrange</v>
      </c>
      <c r="E116" t="str">
        <f>VLOOKUP(B116,UniqueCCOQueueCodes!A:F,6,0)</f>
        <v>Y</v>
      </c>
    </row>
    <row r="117" spans="1:5" x14ac:dyDescent="0.35">
      <c r="A117" t="s">
        <v>1381</v>
      </c>
      <c r="B117" t="s">
        <v>248</v>
      </c>
      <c r="C117" t="s">
        <v>249</v>
      </c>
      <c r="D117" t="str">
        <f>VLOOKUP(B117,UniqueCCOQueueCodes!$A$2:$F$554,4,FALSE)</f>
        <v>Midrange</v>
      </c>
      <c r="E117" t="str">
        <f>VLOOKUP(B117,UniqueCCOQueueCodes!A:F,6,0)</f>
        <v>Y</v>
      </c>
    </row>
    <row r="118" spans="1:5" x14ac:dyDescent="0.35">
      <c r="A118" t="s">
        <v>1382</v>
      </c>
      <c r="B118" t="s">
        <v>250</v>
      </c>
      <c r="C118" t="s">
        <v>251</v>
      </c>
      <c r="D118" t="str">
        <f>VLOOKUP(B118,UniqueCCOQueueCodes!$A$2:$F$554,4,FALSE)</f>
        <v>Midrange</v>
      </c>
      <c r="E118" t="str">
        <f>VLOOKUP(B118,UniqueCCOQueueCodes!A:F,6,0)</f>
        <v>Y</v>
      </c>
    </row>
    <row r="119" spans="1:5" x14ac:dyDescent="0.35">
      <c r="A119" t="s">
        <v>1383</v>
      </c>
      <c r="B119" t="s">
        <v>250</v>
      </c>
      <c r="C119" t="s">
        <v>251</v>
      </c>
      <c r="D119" t="str">
        <f>VLOOKUP(B119,UniqueCCOQueueCodes!$A$2:$F$554,4,FALSE)</f>
        <v>Midrange</v>
      </c>
      <c r="E119" t="str">
        <f>VLOOKUP(B119,UniqueCCOQueueCodes!A:F,6,0)</f>
        <v>Y</v>
      </c>
    </row>
    <row r="120" spans="1:5" x14ac:dyDescent="0.35">
      <c r="A120" t="s">
        <v>1384</v>
      </c>
      <c r="B120" t="s">
        <v>250</v>
      </c>
      <c r="C120" t="s">
        <v>251</v>
      </c>
      <c r="D120" t="str">
        <f>VLOOKUP(B120,UniqueCCOQueueCodes!$A$2:$F$554,4,FALSE)</f>
        <v>Midrange</v>
      </c>
      <c r="E120" t="str">
        <f>VLOOKUP(B120,UniqueCCOQueueCodes!A:F,6,0)</f>
        <v>Y</v>
      </c>
    </row>
    <row r="121" spans="1:5" x14ac:dyDescent="0.35">
      <c r="A121" t="s">
        <v>1385</v>
      </c>
      <c r="B121" t="s">
        <v>250</v>
      </c>
      <c r="C121" t="s">
        <v>251</v>
      </c>
      <c r="D121" t="str">
        <f>VLOOKUP(B121,UniqueCCOQueueCodes!$A$2:$F$554,4,FALSE)</f>
        <v>Midrange</v>
      </c>
      <c r="E121" t="str">
        <f>VLOOKUP(B121,UniqueCCOQueueCodes!A:F,6,0)</f>
        <v>Y</v>
      </c>
    </row>
    <row r="122" spans="1:5" x14ac:dyDescent="0.35">
      <c r="A122" t="s">
        <v>1386</v>
      </c>
      <c r="B122" t="s">
        <v>408</v>
      </c>
      <c r="C122" t="s">
        <v>409</v>
      </c>
      <c r="D122" t="str">
        <f>VLOOKUP(B122,UniqueCCOQueueCodes!$A$2:$F$554,4,FALSE)</f>
        <v>Primary</v>
      </c>
      <c r="E122" t="str">
        <f>VLOOKUP(B122,UniqueCCOQueueCodes!A:F,6,0)</f>
        <v>Y</v>
      </c>
    </row>
    <row r="123" spans="1:5" x14ac:dyDescent="0.35">
      <c r="A123" t="s">
        <v>1387</v>
      </c>
      <c r="B123" t="s">
        <v>408</v>
      </c>
      <c r="C123" t="s">
        <v>409</v>
      </c>
      <c r="D123" t="str">
        <f>VLOOKUP(B123,UniqueCCOQueueCodes!$A$2:$F$554,4,FALSE)</f>
        <v>Primary</v>
      </c>
      <c r="E123" t="str">
        <f>VLOOKUP(B123,UniqueCCOQueueCodes!A:F,6,0)</f>
        <v>Y</v>
      </c>
    </row>
    <row r="124" spans="1:5" x14ac:dyDescent="0.35">
      <c r="A124" t="s">
        <v>1388</v>
      </c>
      <c r="B124" t="s">
        <v>408</v>
      </c>
      <c r="C124" t="s">
        <v>409</v>
      </c>
      <c r="D124" t="str">
        <f>VLOOKUP(B124,UniqueCCOQueueCodes!$A$2:$F$554,4,FALSE)</f>
        <v>Primary</v>
      </c>
      <c r="E124" t="str">
        <f>VLOOKUP(B124,UniqueCCOQueueCodes!A:F,6,0)</f>
        <v>Y</v>
      </c>
    </row>
    <row r="125" spans="1:5" x14ac:dyDescent="0.35">
      <c r="A125" t="s">
        <v>1389</v>
      </c>
      <c r="B125" t="s">
        <v>1245</v>
      </c>
      <c r="C125" t="s">
        <v>1246</v>
      </c>
      <c r="D125">
        <f>VLOOKUP(B125,UniqueCCOQueueCodes!$A$2:$F$554,4,FALSE)</f>
        <v>0</v>
      </c>
      <c r="E125" t="str">
        <f>VLOOKUP(B125,UniqueCCOQueueCodes!A:F,6,0)</f>
        <v>N</v>
      </c>
    </row>
    <row r="126" spans="1:5" x14ac:dyDescent="0.35">
      <c r="A126" t="s">
        <v>1390</v>
      </c>
      <c r="B126" t="s">
        <v>422</v>
      </c>
      <c r="C126" t="s">
        <v>423</v>
      </c>
      <c r="D126" t="str">
        <f>VLOOKUP(B126,UniqueCCOQueueCodes!$A$2:$F$554,4,FALSE)</f>
        <v>Primary</v>
      </c>
      <c r="E126" t="str">
        <f>VLOOKUP(B126,UniqueCCOQueueCodes!A:F,6,0)</f>
        <v>Y</v>
      </c>
    </row>
    <row r="127" spans="1:5" x14ac:dyDescent="0.35">
      <c r="A127" t="s">
        <v>1391</v>
      </c>
      <c r="B127" t="s">
        <v>422</v>
      </c>
      <c r="C127" t="s">
        <v>423</v>
      </c>
      <c r="D127" t="str">
        <f>VLOOKUP(B127,UniqueCCOQueueCodes!$A$2:$F$554,4,FALSE)</f>
        <v>Primary</v>
      </c>
      <c r="E127" t="str">
        <f>VLOOKUP(B127,UniqueCCOQueueCodes!A:F,6,0)</f>
        <v>Y</v>
      </c>
    </row>
    <row r="128" spans="1:5" x14ac:dyDescent="0.35">
      <c r="A128" t="s">
        <v>1392</v>
      </c>
      <c r="B128" t="s">
        <v>422</v>
      </c>
      <c r="C128" t="s">
        <v>423</v>
      </c>
      <c r="D128" t="str">
        <f>VLOOKUP(B128,UniqueCCOQueueCodes!$A$2:$F$554,4,FALSE)</f>
        <v>Primary</v>
      </c>
      <c r="E128" t="str">
        <f>VLOOKUP(B128,UniqueCCOQueueCodes!A:F,6,0)</f>
        <v>Y</v>
      </c>
    </row>
    <row r="129" spans="1:5" x14ac:dyDescent="0.35">
      <c r="A129" t="s">
        <v>1393</v>
      </c>
      <c r="B129" t="s">
        <v>50</v>
      </c>
      <c r="C129" t="s">
        <v>51</v>
      </c>
      <c r="D129" t="str">
        <f>VLOOKUP(B129,UniqueCCOQueueCodes!$A$2:$F$554,4,FALSE)</f>
        <v>DPD</v>
      </c>
      <c r="E129" t="str">
        <f>VLOOKUP(B129,UniqueCCOQueueCodes!A:F,6,0)</f>
        <v>Y</v>
      </c>
    </row>
    <row r="130" spans="1:5" x14ac:dyDescent="0.35">
      <c r="A130" t="s">
        <v>1394</v>
      </c>
      <c r="B130" t="s">
        <v>76</v>
      </c>
      <c r="C130" t="s">
        <v>77</v>
      </c>
      <c r="D130" t="str">
        <f>VLOOKUP(B130,UniqueCCOQueueCodes!$A$2:$F$554,4,FALSE)</f>
        <v>DPD</v>
      </c>
      <c r="E130" t="str">
        <f>VLOOKUP(B130,UniqueCCOQueueCodes!A:F,6,0)</f>
        <v>Y</v>
      </c>
    </row>
    <row r="131" spans="1:5" x14ac:dyDescent="0.35">
      <c r="A131" t="s">
        <v>1395</v>
      </c>
      <c r="B131" t="s">
        <v>614</v>
      </c>
      <c r="C131" t="s">
        <v>615</v>
      </c>
      <c r="D131" t="str">
        <f>VLOOKUP(B131,UniqueCCOQueueCodes!$A$2:$F$554,4,FALSE)</f>
        <v>Storage</v>
      </c>
      <c r="E131" t="str">
        <f>VLOOKUP(B131,UniqueCCOQueueCodes!A:F,6,0)</f>
        <v>Y</v>
      </c>
    </row>
    <row r="132" spans="1:5" x14ac:dyDescent="0.35">
      <c r="A132" t="s">
        <v>1396</v>
      </c>
      <c r="B132" t="s">
        <v>614</v>
      </c>
      <c r="C132" t="s">
        <v>615</v>
      </c>
      <c r="D132" t="str">
        <f>VLOOKUP(B132,UniqueCCOQueueCodes!$A$2:$F$554,4,FALSE)</f>
        <v>Storage</v>
      </c>
      <c r="E132" t="str">
        <f>VLOOKUP(B132,UniqueCCOQueueCodes!A:F,6,0)</f>
        <v>Y</v>
      </c>
    </row>
    <row r="133" spans="1:5" x14ac:dyDescent="0.35">
      <c r="A133" t="s">
        <v>1397</v>
      </c>
      <c r="B133" t="s">
        <v>114</v>
      </c>
      <c r="C133" t="s">
        <v>115</v>
      </c>
      <c r="D133" t="str">
        <f>VLOOKUP(B133,UniqueCCOQueueCodes!$A$2:$F$554,4,FALSE)</f>
        <v>DPD</v>
      </c>
      <c r="E133" t="str">
        <f>VLOOKUP(B133,UniqueCCOQueueCodes!A:F,6,0)</f>
        <v>Y</v>
      </c>
    </row>
    <row r="134" spans="1:5" x14ac:dyDescent="0.35">
      <c r="A134" t="s">
        <v>1398</v>
      </c>
      <c r="B134" t="s">
        <v>364</v>
      </c>
      <c r="C134" t="s">
        <v>365</v>
      </c>
      <c r="D134" t="str">
        <f>VLOOKUP(B134,UniqueCCOQueueCodes!$A$2:$F$554,4,FALSE)</f>
        <v>Primary</v>
      </c>
      <c r="E134" t="str">
        <f>VLOOKUP(B134,UniqueCCOQueueCodes!A:F,6,0)</f>
        <v>Y</v>
      </c>
    </row>
    <row r="135" spans="1:5" x14ac:dyDescent="0.35">
      <c r="A135" t="s">
        <v>1399</v>
      </c>
      <c r="B135" t="s">
        <v>391</v>
      </c>
      <c r="C135" t="s">
        <v>392</v>
      </c>
      <c r="D135" t="str">
        <f>VLOOKUP(B135,UniqueCCOQueueCodes!$A$2:$F$554,4,FALSE)</f>
        <v>Primary</v>
      </c>
      <c r="E135" t="str">
        <f>VLOOKUP(B135,UniqueCCOQueueCodes!A:F,6,0)</f>
        <v>Y</v>
      </c>
    </row>
    <row r="136" spans="1:5" x14ac:dyDescent="0.35">
      <c r="A136" t="s">
        <v>1400</v>
      </c>
      <c r="B136" t="s">
        <v>753</v>
      </c>
      <c r="C136" t="s">
        <v>754</v>
      </c>
      <c r="D136">
        <f>VLOOKUP(B136,UniqueCCOQueueCodes!$A$2:$F$554,4,FALSE)</f>
        <v>0</v>
      </c>
      <c r="E136" t="str">
        <f>VLOOKUP(B136,UniqueCCOQueueCodes!A:F,6,0)</f>
        <v>Y</v>
      </c>
    </row>
    <row r="137" spans="1:5" x14ac:dyDescent="0.35">
      <c r="A137" t="s">
        <v>1401</v>
      </c>
      <c r="B137" t="s">
        <v>614</v>
      </c>
      <c r="C137" t="s">
        <v>615</v>
      </c>
      <c r="D137" t="str">
        <f>VLOOKUP(B137,UniqueCCOQueueCodes!$A$2:$F$554,4,FALSE)</f>
        <v>Storage</v>
      </c>
      <c r="E137" t="str">
        <f>VLOOKUP(B137,UniqueCCOQueueCodes!A:F,6,0)</f>
        <v>Y</v>
      </c>
    </row>
    <row r="138" spans="1:5" x14ac:dyDescent="0.35">
      <c r="A138" t="s">
        <v>1402</v>
      </c>
      <c r="B138" t="s">
        <v>50</v>
      </c>
      <c r="C138" t="s">
        <v>51</v>
      </c>
      <c r="D138" t="str">
        <f>VLOOKUP(B138,UniqueCCOQueueCodes!$A$2:$F$554,4,FALSE)</f>
        <v>DPD</v>
      </c>
      <c r="E138" t="str">
        <f>VLOOKUP(B138,UniqueCCOQueueCodes!A:F,6,0)</f>
        <v>Y</v>
      </c>
    </row>
    <row r="139" spans="1:5" x14ac:dyDescent="0.35">
      <c r="A139" t="s">
        <v>1403</v>
      </c>
      <c r="B139" t="s">
        <v>50</v>
      </c>
      <c r="C139" t="s">
        <v>51</v>
      </c>
      <c r="D139" t="str">
        <f>VLOOKUP(B139,UniqueCCOQueueCodes!$A$2:$F$554,4,FALSE)</f>
        <v>DPD</v>
      </c>
      <c r="E139" t="str">
        <f>VLOOKUP(B139,UniqueCCOQueueCodes!A:F,6,0)</f>
        <v>Y</v>
      </c>
    </row>
    <row r="140" spans="1:5" x14ac:dyDescent="0.35">
      <c r="A140" t="s">
        <v>1404</v>
      </c>
      <c r="B140" t="s">
        <v>50</v>
      </c>
      <c r="C140" t="s">
        <v>51</v>
      </c>
      <c r="D140" t="str">
        <f>VLOOKUP(B140,UniqueCCOQueueCodes!$A$2:$F$554,4,FALSE)</f>
        <v>DPD</v>
      </c>
      <c r="E140" t="str">
        <f>VLOOKUP(B140,UniqueCCOQueueCodes!A:F,6,0)</f>
        <v>Y</v>
      </c>
    </row>
    <row r="141" spans="1:5" x14ac:dyDescent="0.35">
      <c r="A141" t="s">
        <v>1405</v>
      </c>
      <c r="B141" t="s">
        <v>310</v>
      </c>
      <c r="C141" t="s">
        <v>311</v>
      </c>
      <c r="D141" t="str">
        <f>VLOOKUP(B141,UniqueCCOQueueCodes!$A$2:$F$554,4,FALSE)</f>
        <v>Primary</v>
      </c>
      <c r="E141" t="str">
        <f>VLOOKUP(B141,UniqueCCOQueueCodes!A:F,6,0)</f>
        <v>Y</v>
      </c>
    </row>
    <row r="142" spans="1:5" x14ac:dyDescent="0.35">
      <c r="A142" t="s">
        <v>1406</v>
      </c>
      <c r="B142" t="s">
        <v>1052</v>
      </c>
      <c r="C142" t="s">
        <v>1407</v>
      </c>
      <c r="D142">
        <f>VLOOKUP(B142,UniqueCCOQueueCodes!$A$2:$F$554,4,FALSE)</f>
        <v>0</v>
      </c>
      <c r="E142" t="str">
        <f>VLOOKUP(B142,UniqueCCOQueueCodes!A:F,6,0)</f>
        <v>N</v>
      </c>
    </row>
    <row r="143" spans="1:5" x14ac:dyDescent="0.35">
      <c r="A143" t="s">
        <v>1408</v>
      </c>
      <c r="B143" t="s">
        <v>1052</v>
      </c>
      <c r="C143" t="s">
        <v>1407</v>
      </c>
      <c r="D143">
        <f>VLOOKUP(B143,UniqueCCOQueueCodes!$A$2:$F$554,4,FALSE)</f>
        <v>0</v>
      </c>
      <c r="E143" t="str">
        <f>VLOOKUP(B143,UniqueCCOQueueCodes!A:F,6,0)</f>
        <v>N</v>
      </c>
    </row>
    <row r="144" spans="1:5" x14ac:dyDescent="0.35">
      <c r="A144" t="s">
        <v>1409</v>
      </c>
      <c r="B144" t="s">
        <v>868</v>
      </c>
      <c r="C144" t="s">
        <v>869</v>
      </c>
      <c r="D144" t="str">
        <f>VLOOKUP(B144,UniqueCCOQueueCodes!$A$2:$F$554,4,FALSE)</f>
        <v>GIST</v>
      </c>
      <c r="E144" t="str">
        <f>VLOOKUP(B144,UniqueCCOQueueCodes!A:F,6,0)</f>
        <v>Y</v>
      </c>
    </row>
    <row r="145" spans="1:5" x14ac:dyDescent="0.35">
      <c r="A145" t="s">
        <v>1410</v>
      </c>
      <c r="D145" t="e">
        <f>VLOOKUP(B145,UniqueCCOQueueCodes!$A$2:$F$554,4,FALSE)</f>
        <v>#N/A</v>
      </c>
      <c r="E145" t="e">
        <f>VLOOKUP(B145,UniqueCCOQueueCodes!A:F,6,0)</f>
        <v>#N/A</v>
      </c>
    </row>
    <row r="146" spans="1:5" x14ac:dyDescent="0.35">
      <c r="A146" t="s">
        <v>1411</v>
      </c>
      <c r="B146" t="s">
        <v>76</v>
      </c>
      <c r="C146" t="s">
        <v>77</v>
      </c>
      <c r="D146" t="str">
        <f>VLOOKUP(B146,UniqueCCOQueueCodes!$A$2:$F$554,4,FALSE)</f>
        <v>DPD</v>
      </c>
      <c r="E146" t="str">
        <f>VLOOKUP(B146,UniqueCCOQueueCodes!A:F,6,0)</f>
        <v>Y</v>
      </c>
    </row>
    <row r="147" spans="1:5" x14ac:dyDescent="0.35">
      <c r="A147" t="s">
        <v>1412</v>
      </c>
      <c r="B147" t="s">
        <v>156</v>
      </c>
      <c r="C147" t="s">
        <v>157</v>
      </c>
      <c r="D147" t="str">
        <f>VLOOKUP(B147,UniqueCCOQueueCodes!$A$2:$F$554,4,FALSE)</f>
        <v>E2E</v>
      </c>
      <c r="E147" t="str">
        <f>VLOOKUP(B147,UniqueCCOQueueCodes!A:F,6,0)</f>
        <v>Y</v>
      </c>
    </row>
    <row r="148" spans="1:5" x14ac:dyDescent="0.35">
      <c r="A148" t="s">
        <v>1413</v>
      </c>
      <c r="B148" t="s">
        <v>192</v>
      </c>
      <c r="C148" t="s">
        <v>193</v>
      </c>
      <c r="D148" t="str">
        <f>VLOOKUP(B148,UniqueCCOQueueCodes!$A$2:$F$554,4,FALSE)</f>
        <v>GNCS</v>
      </c>
      <c r="E148" t="str">
        <f>VLOOKUP(B148,UniqueCCOQueueCodes!A:F,6,0)</f>
        <v>Y</v>
      </c>
    </row>
    <row r="149" spans="1:5" x14ac:dyDescent="0.35">
      <c r="A149" t="s">
        <v>1414</v>
      </c>
      <c r="B149" t="s">
        <v>339</v>
      </c>
      <c r="C149" t="s">
        <v>340</v>
      </c>
      <c r="D149" t="str">
        <f>VLOOKUP(B149,UniqueCCOQueueCodes!$A$2:$F$554,4,FALSE)</f>
        <v>Primary</v>
      </c>
      <c r="E149" t="str">
        <f>VLOOKUP(B149,UniqueCCOQueueCodes!A:F,6,0)</f>
        <v>Y</v>
      </c>
    </row>
    <row r="150" spans="1:5" x14ac:dyDescent="0.35">
      <c r="A150" t="s">
        <v>1415</v>
      </c>
      <c r="B150" t="s">
        <v>682</v>
      </c>
      <c r="C150" t="s">
        <v>683</v>
      </c>
      <c r="D150" t="str">
        <f>VLOOKUP(B150,UniqueCCOQueueCodes!$A$2:$F$554,4,FALSE)</f>
        <v>UDS</v>
      </c>
      <c r="E150" t="str">
        <f>VLOOKUP(B150,UniqueCCOQueueCodes!A:F,6,0)</f>
        <v>Y</v>
      </c>
    </row>
    <row r="151" spans="1:5" x14ac:dyDescent="0.35">
      <c r="A151" t="s">
        <v>1416</v>
      </c>
      <c r="B151" t="s">
        <v>682</v>
      </c>
      <c r="C151" t="s">
        <v>683</v>
      </c>
      <c r="D151" t="str">
        <f>VLOOKUP(B151,UniqueCCOQueueCodes!$A$2:$F$554,4,FALSE)</f>
        <v>UDS</v>
      </c>
      <c r="E151" t="str">
        <f>VLOOKUP(B151,UniqueCCOQueueCodes!A:F,6,0)</f>
        <v>Y</v>
      </c>
    </row>
    <row r="152" spans="1:5" x14ac:dyDescent="0.35">
      <c r="A152" t="s">
        <v>1417</v>
      </c>
      <c r="B152" t="s">
        <v>682</v>
      </c>
      <c r="C152" t="s">
        <v>683</v>
      </c>
      <c r="D152" t="str">
        <f>VLOOKUP(B152,UniqueCCOQueueCodes!$A$2:$F$554,4,FALSE)</f>
        <v>UDS</v>
      </c>
      <c r="E152" t="str">
        <f>VLOOKUP(B152,UniqueCCOQueueCodes!A:F,6,0)</f>
        <v>Y</v>
      </c>
    </row>
    <row r="153" spans="1:5" x14ac:dyDescent="0.35">
      <c r="A153" t="s">
        <v>1418</v>
      </c>
      <c r="B153" t="s">
        <v>682</v>
      </c>
      <c r="C153" t="s">
        <v>683</v>
      </c>
      <c r="D153" t="str">
        <f>VLOOKUP(B153,UniqueCCOQueueCodes!$A$2:$F$554,4,FALSE)</f>
        <v>UDS</v>
      </c>
      <c r="E153" t="str">
        <f>VLOOKUP(B153,UniqueCCOQueueCodes!A:F,6,0)</f>
        <v>Y</v>
      </c>
    </row>
    <row r="154" spans="1:5" x14ac:dyDescent="0.35">
      <c r="A154" t="s">
        <v>1419</v>
      </c>
      <c r="B154" t="s">
        <v>114</v>
      </c>
      <c r="C154" t="s">
        <v>115</v>
      </c>
      <c r="D154" t="str">
        <f>VLOOKUP(B154,UniqueCCOQueueCodes!$A$2:$F$554,4,FALSE)</f>
        <v>DPD</v>
      </c>
      <c r="E154" t="str">
        <f>VLOOKUP(B154,UniqueCCOQueueCodes!A:F,6,0)</f>
        <v>Y</v>
      </c>
    </row>
    <row r="155" spans="1:5" x14ac:dyDescent="0.35">
      <c r="A155" t="s">
        <v>1420</v>
      </c>
      <c r="B155" t="s">
        <v>705</v>
      </c>
      <c r="C155" t="s">
        <v>706</v>
      </c>
      <c r="D155" t="str">
        <f>VLOOKUP(B155,UniqueCCOQueueCodes!$A$2:$F$554,4,FALSE)</f>
        <v>UDS</v>
      </c>
      <c r="E155" t="str">
        <f>VLOOKUP(B155,UniqueCCOQueueCodes!A:F,6,0)</f>
        <v>Y</v>
      </c>
    </row>
    <row r="156" spans="1:5" x14ac:dyDescent="0.35">
      <c r="A156" t="s">
        <v>1421</v>
      </c>
      <c r="B156" t="s">
        <v>1061</v>
      </c>
      <c r="C156" t="s">
        <v>1062</v>
      </c>
      <c r="D156" t="str">
        <f>VLOOKUP(B156,UniqueCCOQueueCodes!$A$2:$F$554,4,FALSE)</f>
        <v>RPS</v>
      </c>
      <c r="E156" t="str">
        <f>VLOOKUP(B156,UniqueCCOQueueCodes!A:F,6,0)</f>
        <v>N</v>
      </c>
    </row>
    <row r="157" spans="1:5" x14ac:dyDescent="0.35">
      <c r="A157" t="s">
        <v>1422</v>
      </c>
      <c r="B157" t="s">
        <v>1061</v>
      </c>
      <c r="C157" t="s">
        <v>1062</v>
      </c>
      <c r="D157" t="str">
        <f>VLOOKUP(B157,UniqueCCOQueueCodes!$A$2:$F$554,4,FALSE)</f>
        <v>RPS</v>
      </c>
      <c r="E157" t="str">
        <f>VLOOKUP(B157,UniqueCCOQueueCodes!A:F,6,0)</f>
        <v>N</v>
      </c>
    </row>
    <row r="158" spans="1:5" x14ac:dyDescent="0.35">
      <c r="A158" t="s">
        <v>1423</v>
      </c>
      <c r="B158" t="s">
        <v>1061</v>
      </c>
      <c r="C158" t="s">
        <v>1062</v>
      </c>
      <c r="D158" t="str">
        <f>VLOOKUP(B158,UniqueCCOQueueCodes!$A$2:$F$554,4,FALSE)</f>
        <v>RPS</v>
      </c>
      <c r="E158" t="str">
        <f>VLOOKUP(B158,UniqueCCOQueueCodes!A:F,6,0)</f>
        <v>N</v>
      </c>
    </row>
    <row r="159" spans="1:5" x14ac:dyDescent="0.35">
      <c r="A159" t="s">
        <v>1424</v>
      </c>
      <c r="B159" t="s">
        <v>1061</v>
      </c>
      <c r="C159" t="s">
        <v>1062</v>
      </c>
      <c r="D159" t="str">
        <f>VLOOKUP(B159,UniqueCCOQueueCodes!$A$2:$F$554,4,FALSE)</f>
        <v>RPS</v>
      </c>
      <c r="E159" t="str">
        <f>VLOOKUP(B159,UniqueCCOQueueCodes!A:F,6,0)</f>
        <v>N</v>
      </c>
    </row>
    <row r="160" spans="1:5" x14ac:dyDescent="0.35">
      <c r="A160" t="s">
        <v>1425</v>
      </c>
      <c r="B160" t="s">
        <v>1061</v>
      </c>
      <c r="C160" t="s">
        <v>1062</v>
      </c>
      <c r="D160" t="str">
        <f>VLOOKUP(B160,UniqueCCOQueueCodes!$A$2:$F$554,4,FALSE)</f>
        <v>RPS</v>
      </c>
      <c r="E160" t="str">
        <f>VLOOKUP(B160,UniqueCCOQueueCodes!A:F,6,0)</f>
        <v>N</v>
      </c>
    </row>
    <row r="161" spans="1:5" x14ac:dyDescent="0.35">
      <c r="A161" t="s">
        <v>1426</v>
      </c>
      <c r="B161" t="s">
        <v>682</v>
      </c>
      <c r="C161" t="s">
        <v>683</v>
      </c>
      <c r="D161" t="str">
        <f>VLOOKUP(B161,UniqueCCOQueueCodes!$A$2:$F$554,4,FALSE)</f>
        <v>UDS</v>
      </c>
      <c r="E161" t="str">
        <f>VLOOKUP(B161,UniqueCCOQueueCodes!A:F,6,0)</f>
        <v>Y</v>
      </c>
    </row>
    <row r="162" spans="1:5" x14ac:dyDescent="0.35">
      <c r="A162" t="s">
        <v>1427</v>
      </c>
      <c r="B162" t="s">
        <v>364</v>
      </c>
      <c r="C162" t="s">
        <v>365</v>
      </c>
      <c r="D162" t="str">
        <f>VLOOKUP(B162,UniqueCCOQueueCodes!$A$2:$F$554,4,FALSE)</f>
        <v>Primary</v>
      </c>
      <c r="E162" t="str">
        <f>VLOOKUP(B162,UniqueCCOQueueCodes!A:F,6,0)</f>
        <v>Y</v>
      </c>
    </row>
    <row r="163" spans="1:5" x14ac:dyDescent="0.35">
      <c r="A163" t="s">
        <v>1428</v>
      </c>
      <c r="B163" t="s">
        <v>364</v>
      </c>
      <c r="C163" t="s">
        <v>365</v>
      </c>
      <c r="D163" t="str">
        <f>VLOOKUP(B163,UniqueCCOQueueCodes!$A$2:$F$554,4,FALSE)</f>
        <v>Primary</v>
      </c>
      <c r="E163" t="str">
        <f>VLOOKUP(B163,UniqueCCOQueueCodes!A:F,6,0)</f>
        <v>Y</v>
      </c>
    </row>
    <row r="164" spans="1:5" x14ac:dyDescent="0.35">
      <c r="A164" t="s">
        <v>1429</v>
      </c>
      <c r="B164" t="s">
        <v>242</v>
      </c>
      <c r="C164" t="s">
        <v>243</v>
      </c>
      <c r="D164" t="str">
        <f>VLOOKUP(B164,UniqueCCOQueueCodes!$A$2:$F$554,4,FALSE)</f>
        <v>Midrange</v>
      </c>
      <c r="E164" t="str">
        <f>VLOOKUP(B164,UniqueCCOQueueCodes!A:F,6,0)</f>
        <v>Y</v>
      </c>
    </row>
    <row r="165" spans="1:5" x14ac:dyDescent="0.35">
      <c r="A165" t="s">
        <v>1430</v>
      </c>
      <c r="B165" t="s">
        <v>242</v>
      </c>
      <c r="C165" t="s">
        <v>243</v>
      </c>
      <c r="D165" t="str">
        <f>VLOOKUP(B165,UniqueCCOQueueCodes!$A$2:$F$554,4,FALSE)</f>
        <v>Midrange</v>
      </c>
      <c r="E165" t="str">
        <f>VLOOKUP(B165,UniqueCCOQueueCodes!A:F,6,0)</f>
        <v>Y</v>
      </c>
    </row>
    <row r="166" spans="1:5" x14ac:dyDescent="0.35">
      <c r="A166" t="s">
        <v>1431</v>
      </c>
      <c r="B166" t="s">
        <v>242</v>
      </c>
      <c r="C166" t="s">
        <v>243</v>
      </c>
      <c r="D166" t="str">
        <f>VLOOKUP(B166,UniqueCCOQueueCodes!$A$2:$F$554,4,FALSE)</f>
        <v>Midrange</v>
      </c>
      <c r="E166" t="str">
        <f>VLOOKUP(B166,UniqueCCOQueueCodes!A:F,6,0)</f>
        <v>Y</v>
      </c>
    </row>
    <row r="167" spans="1:5" x14ac:dyDescent="0.35">
      <c r="A167" t="s">
        <v>1432</v>
      </c>
      <c r="B167" t="s">
        <v>242</v>
      </c>
      <c r="C167" t="s">
        <v>243</v>
      </c>
      <c r="D167" t="str">
        <f>VLOOKUP(B167,UniqueCCOQueueCodes!$A$2:$F$554,4,FALSE)</f>
        <v>Midrange</v>
      </c>
      <c r="E167" t="str">
        <f>VLOOKUP(B167,UniqueCCOQueueCodes!A:F,6,0)</f>
        <v>Y</v>
      </c>
    </row>
    <row r="168" spans="1:5" x14ac:dyDescent="0.35">
      <c r="A168" t="s">
        <v>1433</v>
      </c>
      <c r="B168" t="s">
        <v>408</v>
      </c>
      <c r="C168" t="s">
        <v>409</v>
      </c>
      <c r="D168" t="str">
        <f>VLOOKUP(B168,UniqueCCOQueueCodes!$A$2:$F$554,4,FALSE)</f>
        <v>Primary</v>
      </c>
      <c r="E168" t="str">
        <f>VLOOKUP(B168,UniqueCCOQueueCodes!A:F,6,0)</f>
        <v>Y</v>
      </c>
    </row>
    <row r="169" spans="1:5" x14ac:dyDescent="0.35">
      <c r="A169" t="s">
        <v>1434</v>
      </c>
      <c r="B169" t="s">
        <v>1245</v>
      </c>
      <c r="C169" t="s">
        <v>1246</v>
      </c>
      <c r="D169">
        <f>VLOOKUP(B169,UniqueCCOQueueCodes!$A$2:$F$554,4,FALSE)</f>
        <v>0</v>
      </c>
      <c r="E169" t="str">
        <f>VLOOKUP(B169,UniqueCCOQueueCodes!A:F,6,0)</f>
        <v>N</v>
      </c>
    </row>
    <row r="170" spans="1:5" x14ac:dyDescent="0.35">
      <c r="A170" t="s">
        <v>1435</v>
      </c>
      <c r="B170" t="s">
        <v>422</v>
      </c>
      <c r="C170" t="s">
        <v>423</v>
      </c>
      <c r="D170" t="str">
        <f>VLOOKUP(B170,UniqueCCOQueueCodes!$A$2:$F$554,4,FALSE)</f>
        <v>Primary</v>
      </c>
      <c r="E170" t="str">
        <f>VLOOKUP(B170,UniqueCCOQueueCodes!A:F,6,0)</f>
        <v>Y</v>
      </c>
    </row>
    <row r="171" spans="1:5" x14ac:dyDescent="0.35">
      <c r="A171" t="s">
        <v>1436</v>
      </c>
      <c r="B171" t="s">
        <v>422</v>
      </c>
      <c r="C171" t="s">
        <v>423</v>
      </c>
      <c r="D171" t="str">
        <f>VLOOKUP(B171,UniqueCCOQueueCodes!$A$2:$F$554,4,FALSE)</f>
        <v>Primary</v>
      </c>
      <c r="E171" t="str">
        <f>VLOOKUP(B171,UniqueCCOQueueCodes!A:F,6,0)</f>
        <v>Y</v>
      </c>
    </row>
    <row r="172" spans="1:5" x14ac:dyDescent="0.35">
      <c r="A172" t="s">
        <v>1437</v>
      </c>
      <c r="B172" t="s">
        <v>314</v>
      </c>
      <c r="C172" t="s">
        <v>315</v>
      </c>
      <c r="D172" t="str">
        <f>VLOOKUP(B172,UniqueCCOQueueCodes!$A$2:$F$554,4,FALSE)</f>
        <v>Primary</v>
      </c>
      <c r="E172" t="str">
        <f>VLOOKUP(B172,UniqueCCOQueueCodes!A:F,6,0)</f>
        <v>Y</v>
      </c>
    </row>
    <row r="173" spans="1:5" x14ac:dyDescent="0.35">
      <c r="A173" t="s">
        <v>1438</v>
      </c>
      <c r="B173" t="s">
        <v>314</v>
      </c>
      <c r="C173" t="s">
        <v>315</v>
      </c>
      <c r="D173" t="str">
        <f>VLOOKUP(B173,UniqueCCOQueueCodes!$A$2:$F$554,4,FALSE)</f>
        <v>Primary</v>
      </c>
      <c r="E173" t="str">
        <f>VLOOKUP(B173,UniqueCCOQueueCodes!A:F,6,0)</f>
        <v>Y</v>
      </c>
    </row>
    <row r="174" spans="1:5" x14ac:dyDescent="0.35">
      <c r="A174" t="s">
        <v>1439</v>
      </c>
      <c r="B174" t="s">
        <v>114</v>
      </c>
      <c r="C174" t="s">
        <v>115</v>
      </c>
      <c r="D174" t="str">
        <f>VLOOKUP(B174,UniqueCCOQueueCodes!$A$2:$F$554,4,FALSE)</f>
        <v>DPD</v>
      </c>
      <c r="E174" t="str">
        <f>VLOOKUP(B174,UniqueCCOQueueCodes!A:F,6,0)</f>
        <v>Y</v>
      </c>
    </row>
    <row r="175" spans="1:5" x14ac:dyDescent="0.35">
      <c r="A175" t="s">
        <v>1440</v>
      </c>
      <c r="B175" t="s">
        <v>364</v>
      </c>
      <c r="C175" t="s">
        <v>365</v>
      </c>
      <c r="D175" t="str">
        <f>VLOOKUP(B175,UniqueCCOQueueCodes!$A$2:$F$554,4,FALSE)</f>
        <v>Primary</v>
      </c>
      <c r="E175" t="str">
        <f>VLOOKUP(B175,UniqueCCOQueueCodes!A:F,6,0)</f>
        <v>Y</v>
      </c>
    </row>
    <row r="176" spans="1:5" x14ac:dyDescent="0.35">
      <c r="A176" t="s">
        <v>1441</v>
      </c>
      <c r="B176" t="s">
        <v>422</v>
      </c>
      <c r="C176" t="s">
        <v>423</v>
      </c>
      <c r="D176" t="str">
        <f>VLOOKUP(B176,UniqueCCOQueueCodes!$A$2:$F$554,4,FALSE)</f>
        <v>Primary</v>
      </c>
      <c r="E176" t="str">
        <f>VLOOKUP(B176,UniqueCCOQueueCodes!A:F,6,0)</f>
        <v>Y</v>
      </c>
    </row>
    <row r="177" spans="1:5" x14ac:dyDescent="0.35">
      <c r="A177" t="s">
        <v>1442</v>
      </c>
      <c r="B177" t="s">
        <v>50</v>
      </c>
      <c r="C177" t="s">
        <v>51</v>
      </c>
      <c r="D177" t="str">
        <f>VLOOKUP(B177,UniqueCCOQueueCodes!$A$2:$F$554,4,FALSE)</f>
        <v>DPD</v>
      </c>
      <c r="E177" t="str">
        <f>VLOOKUP(B177,UniqueCCOQueueCodes!A:F,6,0)</f>
        <v>Y</v>
      </c>
    </row>
    <row r="178" spans="1:5" x14ac:dyDescent="0.35">
      <c r="A178" t="s">
        <v>1443</v>
      </c>
      <c r="B178" t="s">
        <v>310</v>
      </c>
      <c r="C178" t="s">
        <v>311</v>
      </c>
      <c r="D178" t="str">
        <f>VLOOKUP(B178,UniqueCCOQueueCodes!$A$2:$F$554,4,FALSE)</f>
        <v>Primary</v>
      </c>
      <c r="E178" t="str">
        <f>VLOOKUP(B178,UniqueCCOQueueCodes!A:F,6,0)</f>
        <v>Y</v>
      </c>
    </row>
    <row r="179" spans="1:5" x14ac:dyDescent="0.35">
      <c r="A179" t="s">
        <v>1444</v>
      </c>
      <c r="B179" t="s">
        <v>1052</v>
      </c>
      <c r="C179" t="s">
        <v>1407</v>
      </c>
      <c r="D179">
        <f>VLOOKUP(B179,UniqueCCOQueueCodes!$A$2:$F$554,4,FALSE)</f>
        <v>0</v>
      </c>
      <c r="E179" t="str">
        <f>VLOOKUP(B179,UniqueCCOQueueCodes!A:F,6,0)</f>
        <v>N</v>
      </c>
    </row>
    <row r="180" spans="1:5" x14ac:dyDescent="0.35">
      <c r="A180" t="s">
        <v>1445</v>
      </c>
      <c r="D180" t="e">
        <f>VLOOKUP(B180,UniqueCCOQueueCodes!$A$2:$F$554,4,FALSE)</f>
        <v>#N/A</v>
      </c>
      <c r="E180" t="e">
        <f>VLOOKUP(B180,UniqueCCOQueueCodes!A:F,6,0)</f>
        <v>#N/A</v>
      </c>
    </row>
    <row r="181" spans="1:5" x14ac:dyDescent="0.35">
      <c r="A181" t="s">
        <v>1446</v>
      </c>
      <c r="D181" t="e">
        <f>VLOOKUP(B181,UniqueCCOQueueCodes!$A$2:$F$554,4,FALSE)</f>
        <v>#N/A</v>
      </c>
      <c r="E181" t="e">
        <f>VLOOKUP(B181,UniqueCCOQueueCodes!A:F,6,0)</f>
        <v>#N/A</v>
      </c>
    </row>
    <row r="182" spans="1:5" x14ac:dyDescent="0.35">
      <c r="A182" t="s">
        <v>1447</v>
      </c>
      <c r="B182" t="s">
        <v>76</v>
      </c>
      <c r="C182" t="s">
        <v>77</v>
      </c>
      <c r="D182" t="str">
        <f>VLOOKUP(B182,UniqueCCOQueueCodes!$A$2:$F$554,4,FALSE)</f>
        <v>DPD</v>
      </c>
      <c r="E182" t="str">
        <f>VLOOKUP(B182,UniqueCCOQueueCodes!A:F,6,0)</f>
        <v>Y</v>
      </c>
    </row>
    <row r="183" spans="1:5" x14ac:dyDescent="0.35">
      <c r="A183" t="s">
        <v>1448</v>
      </c>
      <c r="B183" t="s">
        <v>95</v>
      </c>
      <c r="C183" t="s">
        <v>96</v>
      </c>
      <c r="D183" t="str">
        <f>VLOOKUP(B183,UniqueCCOQueueCodes!$A$2:$F$554,4,FALSE)</f>
        <v>DPD</v>
      </c>
      <c r="E183" t="str">
        <f>VLOOKUP(B183,UniqueCCOQueueCodes!A:F,6,0)</f>
        <v>Y</v>
      </c>
    </row>
    <row r="184" spans="1:5" x14ac:dyDescent="0.35">
      <c r="A184" t="s">
        <v>1449</v>
      </c>
      <c r="B184" t="s">
        <v>1061</v>
      </c>
      <c r="C184" t="s">
        <v>1062</v>
      </c>
      <c r="D184" t="str">
        <f>VLOOKUP(B184,UniqueCCOQueueCodes!$A$2:$F$554,4,FALSE)</f>
        <v>RPS</v>
      </c>
      <c r="E184" t="str">
        <f>VLOOKUP(B184,UniqueCCOQueueCodes!A:F,6,0)</f>
        <v>N</v>
      </c>
    </row>
    <row r="185" spans="1:5" x14ac:dyDescent="0.35">
      <c r="A185" t="s">
        <v>1450</v>
      </c>
      <c r="B185" t="s">
        <v>192</v>
      </c>
      <c r="C185" t="s">
        <v>193</v>
      </c>
      <c r="D185" t="str">
        <f>VLOOKUP(B185,UniqueCCOQueueCodes!$A$2:$F$554,4,FALSE)</f>
        <v>GNCS</v>
      </c>
      <c r="E185" t="str">
        <f>VLOOKUP(B185,UniqueCCOQueueCodes!A:F,6,0)</f>
        <v>Y</v>
      </c>
    </row>
    <row r="186" spans="1:5" x14ac:dyDescent="0.35">
      <c r="A186" t="s">
        <v>1451</v>
      </c>
      <c r="B186" t="s">
        <v>192</v>
      </c>
      <c r="C186" t="s">
        <v>193</v>
      </c>
      <c r="D186" t="str">
        <f>VLOOKUP(B186,UniqueCCOQueueCodes!$A$2:$F$554,4,FALSE)</f>
        <v>GNCS</v>
      </c>
      <c r="E186" t="str">
        <f>VLOOKUP(B186,UniqueCCOQueueCodes!A:F,6,0)</f>
        <v>Y</v>
      </c>
    </row>
    <row r="187" spans="1:5" x14ac:dyDescent="0.35">
      <c r="A187" t="s">
        <v>1452</v>
      </c>
      <c r="B187" t="s">
        <v>339</v>
      </c>
      <c r="C187" t="s">
        <v>340</v>
      </c>
      <c r="D187" t="str">
        <f>VLOOKUP(B187,UniqueCCOQueueCodes!$A$2:$F$554,4,FALSE)</f>
        <v>Primary</v>
      </c>
      <c r="E187" t="str">
        <f>VLOOKUP(B187,UniqueCCOQueueCodes!A:F,6,0)</f>
        <v>Y</v>
      </c>
    </row>
    <row r="188" spans="1:5" x14ac:dyDescent="0.35">
      <c r="A188" t="s">
        <v>1453</v>
      </c>
      <c r="B188" t="s">
        <v>339</v>
      </c>
      <c r="C188" t="s">
        <v>340</v>
      </c>
      <c r="D188" t="str">
        <f>VLOOKUP(B188,UniqueCCOQueueCodes!$A$2:$F$554,4,FALSE)</f>
        <v>Primary</v>
      </c>
      <c r="E188" t="str">
        <f>VLOOKUP(B188,UniqueCCOQueueCodes!A:F,6,0)</f>
        <v>Y</v>
      </c>
    </row>
    <row r="189" spans="1:5" x14ac:dyDescent="0.35">
      <c r="A189" t="s">
        <v>1454</v>
      </c>
      <c r="B189" t="s">
        <v>682</v>
      </c>
      <c r="C189" t="s">
        <v>683</v>
      </c>
      <c r="D189" t="str">
        <f>VLOOKUP(B189,UniqueCCOQueueCodes!$A$2:$F$554,4,FALSE)</f>
        <v>UDS</v>
      </c>
      <c r="E189" t="str">
        <f>VLOOKUP(B189,UniqueCCOQueueCodes!A:F,6,0)</f>
        <v>Y</v>
      </c>
    </row>
    <row r="190" spans="1:5" x14ac:dyDescent="0.35">
      <c r="A190" t="s">
        <v>1455</v>
      </c>
      <c r="B190" t="s">
        <v>682</v>
      </c>
      <c r="C190" t="s">
        <v>683</v>
      </c>
      <c r="D190" t="str">
        <f>VLOOKUP(B190,UniqueCCOQueueCodes!$A$2:$F$554,4,FALSE)</f>
        <v>UDS</v>
      </c>
      <c r="E190" t="str">
        <f>VLOOKUP(B190,UniqueCCOQueueCodes!A:F,6,0)</f>
        <v>Y</v>
      </c>
    </row>
    <row r="191" spans="1:5" x14ac:dyDescent="0.35">
      <c r="A191" t="s">
        <v>1456</v>
      </c>
      <c r="B191" t="s">
        <v>114</v>
      </c>
      <c r="C191" t="s">
        <v>115</v>
      </c>
      <c r="D191" t="str">
        <f>VLOOKUP(B191,UniqueCCOQueueCodes!$A$2:$F$554,4,FALSE)</f>
        <v>DPD</v>
      </c>
      <c r="E191" t="str">
        <f>VLOOKUP(B191,UniqueCCOQueueCodes!A:F,6,0)</f>
        <v>Y</v>
      </c>
    </row>
    <row r="192" spans="1:5" x14ac:dyDescent="0.35">
      <c r="A192" t="s">
        <v>1457</v>
      </c>
      <c r="B192" t="s">
        <v>114</v>
      </c>
      <c r="C192" t="s">
        <v>115</v>
      </c>
      <c r="D192" t="str">
        <f>VLOOKUP(B192,UniqueCCOQueueCodes!$A$2:$F$554,4,FALSE)</f>
        <v>DPD</v>
      </c>
      <c r="E192" t="str">
        <f>VLOOKUP(B192,UniqueCCOQueueCodes!A:F,6,0)</f>
        <v>Y</v>
      </c>
    </row>
    <row r="193" spans="1:5" x14ac:dyDescent="0.35">
      <c r="A193" t="s">
        <v>1458</v>
      </c>
      <c r="B193" t="s">
        <v>705</v>
      </c>
      <c r="C193" t="s">
        <v>706</v>
      </c>
      <c r="D193" t="str">
        <f>VLOOKUP(B193,UniqueCCOQueueCodes!$A$2:$F$554,4,FALSE)</f>
        <v>UDS</v>
      </c>
      <c r="E193" t="str">
        <f>VLOOKUP(B193,UniqueCCOQueueCodes!A:F,6,0)</f>
        <v>Y</v>
      </c>
    </row>
    <row r="194" spans="1:5" x14ac:dyDescent="0.35">
      <c r="A194" t="s">
        <v>1459</v>
      </c>
      <c r="B194" t="s">
        <v>1061</v>
      </c>
      <c r="C194" t="s">
        <v>1062</v>
      </c>
      <c r="D194" t="str">
        <f>VLOOKUP(B194,UniqueCCOQueueCodes!$A$2:$F$554,4,FALSE)</f>
        <v>RPS</v>
      </c>
      <c r="E194" t="str">
        <f>VLOOKUP(B194,UniqueCCOQueueCodes!A:F,6,0)</f>
        <v>N</v>
      </c>
    </row>
    <row r="195" spans="1:5" x14ac:dyDescent="0.35">
      <c r="A195" t="s">
        <v>1460</v>
      </c>
      <c r="B195" t="s">
        <v>1061</v>
      </c>
      <c r="C195" t="s">
        <v>1062</v>
      </c>
      <c r="D195" t="str">
        <f>VLOOKUP(B195,UniqueCCOQueueCodes!$A$2:$F$554,4,FALSE)</f>
        <v>RPS</v>
      </c>
      <c r="E195" t="str">
        <f>VLOOKUP(B195,UniqueCCOQueueCodes!A:F,6,0)</f>
        <v>N</v>
      </c>
    </row>
    <row r="196" spans="1:5" x14ac:dyDescent="0.35">
      <c r="A196" t="s">
        <v>1461</v>
      </c>
      <c r="B196" t="s">
        <v>1061</v>
      </c>
      <c r="C196" t="s">
        <v>1062</v>
      </c>
      <c r="D196" t="str">
        <f>VLOOKUP(B196,UniqueCCOQueueCodes!$A$2:$F$554,4,FALSE)</f>
        <v>RPS</v>
      </c>
      <c r="E196" t="str">
        <f>VLOOKUP(B196,UniqueCCOQueueCodes!A:F,6,0)</f>
        <v>N</v>
      </c>
    </row>
    <row r="197" spans="1:5" x14ac:dyDescent="0.35">
      <c r="A197" t="s">
        <v>1462</v>
      </c>
      <c r="B197" t="s">
        <v>1061</v>
      </c>
      <c r="C197" t="s">
        <v>1062</v>
      </c>
      <c r="D197" t="str">
        <f>VLOOKUP(B197,UniqueCCOQueueCodes!$A$2:$F$554,4,FALSE)</f>
        <v>RPS</v>
      </c>
      <c r="E197" t="str">
        <f>VLOOKUP(B197,UniqueCCOQueueCodes!A:F,6,0)</f>
        <v>N</v>
      </c>
    </row>
    <row r="198" spans="1:5" x14ac:dyDescent="0.35">
      <c r="A198" t="s">
        <v>1463</v>
      </c>
      <c r="B198" t="s">
        <v>1061</v>
      </c>
      <c r="C198" t="s">
        <v>1062</v>
      </c>
      <c r="D198" t="str">
        <f>VLOOKUP(B198,UniqueCCOQueueCodes!$A$2:$F$554,4,FALSE)</f>
        <v>RPS</v>
      </c>
      <c r="E198" t="str">
        <f>VLOOKUP(B198,UniqueCCOQueueCodes!A:F,6,0)</f>
        <v>N</v>
      </c>
    </row>
    <row r="199" spans="1:5" x14ac:dyDescent="0.35">
      <c r="A199" t="s">
        <v>1464</v>
      </c>
      <c r="B199" t="s">
        <v>1061</v>
      </c>
      <c r="C199" t="s">
        <v>1062</v>
      </c>
      <c r="D199" t="str">
        <f>VLOOKUP(B199,UniqueCCOQueueCodes!$A$2:$F$554,4,FALSE)</f>
        <v>RPS</v>
      </c>
      <c r="E199" t="str">
        <f>VLOOKUP(B199,UniqueCCOQueueCodes!A:F,6,0)</f>
        <v>N</v>
      </c>
    </row>
    <row r="200" spans="1:5" x14ac:dyDescent="0.35">
      <c r="A200" t="s">
        <v>1465</v>
      </c>
      <c r="B200" t="s">
        <v>364</v>
      </c>
      <c r="C200" t="s">
        <v>365</v>
      </c>
      <c r="D200" t="str">
        <f>VLOOKUP(B200,UniqueCCOQueueCodes!$A$2:$F$554,4,FALSE)</f>
        <v>Primary</v>
      </c>
      <c r="E200" t="str">
        <f>VLOOKUP(B200,UniqueCCOQueueCodes!A:F,6,0)</f>
        <v>Y</v>
      </c>
    </row>
    <row r="201" spans="1:5" x14ac:dyDescent="0.35">
      <c r="A201" t="s">
        <v>1466</v>
      </c>
      <c r="B201" t="s">
        <v>364</v>
      </c>
      <c r="C201" t="s">
        <v>365</v>
      </c>
      <c r="D201" t="str">
        <f>VLOOKUP(B201,UniqueCCOQueueCodes!$A$2:$F$554,4,FALSE)</f>
        <v>Primary</v>
      </c>
      <c r="E201" t="str">
        <f>VLOOKUP(B201,UniqueCCOQueueCodes!A:F,6,0)</f>
        <v>Y</v>
      </c>
    </row>
    <row r="202" spans="1:5" x14ac:dyDescent="0.35">
      <c r="A202" t="s">
        <v>1467</v>
      </c>
      <c r="B202" t="s">
        <v>364</v>
      </c>
      <c r="C202" t="s">
        <v>365</v>
      </c>
      <c r="D202" t="str">
        <f>VLOOKUP(B202,UniqueCCOQueueCodes!$A$2:$F$554,4,FALSE)</f>
        <v>Primary</v>
      </c>
      <c r="E202" t="str">
        <f>VLOOKUP(B202,UniqueCCOQueueCodes!A:F,6,0)</f>
        <v>Y</v>
      </c>
    </row>
    <row r="203" spans="1:5" x14ac:dyDescent="0.35">
      <c r="A203" t="s">
        <v>1468</v>
      </c>
      <c r="B203" t="s">
        <v>391</v>
      </c>
      <c r="C203" t="s">
        <v>392</v>
      </c>
      <c r="D203" t="str">
        <f>VLOOKUP(B203,UniqueCCOQueueCodes!$A$2:$F$554,4,FALSE)</f>
        <v>Primary</v>
      </c>
      <c r="E203" t="str">
        <f>VLOOKUP(B203,UniqueCCOQueueCodes!A:F,6,0)</f>
        <v>Y</v>
      </c>
    </row>
    <row r="204" spans="1:5" x14ac:dyDescent="0.35">
      <c r="A204" t="s">
        <v>1469</v>
      </c>
      <c r="B204" t="s">
        <v>242</v>
      </c>
      <c r="C204" t="s">
        <v>243</v>
      </c>
      <c r="D204" t="str">
        <f>VLOOKUP(B204,UniqueCCOQueueCodes!$A$2:$F$554,4,FALSE)</f>
        <v>Midrange</v>
      </c>
      <c r="E204" t="str">
        <f>VLOOKUP(B204,UniqueCCOQueueCodes!A:F,6,0)</f>
        <v>Y</v>
      </c>
    </row>
    <row r="205" spans="1:5" x14ac:dyDescent="0.35">
      <c r="A205" t="s">
        <v>1470</v>
      </c>
      <c r="B205" t="s">
        <v>242</v>
      </c>
      <c r="C205" t="s">
        <v>243</v>
      </c>
      <c r="D205" t="str">
        <f>VLOOKUP(B205,UniqueCCOQueueCodes!$A$2:$F$554,4,FALSE)</f>
        <v>Midrange</v>
      </c>
      <c r="E205" t="str">
        <f>VLOOKUP(B205,UniqueCCOQueueCodes!A:F,6,0)</f>
        <v>Y</v>
      </c>
    </row>
    <row r="206" spans="1:5" x14ac:dyDescent="0.35">
      <c r="A206" t="s">
        <v>1471</v>
      </c>
      <c r="B206" t="s">
        <v>242</v>
      </c>
      <c r="C206" t="s">
        <v>243</v>
      </c>
      <c r="D206" t="str">
        <f>VLOOKUP(B206,UniqueCCOQueueCodes!$A$2:$F$554,4,FALSE)</f>
        <v>Midrange</v>
      </c>
      <c r="E206" t="str">
        <f>VLOOKUP(B206,UniqueCCOQueueCodes!A:F,6,0)</f>
        <v>Y</v>
      </c>
    </row>
    <row r="207" spans="1:5" x14ac:dyDescent="0.35">
      <c r="A207" t="s">
        <v>1472</v>
      </c>
      <c r="B207" t="s">
        <v>408</v>
      </c>
      <c r="C207" t="s">
        <v>409</v>
      </c>
      <c r="D207" t="str">
        <f>VLOOKUP(B207,UniqueCCOQueueCodes!$A$2:$F$554,4,FALSE)</f>
        <v>Primary</v>
      </c>
      <c r="E207" t="str">
        <f>VLOOKUP(B207,UniqueCCOQueueCodes!A:F,6,0)</f>
        <v>Y</v>
      </c>
    </row>
    <row r="208" spans="1:5" x14ac:dyDescent="0.35">
      <c r="A208" t="s">
        <v>1473</v>
      </c>
      <c r="B208" t="s">
        <v>1245</v>
      </c>
      <c r="C208" t="s">
        <v>1246</v>
      </c>
      <c r="D208">
        <f>VLOOKUP(B208,UniqueCCOQueueCodes!$A$2:$F$554,4,FALSE)</f>
        <v>0</v>
      </c>
      <c r="E208" t="str">
        <f>VLOOKUP(B208,UniqueCCOQueueCodes!A:F,6,0)</f>
        <v>N</v>
      </c>
    </row>
    <row r="209" spans="1:5" x14ac:dyDescent="0.35">
      <c r="A209" t="s">
        <v>1474</v>
      </c>
      <c r="B209" t="s">
        <v>422</v>
      </c>
      <c r="C209" t="s">
        <v>423</v>
      </c>
      <c r="D209" t="str">
        <f>VLOOKUP(B209,UniqueCCOQueueCodes!$A$2:$F$554,4,FALSE)</f>
        <v>Primary</v>
      </c>
      <c r="E209" t="str">
        <f>VLOOKUP(B209,UniqueCCOQueueCodes!A:F,6,0)</f>
        <v>Y</v>
      </c>
    </row>
    <row r="210" spans="1:5" x14ac:dyDescent="0.35">
      <c r="A210" t="s">
        <v>1475</v>
      </c>
      <c r="B210" t="s">
        <v>422</v>
      </c>
      <c r="C210" t="s">
        <v>423</v>
      </c>
      <c r="D210" t="str">
        <f>VLOOKUP(B210,UniqueCCOQueueCodes!$A$2:$F$554,4,FALSE)</f>
        <v>Primary</v>
      </c>
      <c r="E210" t="str">
        <f>VLOOKUP(B210,UniqueCCOQueueCodes!A:F,6,0)</f>
        <v>Y</v>
      </c>
    </row>
    <row r="211" spans="1:5" x14ac:dyDescent="0.35">
      <c r="A211" t="s">
        <v>1476</v>
      </c>
      <c r="D211" t="e">
        <f>VLOOKUP(B211,UniqueCCOQueueCodes!$A$2:$F$554,4,FALSE)</f>
        <v>#N/A</v>
      </c>
      <c r="E211" t="e">
        <f>VLOOKUP(B211,UniqueCCOQueueCodes!A:F,6,0)</f>
        <v>#N/A</v>
      </c>
    </row>
    <row r="212" spans="1:5" x14ac:dyDescent="0.35">
      <c r="A212" t="s">
        <v>1477</v>
      </c>
      <c r="D212" t="e">
        <f>VLOOKUP(B212,UniqueCCOQueueCodes!$A$2:$F$554,4,FALSE)</f>
        <v>#N/A</v>
      </c>
      <c r="E212" t="e">
        <f>VLOOKUP(B212,UniqueCCOQueueCodes!A:F,6,0)</f>
        <v>#N/A</v>
      </c>
    </row>
    <row r="213" spans="1:5" x14ac:dyDescent="0.35">
      <c r="A213" t="s">
        <v>1478</v>
      </c>
      <c r="B213" t="s">
        <v>527</v>
      </c>
      <c r="C213" t="s">
        <v>528</v>
      </c>
      <c r="D213" t="str">
        <f>VLOOKUP(B213,UniqueCCOQueueCodes!$A$2:$F$554,4,FALSE)</f>
        <v>Server</v>
      </c>
      <c r="E213" t="str">
        <f>VLOOKUP(B213,UniqueCCOQueueCodes!A:F,6,0)</f>
        <v>Y</v>
      </c>
    </row>
    <row r="214" spans="1:5" x14ac:dyDescent="0.35">
      <c r="A214" t="s">
        <v>1479</v>
      </c>
      <c r="B214" t="s">
        <v>527</v>
      </c>
      <c r="C214" t="s">
        <v>528</v>
      </c>
      <c r="D214" t="str">
        <f>VLOOKUP(B214,UniqueCCOQueueCodes!$A$2:$F$554,4,FALSE)</f>
        <v>Server</v>
      </c>
      <c r="E214" t="str">
        <f>VLOOKUP(B214,UniqueCCOQueueCodes!A:F,6,0)</f>
        <v>Y</v>
      </c>
    </row>
    <row r="215" spans="1:5" x14ac:dyDescent="0.35">
      <c r="A215" t="s">
        <v>1480</v>
      </c>
      <c r="B215" t="s">
        <v>638</v>
      </c>
      <c r="C215" t="s">
        <v>639</v>
      </c>
      <c r="D215" t="str">
        <f>VLOOKUP(B215,UniqueCCOQueueCodes!$A$2:$F$554,4,FALSE)</f>
        <v>Storage</v>
      </c>
      <c r="E215" t="str">
        <f>VLOOKUP(B215,UniqueCCOQueueCodes!A:F,6,0)</f>
        <v>Y</v>
      </c>
    </row>
    <row r="216" spans="1:5" x14ac:dyDescent="0.35">
      <c r="A216" t="s">
        <v>1481</v>
      </c>
      <c r="B216" t="s">
        <v>638</v>
      </c>
      <c r="C216" t="s">
        <v>639</v>
      </c>
      <c r="D216" t="str">
        <f>VLOOKUP(B216,UniqueCCOQueueCodes!$A$2:$F$554,4,FALSE)</f>
        <v>Storage</v>
      </c>
      <c r="E216" t="str">
        <f>VLOOKUP(B216,UniqueCCOQueueCodes!A:F,6,0)</f>
        <v>Y</v>
      </c>
    </row>
    <row r="217" spans="1:5" x14ac:dyDescent="0.35">
      <c r="A217" t="s">
        <v>1482</v>
      </c>
      <c r="B217" t="s">
        <v>262</v>
      </c>
      <c r="C217" t="s">
        <v>263</v>
      </c>
      <c r="D217" t="str">
        <f>VLOOKUP(B217,UniqueCCOQueueCodes!$A$2:$F$554,4,FALSE)</f>
        <v>Midrange</v>
      </c>
      <c r="E217" t="str">
        <f>VLOOKUP(B217,UniqueCCOQueueCodes!A:F,6,0)</f>
        <v>Y</v>
      </c>
    </row>
    <row r="218" spans="1:5" x14ac:dyDescent="0.35">
      <c r="A218" t="s">
        <v>1483</v>
      </c>
      <c r="D218" t="e">
        <f>VLOOKUP(B218,UniqueCCOQueueCodes!$A$2:$F$554,4,FALSE)</f>
        <v>#N/A</v>
      </c>
      <c r="E218" t="e">
        <f>VLOOKUP(B218,UniqueCCOQueueCodes!A:F,6,0)</f>
        <v>#N/A</v>
      </c>
    </row>
    <row r="219" spans="1:5" x14ac:dyDescent="0.35">
      <c r="A219" t="s">
        <v>1484</v>
      </c>
      <c r="D219" t="e">
        <f>VLOOKUP(B219,UniqueCCOQueueCodes!$A$2:$F$554,4,FALSE)</f>
        <v>#N/A</v>
      </c>
      <c r="E219" t="e">
        <f>VLOOKUP(B219,UniqueCCOQueueCodes!A:F,6,0)</f>
        <v>#N/A</v>
      </c>
    </row>
    <row r="220" spans="1:5" x14ac:dyDescent="0.35">
      <c r="A220" t="s">
        <v>1485</v>
      </c>
      <c r="B220" t="s">
        <v>69</v>
      </c>
      <c r="C220" t="s">
        <v>70</v>
      </c>
      <c r="D220" t="str">
        <f>VLOOKUP(B220,UniqueCCOQueueCodes!$A$2:$F$554,4,FALSE)</f>
        <v>DPD</v>
      </c>
      <c r="E220" t="str">
        <f>VLOOKUP(B220,UniqueCCOQueueCodes!A:F,6,0)</f>
        <v>Y</v>
      </c>
    </row>
    <row r="221" spans="1:5" x14ac:dyDescent="0.35">
      <c r="A221" t="s">
        <v>1486</v>
      </c>
      <c r="B221" t="s">
        <v>310</v>
      </c>
      <c r="C221" t="s">
        <v>311</v>
      </c>
      <c r="D221" t="str">
        <f>VLOOKUP(B221,UniqueCCOQueueCodes!$A$2:$F$554,4,FALSE)</f>
        <v>Primary</v>
      </c>
      <c r="E221" t="str">
        <f>VLOOKUP(B221,UniqueCCOQueueCodes!A:F,6,0)</f>
        <v>Y</v>
      </c>
    </row>
    <row r="222" spans="1:5" x14ac:dyDescent="0.35">
      <c r="A222" t="s">
        <v>1487</v>
      </c>
      <c r="D222" t="e">
        <f>VLOOKUP(B222,UniqueCCOQueueCodes!$A$2:$F$554,4,FALSE)</f>
        <v>#N/A</v>
      </c>
      <c r="E222" t="e">
        <f>VLOOKUP(B222,UniqueCCOQueueCodes!A:F,6,0)</f>
        <v>#N/A</v>
      </c>
    </row>
    <row r="223" spans="1:5" x14ac:dyDescent="0.35">
      <c r="A223" t="s">
        <v>1488</v>
      </c>
      <c r="B223" t="s">
        <v>76</v>
      </c>
      <c r="C223" t="s">
        <v>77</v>
      </c>
      <c r="D223" t="str">
        <f>VLOOKUP(B223,UniqueCCOQueueCodes!$A$2:$F$554,4,FALSE)</f>
        <v>DPD</v>
      </c>
      <c r="E223" t="str">
        <f>VLOOKUP(B223,UniqueCCOQueueCodes!A:F,6,0)</f>
        <v>Y</v>
      </c>
    </row>
    <row r="224" spans="1:5" x14ac:dyDescent="0.35">
      <c r="A224" t="s">
        <v>1489</v>
      </c>
      <c r="B224" t="s">
        <v>76</v>
      </c>
      <c r="C224" t="s">
        <v>77</v>
      </c>
      <c r="D224" t="str">
        <f>VLOOKUP(B224,UniqueCCOQueueCodes!$A$2:$F$554,4,FALSE)</f>
        <v>DPD</v>
      </c>
      <c r="E224" t="str">
        <f>VLOOKUP(B224,UniqueCCOQueueCodes!A:F,6,0)</f>
        <v>Y</v>
      </c>
    </row>
    <row r="225" spans="1:5" x14ac:dyDescent="0.35">
      <c r="A225" t="s">
        <v>1490</v>
      </c>
      <c r="B225" t="s">
        <v>76</v>
      </c>
      <c r="C225" t="s">
        <v>77</v>
      </c>
      <c r="D225" t="str">
        <f>VLOOKUP(B225,UniqueCCOQueueCodes!$A$2:$F$554,4,FALSE)</f>
        <v>DPD</v>
      </c>
      <c r="E225" t="str">
        <f>VLOOKUP(B225,UniqueCCOQueueCodes!A:F,6,0)</f>
        <v>Y</v>
      </c>
    </row>
    <row r="226" spans="1:5" x14ac:dyDescent="0.35">
      <c r="A226" t="s">
        <v>1491</v>
      </c>
      <c r="B226" t="s">
        <v>328</v>
      </c>
      <c r="C226" t="s">
        <v>329</v>
      </c>
      <c r="D226" t="str">
        <f>VLOOKUP(B226,UniqueCCOQueueCodes!$A$2:$F$554,4,FALSE)</f>
        <v>Primary</v>
      </c>
      <c r="E226" t="str">
        <f>VLOOKUP(B226,UniqueCCOQueueCodes!A:F,6,0)</f>
        <v>Y</v>
      </c>
    </row>
    <row r="227" spans="1:5" x14ac:dyDescent="0.35">
      <c r="A227" t="s">
        <v>1492</v>
      </c>
      <c r="B227" t="s">
        <v>95</v>
      </c>
      <c r="C227" t="s">
        <v>96</v>
      </c>
      <c r="D227" t="str">
        <f>VLOOKUP(B227,UniqueCCOQueueCodes!$A$2:$F$554,4,FALSE)</f>
        <v>DPD</v>
      </c>
      <c r="E227" t="str">
        <f>VLOOKUP(B227,UniqueCCOQueueCodes!A:F,6,0)</f>
        <v>Y</v>
      </c>
    </row>
    <row r="228" spans="1:5" x14ac:dyDescent="0.35">
      <c r="A228" t="s">
        <v>1493</v>
      </c>
      <c r="B228" t="s">
        <v>330</v>
      </c>
      <c r="C228" t="s">
        <v>331</v>
      </c>
      <c r="D228" t="str">
        <f>VLOOKUP(B228,UniqueCCOQueueCodes!$A$2:$F$554,4,FALSE)</f>
        <v>Primary</v>
      </c>
      <c r="E228" t="str">
        <f>VLOOKUP(B228,UniqueCCOQueueCodes!A:F,6,0)</f>
        <v>Y</v>
      </c>
    </row>
    <row r="229" spans="1:5" x14ac:dyDescent="0.35">
      <c r="A229" t="s">
        <v>1494</v>
      </c>
      <c r="B229" t="s">
        <v>332</v>
      </c>
      <c r="C229" t="s">
        <v>333</v>
      </c>
      <c r="D229" t="str">
        <f>VLOOKUP(B229,UniqueCCOQueueCodes!$A$2:$F$554,4,FALSE)</f>
        <v>Primary</v>
      </c>
      <c r="E229" t="str">
        <f>VLOOKUP(B229,UniqueCCOQueueCodes!A:F,6,0)</f>
        <v>Y</v>
      </c>
    </row>
    <row r="230" spans="1:5" x14ac:dyDescent="0.35">
      <c r="A230" t="s">
        <v>1495</v>
      </c>
      <c r="B230" t="s">
        <v>332</v>
      </c>
      <c r="C230" t="s">
        <v>333</v>
      </c>
      <c r="D230" t="str">
        <f>VLOOKUP(B230,UniqueCCOQueueCodes!$A$2:$F$554,4,FALSE)</f>
        <v>Primary</v>
      </c>
      <c r="E230" t="str">
        <f>VLOOKUP(B230,UniqueCCOQueueCodes!A:F,6,0)</f>
        <v>Y</v>
      </c>
    </row>
    <row r="231" spans="1:5" x14ac:dyDescent="0.35">
      <c r="A231" t="s">
        <v>1496</v>
      </c>
      <c r="B231" t="s">
        <v>1056</v>
      </c>
      <c r="C231" t="s">
        <v>1057</v>
      </c>
      <c r="D231">
        <f>VLOOKUP(B231,UniqueCCOQueueCodes!$A$2:$F$554,4,FALSE)</f>
        <v>0</v>
      </c>
      <c r="E231" t="str">
        <f>VLOOKUP(B231,UniqueCCOQueueCodes!A:F,6,0)</f>
        <v>N</v>
      </c>
    </row>
    <row r="232" spans="1:5" x14ac:dyDescent="0.35">
      <c r="A232" t="s">
        <v>1497</v>
      </c>
      <c r="B232" t="s">
        <v>1056</v>
      </c>
      <c r="C232" t="s">
        <v>1057</v>
      </c>
      <c r="D232">
        <f>VLOOKUP(B232,UniqueCCOQueueCodes!$A$2:$F$554,4,FALSE)</f>
        <v>0</v>
      </c>
      <c r="E232" t="str">
        <f>VLOOKUP(B232,UniqueCCOQueueCodes!A:F,6,0)</f>
        <v>N</v>
      </c>
    </row>
    <row r="233" spans="1:5" x14ac:dyDescent="0.35">
      <c r="A233" t="s">
        <v>1498</v>
      </c>
      <c r="B233" t="s">
        <v>1056</v>
      </c>
      <c r="C233" t="s">
        <v>1057</v>
      </c>
      <c r="D233">
        <f>VLOOKUP(B233,UniqueCCOQueueCodes!$A$2:$F$554,4,FALSE)</f>
        <v>0</v>
      </c>
      <c r="E233" t="str">
        <f>VLOOKUP(B233,UniqueCCOQueueCodes!A:F,6,0)</f>
        <v>N</v>
      </c>
    </row>
    <row r="234" spans="1:5" x14ac:dyDescent="0.35">
      <c r="A234" t="s">
        <v>1499</v>
      </c>
      <c r="B234" t="s">
        <v>156</v>
      </c>
      <c r="C234" t="s">
        <v>157</v>
      </c>
      <c r="D234" t="str">
        <f>VLOOKUP(B234,UniqueCCOQueueCodes!$A$2:$F$554,4,FALSE)</f>
        <v>E2E</v>
      </c>
      <c r="E234" t="str">
        <f>VLOOKUP(B234,UniqueCCOQueueCodes!A:F,6,0)</f>
        <v>Y</v>
      </c>
    </row>
    <row r="235" spans="1:5" x14ac:dyDescent="0.35">
      <c r="A235" t="s">
        <v>1500</v>
      </c>
      <c r="D235" t="e">
        <f>VLOOKUP(B235,UniqueCCOQueueCodes!$A$2:$F$554,4,FALSE)</f>
        <v>#N/A</v>
      </c>
      <c r="E235" t="e">
        <f>VLOOKUP(B235,UniqueCCOQueueCodes!A:F,6,0)</f>
        <v>#N/A</v>
      </c>
    </row>
    <row r="236" spans="1:5" x14ac:dyDescent="0.35">
      <c r="A236" t="s">
        <v>1501</v>
      </c>
      <c r="B236" t="s">
        <v>192</v>
      </c>
      <c r="C236" t="s">
        <v>193</v>
      </c>
      <c r="D236" t="str">
        <f>VLOOKUP(B236,UniqueCCOQueueCodes!$A$2:$F$554,4,FALSE)</f>
        <v>GNCS</v>
      </c>
      <c r="E236" t="str">
        <f>VLOOKUP(B236,UniqueCCOQueueCodes!A:F,6,0)</f>
        <v>Y</v>
      </c>
    </row>
    <row r="237" spans="1:5" x14ac:dyDescent="0.35">
      <c r="A237" t="s">
        <v>1502</v>
      </c>
      <c r="B237" t="s">
        <v>682</v>
      </c>
      <c r="C237" t="s">
        <v>683</v>
      </c>
      <c r="D237" t="str">
        <f>VLOOKUP(B237,UniqueCCOQueueCodes!$A$2:$F$554,4,FALSE)</f>
        <v>UDS</v>
      </c>
      <c r="E237" t="str">
        <f>VLOOKUP(B237,UniqueCCOQueueCodes!A:F,6,0)</f>
        <v>Y</v>
      </c>
    </row>
    <row r="238" spans="1:5" x14ac:dyDescent="0.35">
      <c r="A238" t="s">
        <v>1503</v>
      </c>
      <c r="B238" t="s">
        <v>682</v>
      </c>
      <c r="C238" t="s">
        <v>683</v>
      </c>
      <c r="D238" t="str">
        <f>VLOOKUP(B238,UniqueCCOQueueCodes!$A$2:$F$554,4,FALSE)</f>
        <v>UDS</v>
      </c>
      <c r="E238" t="str">
        <f>VLOOKUP(B238,UniqueCCOQueueCodes!A:F,6,0)</f>
        <v>Y</v>
      </c>
    </row>
    <row r="239" spans="1:5" x14ac:dyDescent="0.35">
      <c r="A239" t="s">
        <v>1504</v>
      </c>
      <c r="B239" t="s">
        <v>355</v>
      </c>
      <c r="C239" t="s">
        <v>356</v>
      </c>
      <c r="D239" t="str">
        <f>VLOOKUP(B239,UniqueCCOQueueCodes!$A$2:$F$554,4,FALSE)</f>
        <v>Primary</v>
      </c>
      <c r="E239" t="str">
        <f>VLOOKUP(B239,UniqueCCOQueueCodes!A:F,6,0)</f>
        <v>Y</v>
      </c>
    </row>
    <row r="240" spans="1:5" x14ac:dyDescent="0.35">
      <c r="A240" t="s">
        <v>1505</v>
      </c>
      <c r="B240" t="s">
        <v>114</v>
      </c>
      <c r="C240" t="s">
        <v>115</v>
      </c>
      <c r="D240" t="str">
        <f>VLOOKUP(B240,UniqueCCOQueueCodes!$A$2:$F$554,4,FALSE)</f>
        <v>DPD</v>
      </c>
      <c r="E240" t="str">
        <f>VLOOKUP(B240,UniqueCCOQueueCodes!A:F,6,0)</f>
        <v>Y</v>
      </c>
    </row>
    <row r="241" spans="1:5" x14ac:dyDescent="0.35">
      <c r="A241" t="s">
        <v>1506</v>
      </c>
      <c r="B241" t="s">
        <v>114</v>
      </c>
      <c r="C241" t="s">
        <v>115</v>
      </c>
      <c r="D241" t="str">
        <f>VLOOKUP(B241,UniqueCCOQueueCodes!$A$2:$F$554,4,FALSE)</f>
        <v>DPD</v>
      </c>
      <c r="E241" t="str">
        <f>VLOOKUP(B241,UniqueCCOQueueCodes!A:F,6,0)</f>
        <v>Y</v>
      </c>
    </row>
    <row r="242" spans="1:5" x14ac:dyDescent="0.35">
      <c r="A242" t="s">
        <v>1507</v>
      </c>
      <c r="B242" t="s">
        <v>114</v>
      </c>
      <c r="C242" t="s">
        <v>115</v>
      </c>
      <c r="D242" t="str">
        <f>VLOOKUP(B242,UniqueCCOQueueCodes!$A$2:$F$554,4,FALSE)</f>
        <v>DPD</v>
      </c>
      <c r="E242" t="str">
        <f>VLOOKUP(B242,UniqueCCOQueueCodes!A:F,6,0)</f>
        <v>Y</v>
      </c>
    </row>
    <row r="243" spans="1:5" x14ac:dyDescent="0.35">
      <c r="A243" t="s">
        <v>1508</v>
      </c>
      <c r="B243" t="s">
        <v>114</v>
      </c>
      <c r="C243" t="s">
        <v>115</v>
      </c>
      <c r="D243" t="str">
        <f>VLOOKUP(B243,UniqueCCOQueueCodes!$A$2:$F$554,4,FALSE)</f>
        <v>DPD</v>
      </c>
      <c r="E243" t="str">
        <f>VLOOKUP(B243,UniqueCCOQueueCodes!A:F,6,0)</f>
        <v>Y</v>
      </c>
    </row>
    <row r="244" spans="1:5" x14ac:dyDescent="0.35">
      <c r="A244" t="s">
        <v>1509</v>
      </c>
      <c r="B244" t="s">
        <v>705</v>
      </c>
      <c r="C244" t="s">
        <v>706</v>
      </c>
      <c r="D244" t="str">
        <f>VLOOKUP(B244,UniqueCCOQueueCodes!$A$2:$F$554,4,FALSE)</f>
        <v>UDS</v>
      </c>
      <c r="E244" t="str">
        <f>VLOOKUP(B244,UniqueCCOQueueCodes!A:F,6,0)</f>
        <v>Y</v>
      </c>
    </row>
    <row r="245" spans="1:5" x14ac:dyDescent="0.35">
      <c r="A245" t="s">
        <v>1510</v>
      </c>
      <c r="B245" t="s">
        <v>705</v>
      </c>
      <c r="C245" t="s">
        <v>706</v>
      </c>
      <c r="D245" t="str">
        <f>VLOOKUP(B245,UniqueCCOQueueCodes!$A$2:$F$554,4,FALSE)</f>
        <v>UDS</v>
      </c>
      <c r="E245" t="str">
        <f>VLOOKUP(B245,UniqueCCOQueueCodes!A:F,6,0)</f>
        <v>Y</v>
      </c>
    </row>
    <row r="246" spans="1:5" x14ac:dyDescent="0.35">
      <c r="A246" t="s">
        <v>1511</v>
      </c>
      <c r="B246" t="s">
        <v>131</v>
      </c>
      <c r="C246" t="s">
        <v>132</v>
      </c>
      <c r="D246" t="str">
        <f>VLOOKUP(B246,UniqueCCOQueueCodes!$A$2:$F$554,4,FALSE)</f>
        <v>DPD</v>
      </c>
      <c r="E246" t="str">
        <f>VLOOKUP(B246,UniqueCCOQueueCodes!A:F,6,0)</f>
        <v>Y</v>
      </c>
    </row>
    <row r="247" spans="1:5" x14ac:dyDescent="0.35">
      <c r="A247" t="s">
        <v>1512</v>
      </c>
      <c r="B247" t="s">
        <v>140</v>
      </c>
      <c r="C247" t="s">
        <v>141</v>
      </c>
      <c r="D247" t="str">
        <f>VLOOKUP(B247,UniqueCCOQueueCodes!$A$2:$F$554,4,FALSE)</f>
        <v>DPD</v>
      </c>
      <c r="E247" t="str">
        <f>VLOOKUP(B247,UniqueCCOQueueCodes!A:F,6,0)</f>
        <v>Y</v>
      </c>
    </row>
    <row r="248" spans="1:5" x14ac:dyDescent="0.35">
      <c r="A248" t="s">
        <v>1513</v>
      </c>
      <c r="B248" t="s">
        <v>140</v>
      </c>
      <c r="C248" t="s">
        <v>141</v>
      </c>
      <c r="D248" t="str">
        <f>VLOOKUP(B248,UniqueCCOQueueCodes!$A$2:$F$554,4,FALSE)</f>
        <v>DPD</v>
      </c>
      <c r="E248" t="str">
        <f>VLOOKUP(B248,UniqueCCOQueueCodes!A:F,6,0)</f>
        <v>Y</v>
      </c>
    </row>
    <row r="249" spans="1:5" x14ac:dyDescent="0.35">
      <c r="A249" t="s">
        <v>1514</v>
      </c>
      <c r="D249" t="e">
        <f>VLOOKUP(B249,UniqueCCOQueueCodes!$A$2:$F$554,4,FALSE)</f>
        <v>#N/A</v>
      </c>
      <c r="E249" t="e">
        <f>VLOOKUP(B249,UniqueCCOQueueCodes!A:F,6,0)</f>
        <v>#N/A</v>
      </c>
    </row>
    <row r="250" spans="1:5" x14ac:dyDescent="0.35">
      <c r="A250" t="s">
        <v>1515</v>
      </c>
      <c r="B250" t="s">
        <v>339</v>
      </c>
      <c r="C250" t="s">
        <v>340</v>
      </c>
      <c r="D250" t="str">
        <f>VLOOKUP(B250,UniqueCCOQueueCodes!$A$2:$F$554,4,FALSE)</f>
        <v>Primary</v>
      </c>
      <c r="E250" t="str">
        <f>VLOOKUP(B250,UniqueCCOQueueCodes!A:F,6,0)</f>
        <v>Y</v>
      </c>
    </row>
    <row r="251" spans="1:5" x14ac:dyDescent="0.35">
      <c r="A251" t="s">
        <v>1516</v>
      </c>
      <c r="B251" t="s">
        <v>227</v>
      </c>
      <c r="C251" t="s">
        <v>228</v>
      </c>
      <c r="D251" t="str">
        <f>VLOOKUP(B251,UniqueCCOQueueCodes!$A$2:$F$554,4,FALSE)</f>
        <v>GNCS</v>
      </c>
      <c r="E251" t="str">
        <f>VLOOKUP(B251,UniqueCCOQueueCodes!A:F,6,0)</f>
        <v>Y</v>
      </c>
    </row>
    <row r="252" spans="1:5" x14ac:dyDescent="0.35">
      <c r="A252" t="s">
        <v>1517</v>
      </c>
      <c r="B252" t="s">
        <v>227</v>
      </c>
      <c r="C252" t="s">
        <v>228</v>
      </c>
      <c r="D252" t="str">
        <f>VLOOKUP(B252,UniqueCCOQueueCodes!$A$2:$F$554,4,FALSE)</f>
        <v>GNCS</v>
      </c>
      <c r="E252" t="str">
        <f>VLOOKUP(B252,UniqueCCOQueueCodes!A:F,6,0)</f>
        <v>Y</v>
      </c>
    </row>
    <row r="253" spans="1:5" x14ac:dyDescent="0.35">
      <c r="A253" t="s">
        <v>1518</v>
      </c>
      <c r="B253" t="s">
        <v>145</v>
      </c>
      <c r="C253" t="s">
        <v>146</v>
      </c>
      <c r="D253" t="str">
        <f>VLOOKUP(B253,UniqueCCOQueueCodes!$A$2:$F$554,4,FALSE)</f>
        <v>DPD</v>
      </c>
      <c r="E253" t="str">
        <f>VLOOKUP(B253,UniqueCCOQueueCodes!A:F,6,0)</f>
        <v>Y</v>
      </c>
    </row>
    <row r="254" spans="1:5" x14ac:dyDescent="0.35">
      <c r="A254" t="s">
        <v>1519</v>
      </c>
      <c r="B254" t="s">
        <v>364</v>
      </c>
      <c r="C254" t="s">
        <v>365</v>
      </c>
      <c r="D254" t="str">
        <f>VLOOKUP(B254,UniqueCCOQueueCodes!$A$2:$F$554,4,FALSE)</f>
        <v>Primary</v>
      </c>
      <c r="E254" t="str">
        <f>VLOOKUP(B254,UniqueCCOQueueCodes!A:F,6,0)</f>
        <v>Y</v>
      </c>
    </row>
    <row r="255" spans="1:5" x14ac:dyDescent="0.35">
      <c r="A255" t="s">
        <v>1520</v>
      </c>
      <c r="B255" t="s">
        <v>364</v>
      </c>
      <c r="C255" t="s">
        <v>365</v>
      </c>
      <c r="D255" t="str">
        <f>VLOOKUP(B255,UniqueCCOQueueCodes!$A$2:$F$554,4,FALSE)</f>
        <v>Primary</v>
      </c>
      <c r="E255" t="str">
        <f>VLOOKUP(B255,UniqueCCOQueueCodes!A:F,6,0)</f>
        <v>Y</v>
      </c>
    </row>
    <row r="256" spans="1:5" x14ac:dyDescent="0.35">
      <c r="A256" t="s">
        <v>1521</v>
      </c>
      <c r="B256" t="s">
        <v>364</v>
      </c>
      <c r="C256" t="s">
        <v>365</v>
      </c>
      <c r="D256" t="str">
        <f>VLOOKUP(B256,UniqueCCOQueueCodes!$A$2:$F$554,4,FALSE)</f>
        <v>Primary</v>
      </c>
      <c r="E256" t="str">
        <f>VLOOKUP(B256,UniqueCCOQueueCodes!A:F,6,0)</f>
        <v>Y</v>
      </c>
    </row>
    <row r="257" spans="1:5" x14ac:dyDescent="0.35">
      <c r="A257" t="s">
        <v>1522</v>
      </c>
      <c r="D257" t="e">
        <f>VLOOKUP(B257,UniqueCCOQueueCodes!$A$2:$F$554,4,FALSE)</f>
        <v>#N/A</v>
      </c>
      <c r="E257" t="e">
        <f>VLOOKUP(B257,UniqueCCOQueueCodes!A:F,6,0)</f>
        <v>#N/A</v>
      </c>
    </row>
    <row r="258" spans="1:5" x14ac:dyDescent="0.35">
      <c r="A258" t="s">
        <v>1523</v>
      </c>
      <c r="B258" t="s">
        <v>242</v>
      </c>
      <c r="C258" t="s">
        <v>243</v>
      </c>
      <c r="D258" t="str">
        <f>VLOOKUP(B258,UniqueCCOQueueCodes!$A$2:$F$554,4,FALSE)</f>
        <v>Midrange</v>
      </c>
      <c r="E258" t="str">
        <f>VLOOKUP(B258,UniqueCCOQueueCodes!A:F,6,0)</f>
        <v>Y</v>
      </c>
    </row>
    <row r="259" spans="1:5" x14ac:dyDescent="0.35">
      <c r="A259" t="s">
        <v>1524</v>
      </c>
      <c r="B259" t="s">
        <v>242</v>
      </c>
      <c r="C259" t="s">
        <v>243</v>
      </c>
      <c r="D259" t="str">
        <f>VLOOKUP(B259,UniqueCCOQueueCodes!$A$2:$F$554,4,FALSE)</f>
        <v>Midrange</v>
      </c>
      <c r="E259" t="str">
        <f>VLOOKUP(B259,UniqueCCOQueueCodes!A:F,6,0)</f>
        <v>Y</v>
      </c>
    </row>
    <row r="260" spans="1:5" x14ac:dyDescent="0.35">
      <c r="A260" t="s">
        <v>1525</v>
      </c>
      <c r="B260" t="s">
        <v>242</v>
      </c>
      <c r="C260" t="s">
        <v>243</v>
      </c>
      <c r="D260" t="str">
        <f>VLOOKUP(B260,UniqueCCOQueueCodes!$A$2:$F$554,4,FALSE)</f>
        <v>Midrange</v>
      </c>
      <c r="E260" t="str">
        <f>VLOOKUP(B260,UniqueCCOQueueCodes!A:F,6,0)</f>
        <v>Y</v>
      </c>
    </row>
    <row r="261" spans="1:5" x14ac:dyDescent="0.35">
      <c r="A261" t="s">
        <v>1526</v>
      </c>
      <c r="B261" t="s">
        <v>242</v>
      </c>
      <c r="C261" t="s">
        <v>243</v>
      </c>
      <c r="D261" t="str">
        <f>VLOOKUP(B261,UniqueCCOQueueCodes!$A$2:$F$554,4,FALSE)</f>
        <v>Midrange</v>
      </c>
      <c r="E261" t="str">
        <f>VLOOKUP(B261,UniqueCCOQueueCodes!A:F,6,0)</f>
        <v>Y</v>
      </c>
    </row>
    <row r="262" spans="1:5" x14ac:dyDescent="0.35">
      <c r="A262" t="s">
        <v>1527</v>
      </c>
      <c r="B262" t="s">
        <v>242</v>
      </c>
      <c r="C262" t="s">
        <v>243</v>
      </c>
      <c r="D262" t="str">
        <f>VLOOKUP(B262,UniqueCCOQueueCodes!$A$2:$F$554,4,FALSE)</f>
        <v>Midrange</v>
      </c>
      <c r="E262" t="str">
        <f>VLOOKUP(B262,UniqueCCOQueueCodes!A:F,6,0)</f>
        <v>Y</v>
      </c>
    </row>
    <row r="263" spans="1:5" x14ac:dyDescent="0.35">
      <c r="A263" t="s">
        <v>1528</v>
      </c>
      <c r="B263" t="s">
        <v>408</v>
      </c>
      <c r="C263" t="s">
        <v>409</v>
      </c>
      <c r="D263" t="str">
        <f>VLOOKUP(B263,UniqueCCOQueueCodes!$A$2:$F$554,4,FALSE)</f>
        <v>Primary</v>
      </c>
      <c r="E263" t="str">
        <f>VLOOKUP(B263,UniqueCCOQueueCodes!A:F,6,0)</f>
        <v>Y</v>
      </c>
    </row>
    <row r="264" spans="1:5" x14ac:dyDescent="0.35">
      <c r="A264" t="s">
        <v>1529</v>
      </c>
      <c r="B264" t="s">
        <v>422</v>
      </c>
      <c r="C264" t="s">
        <v>423</v>
      </c>
      <c r="D264" t="str">
        <f>VLOOKUP(B264,UniqueCCOQueueCodes!$A$2:$F$554,4,FALSE)</f>
        <v>Primary</v>
      </c>
      <c r="E264" t="str">
        <f>VLOOKUP(B264,UniqueCCOQueueCodes!A:F,6,0)</f>
        <v>Y</v>
      </c>
    </row>
    <row r="265" spans="1:5" x14ac:dyDescent="0.35">
      <c r="A265" t="s">
        <v>1530</v>
      </c>
      <c r="B265" t="s">
        <v>190</v>
      </c>
      <c r="C265" t="s">
        <v>191</v>
      </c>
      <c r="D265" t="str">
        <f>VLOOKUP(B265,UniqueCCOQueueCodes!$A$2:$F$554,4,FALSE)</f>
        <v>GNCS</v>
      </c>
      <c r="E265" t="str">
        <f>VLOOKUP(B265,UniqueCCOQueueCodes!A:F,6,0)</f>
        <v>Y</v>
      </c>
    </row>
    <row r="266" spans="1:5" x14ac:dyDescent="0.35">
      <c r="A266" t="s">
        <v>1531</v>
      </c>
      <c r="B266" t="s">
        <v>240</v>
      </c>
      <c r="C266" t="s">
        <v>241</v>
      </c>
      <c r="D266" t="str">
        <f>VLOOKUP(B266,UniqueCCOQueueCodes!$A$2:$F$554,4,FALSE)</f>
        <v>Midrange</v>
      </c>
      <c r="E266" t="str">
        <f>VLOOKUP(B266,UniqueCCOQueueCodes!A:F,6,0)</f>
        <v>Y</v>
      </c>
    </row>
    <row r="267" spans="1:5" x14ac:dyDescent="0.35">
      <c r="A267" t="s">
        <v>1532</v>
      </c>
      <c r="B267" t="s">
        <v>705</v>
      </c>
      <c r="C267" t="s">
        <v>706</v>
      </c>
      <c r="D267" t="str">
        <f>VLOOKUP(B267,UniqueCCOQueueCodes!$A$2:$F$554,4,FALSE)</f>
        <v>UDS</v>
      </c>
      <c r="E267" t="str">
        <f>VLOOKUP(B267,UniqueCCOQueueCodes!A:F,6,0)</f>
        <v>Y</v>
      </c>
    </row>
    <row r="268" spans="1:5" x14ac:dyDescent="0.35">
      <c r="A268" t="s">
        <v>1533</v>
      </c>
      <c r="B268" t="s">
        <v>364</v>
      </c>
      <c r="C268" t="s">
        <v>365</v>
      </c>
      <c r="D268" t="str">
        <f>VLOOKUP(B268,UniqueCCOQueueCodes!$A$2:$F$554,4,FALSE)</f>
        <v>Primary</v>
      </c>
      <c r="E268" t="str">
        <f>VLOOKUP(B268,UniqueCCOQueueCodes!A:F,6,0)</f>
        <v>Y</v>
      </c>
    </row>
    <row r="269" spans="1:5" x14ac:dyDescent="0.35">
      <c r="A269" t="s">
        <v>1534</v>
      </c>
      <c r="B269" t="s">
        <v>238</v>
      </c>
      <c r="C269" t="s">
        <v>239</v>
      </c>
      <c r="D269" t="str">
        <f>VLOOKUP(B269,UniqueCCOQueueCodes!$A$2:$F$554,4,FALSE)</f>
        <v>Midrange</v>
      </c>
      <c r="E269" t="str">
        <f>VLOOKUP(B269,UniqueCCOQueueCodes!A:F,6,0)</f>
        <v>Y</v>
      </c>
    </row>
    <row r="270" spans="1:5" x14ac:dyDescent="0.35">
      <c r="A270" t="s">
        <v>1535</v>
      </c>
      <c r="B270" t="s">
        <v>64</v>
      </c>
      <c r="C270" t="s">
        <v>65</v>
      </c>
      <c r="D270" t="str">
        <f>VLOOKUP(B270,UniqueCCOQueueCodes!$A$2:$F$554,4,FALSE)</f>
        <v>DPD</v>
      </c>
      <c r="E270" t="str">
        <f>VLOOKUP(B270,UniqueCCOQueueCodes!A:F,6,0)</f>
        <v>Y</v>
      </c>
    </row>
    <row r="271" spans="1:5" x14ac:dyDescent="0.35">
      <c r="A271" t="s">
        <v>1536</v>
      </c>
      <c r="B271" t="s">
        <v>64</v>
      </c>
      <c r="C271" t="s">
        <v>65</v>
      </c>
      <c r="D271" t="str">
        <f>VLOOKUP(B271,UniqueCCOQueueCodes!$A$2:$F$554,4,FALSE)</f>
        <v>DPD</v>
      </c>
      <c r="E271" t="str">
        <f>VLOOKUP(B271,UniqueCCOQueueCodes!A:F,6,0)</f>
        <v>Y</v>
      </c>
    </row>
    <row r="272" spans="1:5" x14ac:dyDescent="0.35">
      <c r="A272" t="s">
        <v>1537</v>
      </c>
      <c r="B272" t="s">
        <v>322</v>
      </c>
      <c r="C272" t="s">
        <v>323</v>
      </c>
      <c r="D272" t="str">
        <f>VLOOKUP(B272,UniqueCCOQueueCodes!$A$2:$F$554,4,FALSE)</f>
        <v>Primary</v>
      </c>
      <c r="E272" t="str">
        <f>VLOOKUP(B272,UniqueCCOQueueCodes!A:F,6,0)</f>
        <v>Y</v>
      </c>
    </row>
    <row r="273" spans="1:5" x14ac:dyDescent="0.35">
      <c r="A273" t="s">
        <v>1538</v>
      </c>
      <c r="B273" t="s">
        <v>322</v>
      </c>
      <c r="C273" t="s">
        <v>323</v>
      </c>
      <c r="D273" t="str">
        <f>VLOOKUP(B273,UniqueCCOQueueCodes!$A$2:$F$554,4,FALSE)</f>
        <v>Primary</v>
      </c>
      <c r="E273" t="str">
        <f>VLOOKUP(B273,UniqueCCOQueueCodes!A:F,6,0)</f>
        <v>Y</v>
      </c>
    </row>
    <row r="274" spans="1:5" x14ac:dyDescent="0.35">
      <c r="A274" t="s">
        <v>1539</v>
      </c>
      <c r="B274" t="s">
        <v>1052</v>
      </c>
      <c r="C274" t="s">
        <v>1407</v>
      </c>
      <c r="D274">
        <f>VLOOKUP(B274,UniqueCCOQueueCodes!$A$2:$F$554,4,FALSE)</f>
        <v>0</v>
      </c>
      <c r="E274" t="str">
        <f>VLOOKUP(B274,UniqueCCOQueueCodes!A:F,6,0)</f>
        <v>N</v>
      </c>
    </row>
    <row r="275" spans="1:5" x14ac:dyDescent="0.35">
      <c r="A275" t="s">
        <v>1540</v>
      </c>
      <c r="B275" t="s">
        <v>1052</v>
      </c>
      <c r="C275" t="s">
        <v>1407</v>
      </c>
      <c r="D275">
        <f>VLOOKUP(B275,UniqueCCOQueueCodes!$A$2:$F$554,4,FALSE)</f>
        <v>0</v>
      </c>
      <c r="E275" t="str">
        <f>VLOOKUP(B275,UniqueCCOQueueCodes!A:F,6,0)</f>
        <v>N</v>
      </c>
    </row>
    <row r="276" spans="1:5" x14ac:dyDescent="0.35">
      <c r="A276" t="s">
        <v>1541</v>
      </c>
      <c r="B276" t="s">
        <v>1052</v>
      </c>
      <c r="C276" t="s">
        <v>1407</v>
      </c>
      <c r="D276">
        <f>VLOOKUP(B276,UniqueCCOQueueCodes!$A$2:$F$554,4,FALSE)</f>
        <v>0</v>
      </c>
      <c r="E276" t="str">
        <f>VLOOKUP(B276,UniqueCCOQueueCodes!A:F,6,0)</f>
        <v>N</v>
      </c>
    </row>
    <row r="277" spans="1:5" x14ac:dyDescent="0.35">
      <c r="A277" t="s">
        <v>1542</v>
      </c>
      <c r="B277" t="s">
        <v>156</v>
      </c>
      <c r="C277" t="s">
        <v>157</v>
      </c>
      <c r="D277" t="str">
        <f>VLOOKUP(B277,UniqueCCOQueueCodes!$A$2:$F$554,4,FALSE)</f>
        <v>E2E</v>
      </c>
      <c r="E277" t="str">
        <f>VLOOKUP(B277,UniqueCCOQueueCodes!A:F,6,0)</f>
        <v>Y</v>
      </c>
    </row>
    <row r="278" spans="1:5" x14ac:dyDescent="0.35">
      <c r="A278" t="s">
        <v>1543</v>
      </c>
      <c r="B278" t="s">
        <v>156</v>
      </c>
      <c r="C278" t="s">
        <v>157</v>
      </c>
      <c r="D278" t="str">
        <f>VLOOKUP(B278,UniqueCCOQueueCodes!$A$2:$F$554,4,FALSE)</f>
        <v>E2E</v>
      </c>
      <c r="E278" t="str">
        <f>VLOOKUP(B278,UniqueCCOQueueCodes!A:F,6,0)</f>
        <v>Y</v>
      </c>
    </row>
    <row r="279" spans="1:5" x14ac:dyDescent="0.35">
      <c r="A279" t="s">
        <v>1544</v>
      </c>
      <c r="B279" t="s">
        <v>339</v>
      </c>
      <c r="C279" t="s">
        <v>340</v>
      </c>
      <c r="D279" t="str">
        <f>VLOOKUP(B279,UniqueCCOQueueCodes!$A$2:$F$554,4,FALSE)</f>
        <v>Primary</v>
      </c>
      <c r="E279" t="str">
        <f>VLOOKUP(B279,UniqueCCOQueueCodes!A:F,6,0)</f>
        <v>Y</v>
      </c>
    </row>
    <row r="280" spans="1:5" x14ac:dyDescent="0.35">
      <c r="A280" t="s">
        <v>1545</v>
      </c>
      <c r="B280" t="s">
        <v>339</v>
      </c>
      <c r="C280" t="s">
        <v>340</v>
      </c>
      <c r="D280" t="str">
        <f>VLOOKUP(B280,UniqueCCOQueueCodes!$A$2:$F$554,4,FALSE)</f>
        <v>Primary</v>
      </c>
      <c r="E280" t="str">
        <f>VLOOKUP(B280,UniqueCCOQueueCodes!A:F,6,0)</f>
        <v>Y</v>
      </c>
    </row>
    <row r="281" spans="1:5" x14ac:dyDescent="0.35">
      <c r="A281" t="s">
        <v>1546</v>
      </c>
      <c r="B281" t="s">
        <v>339</v>
      </c>
      <c r="C281" t="s">
        <v>340</v>
      </c>
      <c r="D281" t="str">
        <f>VLOOKUP(B281,UniqueCCOQueueCodes!$A$2:$F$554,4,FALSE)</f>
        <v>Primary</v>
      </c>
      <c r="E281" t="str">
        <f>VLOOKUP(B281,UniqueCCOQueueCodes!A:F,6,0)</f>
        <v>Y</v>
      </c>
    </row>
    <row r="282" spans="1:5" x14ac:dyDescent="0.35">
      <c r="A282" t="s">
        <v>1547</v>
      </c>
      <c r="B282" t="s">
        <v>339</v>
      </c>
      <c r="C282" t="s">
        <v>340</v>
      </c>
      <c r="D282" t="str">
        <f>VLOOKUP(B282,UniqueCCOQueueCodes!$A$2:$F$554,4,FALSE)</f>
        <v>Primary</v>
      </c>
      <c r="E282" t="str">
        <f>VLOOKUP(B282,UniqueCCOQueueCodes!A:F,6,0)</f>
        <v>Y</v>
      </c>
    </row>
    <row r="283" spans="1:5" x14ac:dyDescent="0.35">
      <c r="A283" t="s">
        <v>1548</v>
      </c>
      <c r="B283" t="s">
        <v>705</v>
      </c>
      <c r="C283" t="s">
        <v>706</v>
      </c>
      <c r="D283" t="str">
        <f>VLOOKUP(B283,UniqueCCOQueueCodes!$A$2:$F$554,4,FALSE)</f>
        <v>UDS</v>
      </c>
      <c r="E283" t="str">
        <f>VLOOKUP(B283,UniqueCCOQueueCodes!A:F,6,0)</f>
        <v>Y</v>
      </c>
    </row>
    <row r="284" spans="1:5" x14ac:dyDescent="0.35">
      <c r="A284" t="s">
        <v>1549</v>
      </c>
      <c r="B284" t="s">
        <v>705</v>
      </c>
      <c r="C284" t="s">
        <v>706</v>
      </c>
      <c r="D284" t="str">
        <f>VLOOKUP(B284,UniqueCCOQueueCodes!$A$2:$F$554,4,FALSE)</f>
        <v>UDS</v>
      </c>
      <c r="E284" t="str">
        <f>VLOOKUP(B284,UniqueCCOQueueCodes!A:F,6,0)</f>
        <v>Y</v>
      </c>
    </row>
    <row r="285" spans="1:5" x14ac:dyDescent="0.35">
      <c r="A285" t="s">
        <v>1550</v>
      </c>
      <c r="B285" t="s">
        <v>705</v>
      </c>
      <c r="C285" t="s">
        <v>706</v>
      </c>
      <c r="D285" t="str">
        <f>VLOOKUP(B285,UniqueCCOQueueCodes!$A$2:$F$554,4,FALSE)</f>
        <v>UDS</v>
      </c>
      <c r="E285" t="str">
        <f>VLOOKUP(B285,UniqueCCOQueueCodes!A:F,6,0)</f>
        <v>Y</v>
      </c>
    </row>
    <row r="286" spans="1:5" x14ac:dyDescent="0.35">
      <c r="A286" t="s">
        <v>1551</v>
      </c>
      <c r="B286" t="s">
        <v>384</v>
      </c>
      <c r="C286" t="s">
        <v>385</v>
      </c>
      <c r="D286" t="str">
        <f>VLOOKUP(B286,UniqueCCOQueueCodes!$A$2:$F$554,4,FALSE)</f>
        <v>Primary</v>
      </c>
      <c r="E286" t="str">
        <f>VLOOKUP(B286,UniqueCCOQueueCodes!A:F,6,0)</f>
        <v>Y</v>
      </c>
    </row>
    <row r="287" spans="1:5" x14ac:dyDescent="0.35">
      <c r="A287" t="s">
        <v>1552</v>
      </c>
      <c r="B287" t="s">
        <v>384</v>
      </c>
      <c r="C287" t="s">
        <v>385</v>
      </c>
      <c r="D287" t="str">
        <f>VLOOKUP(B287,UniqueCCOQueueCodes!$A$2:$F$554,4,FALSE)</f>
        <v>Primary</v>
      </c>
      <c r="E287" t="str">
        <f>VLOOKUP(B287,UniqueCCOQueueCodes!A:F,6,0)</f>
        <v>Y</v>
      </c>
    </row>
    <row r="288" spans="1:5" x14ac:dyDescent="0.35">
      <c r="A288" t="s">
        <v>1553</v>
      </c>
      <c r="B288" t="s">
        <v>401</v>
      </c>
      <c r="C288" t="s">
        <v>402</v>
      </c>
      <c r="D288" t="str">
        <f>VLOOKUP(B288,UniqueCCOQueueCodes!$A$2:$F$554,4,FALSE)</f>
        <v>Primary</v>
      </c>
      <c r="E288" t="str">
        <f>VLOOKUP(B288,UniqueCCOQueueCodes!A:F,6,0)</f>
        <v>Y</v>
      </c>
    </row>
    <row r="289" spans="1:5" x14ac:dyDescent="0.35">
      <c r="A289" t="s">
        <v>1554</v>
      </c>
      <c r="B289" t="s">
        <v>260</v>
      </c>
      <c r="C289" t="s">
        <v>261</v>
      </c>
      <c r="D289" t="str">
        <f>VLOOKUP(B289,UniqueCCOQueueCodes!$A$2:$F$554,4,FALSE)</f>
        <v>Midrange</v>
      </c>
      <c r="E289" t="str">
        <f>VLOOKUP(B289,UniqueCCOQueueCodes!A:F,6,0)</f>
        <v>Y</v>
      </c>
    </row>
    <row r="290" spans="1:5" x14ac:dyDescent="0.35">
      <c r="A290" t="s">
        <v>1555</v>
      </c>
      <c r="B290" t="s">
        <v>408</v>
      </c>
      <c r="C290" t="s">
        <v>409</v>
      </c>
      <c r="D290" t="str">
        <f>VLOOKUP(B290,UniqueCCOQueueCodes!$A$2:$F$554,4,FALSE)</f>
        <v>Primary</v>
      </c>
      <c r="E290" t="str">
        <f>VLOOKUP(B290,UniqueCCOQueueCodes!A:F,6,0)</f>
        <v>Y</v>
      </c>
    </row>
    <row r="291" spans="1:5" x14ac:dyDescent="0.35">
      <c r="A291" t="s">
        <v>1556</v>
      </c>
      <c r="B291" t="s">
        <v>1245</v>
      </c>
      <c r="C291" t="s">
        <v>1246</v>
      </c>
      <c r="D291">
        <f>VLOOKUP(B291,UniqueCCOQueueCodes!$A$2:$F$554,4,FALSE)</f>
        <v>0</v>
      </c>
      <c r="E291" t="str">
        <f>VLOOKUP(B291,UniqueCCOQueueCodes!A:F,6,0)</f>
        <v>N</v>
      </c>
    </row>
    <row r="292" spans="1:5" x14ac:dyDescent="0.35">
      <c r="A292" t="s">
        <v>1557</v>
      </c>
      <c r="B292" t="s">
        <v>422</v>
      </c>
      <c r="C292" t="s">
        <v>423</v>
      </c>
      <c r="D292" t="str">
        <f>VLOOKUP(B292,UniqueCCOQueueCodes!$A$2:$F$554,4,FALSE)</f>
        <v>Primary</v>
      </c>
      <c r="E292" t="str">
        <f>VLOOKUP(B292,UniqueCCOQueueCodes!A:F,6,0)</f>
        <v>Y</v>
      </c>
    </row>
    <row r="293" spans="1:5" x14ac:dyDescent="0.35">
      <c r="A293" t="s">
        <v>1558</v>
      </c>
      <c r="B293" t="s">
        <v>244</v>
      </c>
      <c r="C293" t="s">
        <v>245</v>
      </c>
      <c r="D293" t="str">
        <f>VLOOKUP(B293,UniqueCCOQueueCodes!$A$2:$F$554,4,FALSE)</f>
        <v>Midrange</v>
      </c>
      <c r="E293" t="str">
        <f>VLOOKUP(B293,UniqueCCOQueueCodes!A:F,6,0)</f>
        <v>Y</v>
      </c>
    </row>
    <row r="294" spans="1:5" x14ac:dyDescent="0.35">
      <c r="A294" t="s">
        <v>1559</v>
      </c>
      <c r="B294" t="s">
        <v>244</v>
      </c>
      <c r="C294" t="s">
        <v>245</v>
      </c>
      <c r="D294" t="str">
        <f>VLOOKUP(B294,UniqueCCOQueueCodes!$A$2:$F$554,4,FALSE)</f>
        <v>Midrange</v>
      </c>
      <c r="E294" t="str">
        <f>VLOOKUP(B294,UniqueCCOQueueCodes!A:F,6,0)</f>
        <v>Y</v>
      </c>
    </row>
    <row r="295" spans="1:5" x14ac:dyDescent="0.35">
      <c r="A295" t="s">
        <v>1560</v>
      </c>
      <c r="B295" t="s">
        <v>682</v>
      </c>
      <c r="C295" t="s">
        <v>683</v>
      </c>
      <c r="D295" t="str">
        <f>VLOOKUP(B295,UniqueCCOQueueCodes!$A$2:$F$554,4,FALSE)</f>
        <v>UDS</v>
      </c>
      <c r="E295" t="str">
        <f>VLOOKUP(B295,UniqueCCOQueueCodes!A:F,6,0)</f>
        <v>Y</v>
      </c>
    </row>
    <row r="296" spans="1:5" x14ac:dyDescent="0.35">
      <c r="A296" t="s">
        <v>1561</v>
      </c>
      <c r="B296" t="s">
        <v>1245</v>
      </c>
      <c r="C296" t="s">
        <v>1246</v>
      </c>
      <c r="D296">
        <f>VLOOKUP(B296,UniqueCCOQueueCodes!$A$2:$F$554,4,FALSE)</f>
        <v>0</v>
      </c>
      <c r="E296" t="str">
        <f>VLOOKUP(B296,UniqueCCOQueueCodes!A:F,6,0)</f>
        <v>N</v>
      </c>
    </row>
    <row r="297" spans="1:5" x14ac:dyDescent="0.35">
      <c r="A297" t="s">
        <v>1562</v>
      </c>
      <c r="B297" t="s">
        <v>364</v>
      </c>
      <c r="C297" t="s">
        <v>365</v>
      </c>
      <c r="D297" t="str">
        <f>VLOOKUP(B297,UniqueCCOQueueCodes!$A$2:$F$554,4,FALSE)</f>
        <v>Primary</v>
      </c>
      <c r="E297" t="str">
        <f>VLOOKUP(B297,UniqueCCOQueueCodes!A:F,6,0)</f>
        <v>Y</v>
      </c>
    </row>
    <row r="298" spans="1:5" x14ac:dyDescent="0.35">
      <c r="A298" t="s">
        <v>1563</v>
      </c>
      <c r="B298" t="s">
        <v>50</v>
      </c>
      <c r="C298" t="s">
        <v>51</v>
      </c>
      <c r="D298" t="str">
        <f>VLOOKUP(B298,UniqueCCOQueueCodes!$A$2:$F$554,4,FALSE)</f>
        <v>DPD</v>
      </c>
      <c r="E298" t="str">
        <f>VLOOKUP(B298,UniqueCCOQueueCodes!A:F,6,0)</f>
        <v>Y</v>
      </c>
    </row>
    <row r="299" spans="1:5" x14ac:dyDescent="0.35">
      <c r="A299" t="s">
        <v>1564</v>
      </c>
      <c r="B299" t="s">
        <v>50</v>
      </c>
      <c r="C299" t="s">
        <v>51</v>
      </c>
      <c r="D299" t="str">
        <f>VLOOKUP(B299,UniqueCCOQueueCodes!$A$2:$F$554,4,FALSE)</f>
        <v>DPD</v>
      </c>
      <c r="E299" t="str">
        <f>VLOOKUP(B299,UniqueCCOQueueCodes!A:F,6,0)</f>
        <v>Y</v>
      </c>
    </row>
    <row r="300" spans="1:5" x14ac:dyDescent="0.35">
      <c r="A300" t="s">
        <v>1565</v>
      </c>
      <c r="B300" t="s">
        <v>50</v>
      </c>
      <c r="C300" t="s">
        <v>51</v>
      </c>
      <c r="D300" t="str">
        <f>VLOOKUP(B300,UniqueCCOQueueCodes!$A$2:$F$554,4,FALSE)</f>
        <v>DPD</v>
      </c>
      <c r="E300" t="str">
        <f>VLOOKUP(B300,UniqueCCOQueueCodes!A:F,6,0)</f>
        <v>Y</v>
      </c>
    </row>
    <row r="301" spans="1:5" x14ac:dyDescent="0.35">
      <c r="A301" t="s">
        <v>1566</v>
      </c>
      <c r="B301" t="s">
        <v>50</v>
      </c>
      <c r="C301" t="s">
        <v>51</v>
      </c>
      <c r="D301" t="str">
        <f>VLOOKUP(B301,UniqueCCOQueueCodes!$A$2:$F$554,4,FALSE)</f>
        <v>DPD</v>
      </c>
      <c r="E301" t="str">
        <f>VLOOKUP(B301,UniqueCCOQueueCodes!A:F,6,0)</f>
        <v>Y</v>
      </c>
    </row>
    <row r="302" spans="1:5" x14ac:dyDescent="0.35">
      <c r="A302" t="s">
        <v>1567</v>
      </c>
      <c r="B302" t="s">
        <v>69</v>
      </c>
      <c r="C302" t="s">
        <v>70</v>
      </c>
      <c r="D302" t="str">
        <f>VLOOKUP(B302,UniqueCCOQueueCodes!$A$2:$F$554,4,FALSE)</f>
        <v>DPD</v>
      </c>
      <c r="E302" t="str">
        <f>VLOOKUP(B302,UniqueCCOQueueCodes!A:F,6,0)</f>
        <v>Y</v>
      </c>
    </row>
    <row r="303" spans="1:5" x14ac:dyDescent="0.35">
      <c r="A303" t="s">
        <v>1568</v>
      </c>
      <c r="B303" t="s">
        <v>310</v>
      </c>
      <c r="C303" t="s">
        <v>311</v>
      </c>
      <c r="D303" t="str">
        <f>VLOOKUP(B303,UniqueCCOQueueCodes!$A$2:$F$554,4,FALSE)</f>
        <v>Primary</v>
      </c>
      <c r="E303" t="str">
        <f>VLOOKUP(B303,UniqueCCOQueueCodes!A:F,6,0)</f>
        <v>Y</v>
      </c>
    </row>
    <row r="304" spans="1:5" x14ac:dyDescent="0.35">
      <c r="A304" t="s">
        <v>1569</v>
      </c>
      <c r="B304" t="s">
        <v>310</v>
      </c>
      <c r="C304" t="s">
        <v>311</v>
      </c>
      <c r="D304" t="str">
        <f>VLOOKUP(B304,UniqueCCOQueueCodes!$A$2:$F$554,4,FALSE)</f>
        <v>Primary</v>
      </c>
      <c r="E304" t="str">
        <f>VLOOKUP(B304,UniqueCCOQueueCodes!A:F,6,0)</f>
        <v>Y</v>
      </c>
    </row>
    <row r="305" spans="1:5" x14ac:dyDescent="0.35">
      <c r="A305" t="s">
        <v>1570</v>
      </c>
      <c r="D305" t="e">
        <f>VLOOKUP(B305,UniqueCCOQueueCodes!$A$2:$F$554,4,FALSE)</f>
        <v>#N/A</v>
      </c>
      <c r="E305" t="e">
        <f>VLOOKUP(B305,UniqueCCOQueueCodes!A:F,6,0)</f>
        <v>#N/A</v>
      </c>
    </row>
    <row r="306" spans="1:5" x14ac:dyDescent="0.35">
      <c r="A306" t="s">
        <v>1571</v>
      </c>
      <c r="B306" t="s">
        <v>868</v>
      </c>
      <c r="C306" t="s">
        <v>869</v>
      </c>
      <c r="D306" t="str">
        <f>VLOOKUP(B306,UniqueCCOQueueCodes!$A$2:$F$554,4,FALSE)</f>
        <v>GIST</v>
      </c>
      <c r="E306" t="str">
        <f>VLOOKUP(B306,UniqueCCOQueueCodes!A:F,6,0)</f>
        <v>Y</v>
      </c>
    </row>
    <row r="307" spans="1:5" x14ac:dyDescent="0.35">
      <c r="A307" t="s">
        <v>1572</v>
      </c>
      <c r="B307" t="s">
        <v>868</v>
      </c>
      <c r="C307" t="s">
        <v>869</v>
      </c>
      <c r="D307" t="str">
        <f>VLOOKUP(B307,UniqueCCOQueueCodes!$A$2:$F$554,4,FALSE)</f>
        <v>GIST</v>
      </c>
      <c r="E307" t="str">
        <f>VLOOKUP(B307,UniqueCCOQueueCodes!A:F,6,0)</f>
        <v>Y</v>
      </c>
    </row>
    <row r="308" spans="1:5" x14ac:dyDescent="0.35">
      <c r="A308" t="s">
        <v>1573</v>
      </c>
      <c r="B308" t="s">
        <v>870</v>
      </c>
      <c r="C308" t="s">
        <v>871</v>
      </c>
      <c r="D308" t="str">
        <f>VLOOKUP(B308,UniqueCCOQueueCodes!$A$2:$F$554,4,FALSE)</f>
        <v>GIST</v>
      </c>
      <c r="E308" t="str">
        <f>VLOOKUP(B308,UniqueCCOQueueCodes!A:F,6,0)</f>
        <v>N</v>
      </c>
    </row>
    <row r="309" spans="1:5" x14ac:dyDescent="0.35">
      <c r="A309" t="s">
        <v>1574</v>
      </c>
      <c r="D309" t="e">
        <f>VLOOKUP(B309,UniqueCCOQueueCodes!$A$2:$F$554,4,FALSE)</f>
        <v>#N/A</v>
      </c>
      <c r="E309" t="e">
        <f>VLOOKUP(B309,UniqueCCOQueueCodes!A:F,6,0)</f>
        <v>#N/A</v>
      </c>
    </row>
    <row r="310" spans="1:5" x14ac:dyDescent="0.35">
      <c r="A310" t="s">
        <v>1575</v>
      </c>
      <c r="D310" t="e">
        <f>VLOOKUP(B310,UniqueCCOQueueCodes!$A$2:$F$554,4,FALSE)</f>
        <v>#N/A</v>
      </c>
      <c r="E310" t="e">
        <f>VLOOKUP(B310,UniqueCCOQueueCodes!A:F,6,0)</f>
        <v>#N/A</v>
      </c>
    </row>
    <row r="311" spans="1:5" x14ac:dyDescent="0.35">
      <c r="A311" t="s">
        <v>1576</v>
      </c>
      <c r="B311" t="s">
        <v>76</v>
      </c>
      <c r="C311" t="s">
        <v>77</v>
      </c>
      <c r="D311" t="str">
        <f>VLOOKUP(B311,UniqueCCOQueueCodes!$A$2:$F$554,4,FALSE)</f>
        <v>DPD</v>
      </c>
      <c r="E311" t="str">
        <f>VLOOKUP(B311,UniqueCCOQueueCodes!A:F,6,0)</f>
        <v>Y</v>
      </c>
    </row>
    <row r="312" spans="1:5" x14ac:dyDescent="0.35">
      <c r="A312" t="s">
        <v>1577</v>
      </c>
      <c r="B312" t="s">
        <v>76</v>
      </c>
      <c r="C312" t="s">
        <v>77</v>
      </c>
      <c r="D312" t="str">
        <f>VLOOKUP(B312,UniqueCCOQueueCodes!$A$2:$F$554,4,FALSE)</f>
        <v>DPD</v>
      </c>
      <c r="E312" t="str">
        <f>VLOOKUP(B312,UniqueCCOQueueCodes!A:F,6,0)</f>
        <v>Y</v>
      </c>
    </row>
    <row r="313" spans="1:5" x14ac:dyDescent="0.35">
      <c r="A313" t="s">
        <v>1578</v>
      </c>
      <c r="B313" t="s">
        <v>76</v>
      </c>
      <c r="C313" t="s">
        <v>77</v>
      </c>
      <c r="D313" t="str">
        <f>VLOOKUP(B313,UniqueCCOQueueCodes!$A$2:$F$554,4,FALSE)</f>
        <v>DPD</v>
      </c>
      <c r="E313" t="str">
        <f>VLOOKUP(B313,UniqueCCOQueueCodes!A:F,6,0)</f>
        <v>Y</v>
      </c>
    </row>
    <row r="314" spans="1:5" x14ac:dyDescent="0.35">
      <c r="A314" t="s">
        <v>1579</v>
      </c>
      <c r="B314" t="s">
        <v>328</v>
      </c>
      <c r="C314" t="s">
        <v>329</v>
      </c>
      <c r="D314" t="str">
        <f>VLOOKUP(B314,UniqueCCOQueueCodes!$A$2:$F$554,4,FALSE)</f>
        <v>Primary</v>
      </c>
      <c r="E314" t="str">
        <f>VLOOKUP(B314,UniqueCCOQueueCodes!A:F,6,0)</f>
        <v>Y</v>
      </c>
    </row>
    <row r="315" spans="1:5" x14ac:dyDescent="0.35">
      <c r="A315" t="s">
        <v>1580</v>
      </c>
      <c r="B315" t="s">
        <v>93</v>
      </c>
      <c r="C315" t="s">
        <v>94</v>
      </c>
      <c r="D315" t="str">
        <f>VLOOKUP(B315,UniqueCCOQueueCodes!$A$2:$F$554,4,FALSE)</f>
        <v>DPD</v>
      </c>
      <c r="E315" t="str">
        <f>VLOOKUP(B315,UniqueCCOQueueCodes!A:F,6,0)</f>
        <v>Y</v>
      </c>
    </row>
    <row r="316" spans="1:5" x14ac:dyDescent="0.35">
      <c r="A316" t="s">
        <v>1581</v>
      </c>
      <c r="B316" t="s">
        <v>93</v>
      </c>
      <c r="C316" t="s">
        <v>94</v>
      </c>
      <c r="D316" t="str">
        <f>VLOOKUP(B316,UniqueCCOQueueCodes!$A$2:$F$554,4,FALSE)</f>
        <v>DPD</v>
      </c>
      <c r="E316" t="str">
        <f>VLOOKUP(B316,UniqueCCOQueueCodes!A:F,6,0)</f>
        <v>Y</v>
      </c>
    </row>
    <row r="317" spans="1:5" x14ac:dyDescent="0.35">
      <c r="A317" t="s">
        <v>1582</v>
      </c>
      <c r="B317" t="s">
        <v>330</v>
      </c>
      <c r="C317" t="s">
        <v>331</v>
      </c>
      <c r="D317" t="str">
        <f>VLOOKUP(B317,UniqueCCOQueueCodes!$A$2:$F$554,4,FALSE)</f>
        <v>Primary</v>
      </c>
      <c r="E317" t="str">
        <f>VLOOKUP(B317,UniqueCCOQueueCodes!A:F,6,0)</f>
        <v>Y</v>
      </c>
    </row>
    <row r="318" spans="1:5" x14ac:dyDescent="0.35">
      <c r="A318" t="s">
        <v>1583</v>
      </c>
      <c r="B318" t="s">
        <v>105</v>
      </c>
      <c r="C318" t="s">
        <v>106</v>
      </c>
      <c r="D318" t="str">
        <f>VLOOKUP(B318,UniqueCCOQueueCodes!$A$2:$F$554,4,FALSE)</f>
        <v>DPD</v>
      </c>
      <c r="E318" t="str">
        <f>VLOOKUP(B318,UniqueCCOQueueCodes!A:F,6,0)</f>
        <v>Y</v>
      </c>
    </row>
    <row r="319" spans="1:5" x14ac:dyDescent="0.35">
      <c r="A319" t="s">
        <v>1584</v>
      </c>
      <c r="B319" t="s">
        <v>105</v>
      </c>
      <c r="C319" t="s">
        <v>106</v>
      </c>
      <c r="D319" t="str">
        <f>VLOOKUP(B319,UniqueCCOQueueCodes!$A$2:$F$554,4,FALSE)</f>
        <v>DPD</v>
      </c>
      <c r="E319" t="str">
        <f>VLOOKUP(B319,UniqueCCOQueueCodes!A:F,6,0)</f>
        <v>Y</v>
      </c>
    </row>
    <row r="320" spans="1:5" x14ac:dyDescent="0.35">
      <c r="A320" t="s">
        <v>1585</v>
      </c>
      <c r="B320" t="s">
        <v>105</v>
      </c>
      <c r="C320" t="s">
        <v>106</v>
      </c>
      <c r="D320" t="str">
        <f>VLOOKUP(B320,UniqueCCOQueueCodes!$A$2:$F$554,4,FALSE)</f>
        <v>DPD</v>
      </c>
      <c r="E320" t="str">
        <f>VLOOKUP(B320,UniqueCCOQueueCodes!A:F,6,0)</f>
        <v>Y</v>
      </c>
    </row>
    <row r="321" spans="1:5" x14ac:dyDescent="0.35">
      <c r="A321" t="s">
        <v>1586</v>
      </c>
      <c r="B321" t="s">
        <v>105</v>
      </c>
      <c r="C321" t="s">
        <v>106</v>
      </c>
      <c r="D321" t="str">
        <f>VLOOKUP(B321,UniqueCCOQueueCodes!$A$2:$F$554,4,FALSE)</f>
        <v>DPD</v>
      </c>
      <c r="E321" t="str">
        <f>VLOOKUP(B321,UniqueCCOQueueCodes!A:F,6,0)</f>
        <v>Y</v>
      </c>
    </row>
    <row r="322" spans="1:5" x14ac:dyDescent="0.35">
      <c r="A322" t="s">
        <v>1587</v>
      </c>
      <c r="B322" t="s">
        <v>105</v>
      </c>
      <c r="C322" t="s">
        <v>106</v>
      </c>
      <c r="D322" t="str">
        <f>VLOOKUP(B322,UniqueCCOQueueCodes!$A$2:$F$554,4,FALSE)</f>
        <v>DPD</v>
      </c>
      <c r="E322" t="str">
        <f>VLOOKUP(B322,UniqueCCOQueueCodes!A:F,6,0)</f>
        <v>Y</v>
      </c>
    </row>
    <row r="323" spans="1:5" x14ac:dyDescent="0.35">
      <c r="A323" t="s">
        <v>1588</v>
      </c>
      <c r="B323" t="s">
        <v>105</v>
      </c>
      <c r="C323" t="s">
        <v>106</v>
      </c>
      <c r="D323" t="str">
        <f>VLOOKUP(B323,UniqueCCOQueueCodes!$A$2:$F$554,4,FALSE)</f>
        <v>DPD</v>
      </c>
      <c r="E323" t="str">
        <f>VLOOKUP(B323,UniqueCCOQueueCodes!A:F,6,0)</f>
        <v>Y</v>
      </c>
    </row>
    <row r="324" spans="1:5" x14ac:dyDescent="0.35">
      <c r="A324" t="s">
        <v>1589</v>
      </c>
      <c r="B324" t="s">
        <v>105</v>
      </c>
      <c r="C324" t="s">
        <v>106</v>
      </c>
      <c r="D324" t="str">
        <f>VLOOKUP(B324,UniqueCCOQueueCodes!$A$2:$F$554,4,FALSE)</f>
        <v>DPD</v>
      </c>
      <c r="E324" t="str">
        <f>VLOOKUP(B324,UniqueCCOQueueCodes!A:F,6,0)</f>
        <v>Y</v>
      </c>
    </row>
    <row r="325" spans="1:5" x14ac:dyDescent="0.35">
      <c r="A325" t="s">
        <v>1590</v>
      </c>
      <c r="B325" t="s">
        <v>105</v>
      </c>
      <c r="C325" t="s">
        <v>106</v>
      </c>
      <c r="D325" t="str">
        <f>VLOOKUP(B325,UniqueCCOQueueCodes!$A$2:$F$554,4,FALSE)</f>
        <v>DPD</v>
      </c>
      <c r="E325" t="str">
        <f>VLOOKUP(B325,UniqueCCOQueueCodes!A:F,6,0)</f>
        <v>Y</v>
      </c>
    </row>
    <row r="326" spans="1:5" x14ac:dyDescent="0.35">
      <c r="A326" t="s">
        <v>1591</v>
      </c>
      <c r="B326" t="s">
        <v>1056</v>
      </c>
      <c r="C326" t="s">
        <v>1057</v>
      </c>
      <c r="D326">
        <f>VLOOKUP(B326,UniqueCCOQueueCodes!$A$2:$F$554,4,FALSE)</f>
        <v>0</v>
      </c>
      <c r="E326" t="str">
        <f>VLOOKUP(B326,UniqueCCOQueueCodes!A:F,6,0)</f>
        <v>N</v>
      </c>
    </row>
    <row r="327" spans="1:5" x14ac:dyDescent="0.35">
      <c r="A327" t="s">
        <v>1592</v>
      </c>
      <c r="B327" s="2" t="s">
        <v>1056</v>
      </c>
      <c r="C327" t="s">
        <v>1057</v>
      </c>
      <c r="D327">
        <f>VLOOKUP(B327,UniqueCCOQueueCodes!$A$2:$F$554,4,FALSE)</f>
        <v>0</v>
      </c>
      <c r="E327" t="str">
        <f>VLOOKUP(B327,UniqueCCOQueueCodes!A:F,6,0)</f>
        <v>N</v>
      </c>
    </row>
    <row r="328" spans="1:5" x14ac:dyDescent="0.35">
      <c r="A328" t="s">
        <v>1593</v>
      </c>
      <c r="B328" t="s">
        <v>682</v>
      </c>
      <c r="C328" t="s">
        <v>683</v>
      </c>
      <c r="D328" t="str">
        <f>VLOOKUP(B328,UniqueCCOQueueCodes!$A$2:$F$554,4,FALSE)</f>
        <v>UDS</v>
      </c>
      <c r="E328" t="str">
        <f>VLOOKUP(B328,UniqueCCOQueueCodes!A:F,6,0)</f>
        <v>Y</v>
      </c>
    </row>
    <row r="329" spans="1:5" x14ac:dyDescent="0.35">
      <c r="A329" t="s">
        <v>1594</v>
      </c>
      <c r="B329" t="s">
        <v>1056</v>
      </c>
      <c r="C329" t="s">
        <v>1057</v>
      </c>
      <c r="D329">
        <f>VLOOKUP(B329,UniqueCCOQueueCodes!$A$2:$F$554,4,FALSE)</f>
        <v>0</v>
      </c>
      <c r="E329" t="str">
        <f>VLOOKUP(B329,UniqueCCOQueueCodes!A:F,6,0)</f>
        <v>N</v>
      </c>
    </row>
    <row r="330" spans="1:5" x14ac:dyDescent="0.35">
      <c r="A330" t="s">
        <v>1595</v>
      </c>
      <c r="B330" t="s">
        <v>1056</v>
      </c>
      <c r="C330" t="s">
        <v>1057</v>
      </c>
      <c r="D330">
        <f>VLOOKUP(B330,UniqueCCOQueueCodes!$A$2:$F$554,4,FALSE)</f>
        <v>0</v>
      </c>
      <c r="E330" t="str">
        <f>VLOOKUP(B330,UniqueCCOQueueCodes!A:F,6,0)</f>
        <v>N</v>
      </c>
    </row>
    <row r="331" spans="1:5" x14ac:dyDescent="0.35">
      <c r="A331" t="s">
        <v>1596</v>
      </c>
      <c r="B331" t="s">
        <v>156</v>
      </c>
      <c r="C331" t="s">
        <v>157</v>
      </c>
      <c r="D331" t="str">
        <f>VLOOKUP(B331,UniqueCCOQueueCodes!$A$2:$F$554,4,FALSE)</f>
        <v>E2E</v>
      </c>
      <c r="E331" t="str">
        <f>VLOOKUP(B331,UniqueCCOQueueCodes!A:F,6,0)</f>
        <v>Y</v>
      </c>
    </row>
    <row r="332" spans="1:5" x14ac:dyDescent="0.35">
      <c r="A332" t="s">
        <v>1597</v>
      </c>
      <c r="D332" t="e">
        <f>VLOOKUP(B332,UniqueCCOQueueCodes!$A$2:$F$554,4,FALSE)</f>
        <v>#N/A</v>
      </c>
      <c r="E332" t="e">
        <f>VLOOKUP(B332,UniqueCCOQueueCodes!A:F,6,0)</f>
        <v>#N/A</v>
      </c>
    </row>
    <row r="333" spans="1:5" x14ac:dyDescent="0.35">
      <c r="A333" t="s">
        <v>1598</v>
      </c>
      <c r="B333" t="s">
        <v>214</v>
      </c>
      <c r="C333" t="s">
        <v>215</v>
      </c>
      <c r="D333" t="str">
        <f>VLOOKUP(B333,UniqueCCOQueueCodes!$A$2:$F$554,4,FALSE)</f>
        <v>GNCS</v>
      </c>
      <c r="E333" t="str">
        <f>VLOOKUP(B333,UniqueCCOQueueCodes!A:F,6,0)</f>
        <v>Y</v>
      </c>
    </row>
    <row r="334" spans="1:5" x14ac:dyDescent="0.35">
      <c r="A334" t="s">
        <v>1599</v>
      </c>
      <c r="B334" t="s">
        <v>214</v>
      </c>
      <c r="C334" t="s">
        <v>215</v>
      </c>
      <c r="D334" t="str">
        <f>VLOOKUP(B334,UniqueCCOQueueCodes!$A$2:$F$554,4,FALSE)</f>
        <v>GNCS</v>
      </c>
      <c r="E334" t="str">
        <f>VLOOKUP(B334,UniqueCCOQueueCodes!A:F,6,0)</f>
        <v>Y</v>
      </c>
    </row>
    <row r="335" spans="1:5" x14ac:dyDescent="0.35">
      <c r="A335" t="s">
        <v>1600</v>
      </c>
      <c r="B335" t="s">
        <v>214</v>
      </c>
      <c r="C335" t="s">
        <v>215</v>
      </c>
      <c r="D335" t="str">
        <f>VLOOKUP(B335,UniqueCCOQueueCodes!$A$2:$F$554,4,FALSE)</f>
        <v>GNCS</v>
      </c>
      <c r="E335" t="str">
        <f>VLOOKUP(B335,UniqueCCOQueueCodes!A:F,6,0)</f>
        <v>Y</v>
      </c>
    </row>
    <row r="336" spans="1:5" x14ac:dyDescent="0.35">
      <c r="A336" t="s">
        <v>1601</v>
      </c>
      <c r="B336" t="s">
        <v>214</v>
      </c>
      <c r="C336" t="s">
        <v>215</v>
      </c>
      <c r="D336" t="str">
        <f>VLOOKUP(B336,UniqueCCOQueueCodes!$A$2:$F$554,4,FALSE)</f>
        <v>GNCS</v>
      </c>
      <c r="E336" t="str">
        <f>VLOOKUP(B336,UniqueCCOQueueCodes!A:F,6,0)</f>
        <v>Y</v>
      </c>
    </row>
    <row r="337" spans="1:5" x14ac:dyDescent="0.35">
      <c r="A337" t="s">
        <v>1602</v>
      </c>
      <c r="B337" t="s">
        <v>682</v>
      </c>
      <c r="C337" t="s">
        <v>683</v>
      </c>
      <c r="D337" t="str">
        <f>VLOOKUP(B337,UniqueCCOQueueCodes!$A$2:$F$554,4,FALSE)</f>
        <v>UDS</v>
      </c>
      <c r="E337" t="str">
        <f>VLOOKUP(B337,UniqueCCOQueueCodes!A:F,6,0)</f>
        <v>Y</v>
      </c>
    </row>
    <row r="338" spans="1:5" x14ac:dyDescent="0.35">
      <c r="A338" t="s">
        <v>1603</v>
      </c>
      <c r="B338" t="s">
        <v>682</v>
      </c>
      <c r="C338" t="s">
        <v>683</v>
      </c>
      <c r="D338" t="str">
        <f>VLOOKUP(B338,UniqueCCOQueueCodes!$A$2:$F$554,4,FALSE)</f>
        <v>UDS</v>
      </c>
      <c r="E338" t="str">
        <f>VLOOKUP(B338,UniqueCCOQueueCodes!A:F,6,0)</f>
        <v>Y</v>
      </c>
    </row>
    <row r="339" spans="1:5" x14ac:dyDescent="0.35">
      <c r="A339" t="s">
        <v>1604</v>
      </c>
      <c r="B339" t="s">
        <v>682</v>
      </c>
      <c r="C339" t="s">
        <v>683</v>
      </c>
      <c r="D339" t="str">
        <f>VLOOKUP(B339,UniqueCCOQueueCodes!$A$2:$F$554,4,FALSE)</f>
        <v>UDS</v>
      </c>
      <c r="E339" t="str">
        <f>VLOOKUP(B339,UniqueCCOQueueCodes!A:F,6,0)</f>
        <v>Y</v>
      </c>
    </row>
    <row r="340" spans="1:5" x14ac:dyDescent="0.35">
      <c r="A340" t="s">
        <v>1605</v>
      </c>
      <c r="B340" t="s">
        <v>355</v>
      </c>
      <c r="C340" t="s">
        <v>356</v>
      </c>
      <c r="D340" t="str">
        <f>VLOOKUP(B340,UniqueCCOQueueCodes!$A$2:$F$554,4,FALSE)</f>
        <v>Primary</v>
      </c>
      <c r="E340" t="str">
        <f>VLOOKUP(B340,UniqueCCOQueueCodes!A:F,6,0)</f>
        <v>Y</v>
      </c>
    </row>
    <row r="341" spans="1:5" x14ac:dyDescent="0.35">
      <c r="A341" t="s">
        <v>1606</v>
      </c>
      <c r="B341" t="s">
        <v>355</v>
      </c>
      <c r="C341" t="s">
        <v>356</v>
      </c>
      <c r="D341" t="str">
        <f>VLOOKUP(B341,UniqueCCOQueueCodes!$A$2:$F$554,4,FALSE)</f>
        <v>Primary</v>
      </c>
      <c r="E341" t="str">
        <f>VLOOKUP(B341,UniqueCCOQueueCodes!A:F,6,0)</f>
        <v>Y</v>
      </c>
    </row>
    <row r="342" spans="1:5" x14ac:dyDescent="0.35">
      <c r="A342" t="s">
        <v>1607</v>
      </c>
      <c r="B342" t="s">
        <v>114</v>
      </c>
      <c r="C342" t="s">
        <v>115</v>
      </c>
      <c r="D342" t="str">
        <f>VLOOKUP(B342,UniqueCCOQueueCodes!$A$2:$F$554,4,FALSE)</f>
        <v>DPD</v>
      </c>
      <c r="E342" t="str">
        <f>VLOOKUP(B342,UniqueCCOQueueCodes!A:F,6,0)</f>
        <v>Y</v>
      </c>
    </row>
    <row r="343" spans="1:5" x14ac:dyDescent="0.35">
      <c r="A343" t="s">
        <v>1608</v>
      </c>
      <c r="B343" t="s">
        <v>114</v>
      </c>
      <c r="C343" t="s">
        <v>115</v>
      </c>
      <c r="D343" t="str">
        <f>VLOOKUP(B343,UniqueCCOQueueCodes!$A$2:$F$554,4,FALSE)</f>
        <v>DPD</v>
      </c>
      <c r="E343" t="str">
        <f>VLOOKUP(B343,UniqueCCOQueueCodes!A:F,6,0)</f>
        <v>Y</v>
      </c>
    </row>
    <row r="344" spans="1:5" x14ac:dyDescent="0.35">
      <c r="A344" t="s">
        <v>1609</v>
      </c>
      <c r="B344" t="s">
        <v>114</v>
      </c>
      <c r="C344" t="s">
        <v>115</v>
      </c>
      <c r="D344" t="str">
        <f>VLOOKUP(B344,UniqueCCOQueueCodes!$A$2:$F$554,4,FALSE)</f>
        <v>DPD</v>
      </c>
      <c r="E344" t="str">
        <f>VLOOKUP(B344,UniqueCCOQueueCodes!A:F,6,0)</f>
        <v>Y</v>
      </c>
    </row>
    <row r="345" spans="1:5" x14ac:dyDescent="0.35">
      <c r="A345" t="s">
        <v>1610</v>
      </c>
      <c r="B345" t="s">
        <v>114</v>
      </c>
      <c r="C345" t="s">
        <v>115</v>
      </c>
      <c r="D345" t="str">
        <f>VLOOKUP(B345,UniqueCCOQueueCodes!$A$2:$F$554,4,FALSE)</f>
        <v>DPD</v>
      </c>
      <c r="E345" t="str">
        <f>VLOOKUP(B345,UniqueCCOQueueCodes!A:F,6,0)</f>
        <v>Y</v>
      </c>
    </row>
    <row r="346" spans="1:5" x14ac:dyDescent="0.35">
      <c r="A346" t="s">
        <v>1611</v>
      </c>
      <c r="B346" t="s">
        <v>705</v>
      </c>
      <c r="C346" t="s">
        <v>706</v>
      </c>
      <c r="D346" t="str">
        <f>VLOOKUP(B346,UniqueCCOQueueCodes!$A$2:$F$554,4,FALSE)</f>
        <v>UDS</v>
      </c>
      <c r="E346" t="str">
        <f>VLOOKUP(B346,UniqueCCOQueueCodes!A:F,6,0)</f>
        <v>Y</v>
      </c>
    </row>
    <row r="347" spans="1:5" x14ac:dyDescent="0.35">
      <c r="A347" t="s">
        <v>1612</v>
      </c>
      <c r="B347" t="s">
        <v>705</v>
      </c>
      <c r="C347" t="s">
        <v>706</v>
      </c>
      <c r="D347" t="str">
        <f>VLOOKUP(B347,UniqueCCOQueueCodes!$A$2:$F$554,4,FALSE)</f>
        <v>UDS</v>
      </c>
      <c r="E347" t="str">
        <f>VLOOKUP(B347,UniqueCCOQueueCodes!A:F,6,0)</f>
        <v>Y</v>
      </c>
    </row>
    <row r="348" spans="1:5" x14ac:dyDescent="0.35">
      <c r="A348" t="s">
        <v>1613</v>
      </c>
      <c r="B348" t="s">
        <v>131</v>
      </c>
      <c r="C348" t="s">
        <v>132</v>
      </c>
      <c r="D348" t="str">
        <f>VLOOKUP(B348,UniqueCCOQueueCodes!$A$2:$F$554,4,FALSE)</f>
        <v>DPD</v>
      </c>
      <c r="E348" t="str">
        <f>VLOOKUP(B348,UniqueCCOQueueCodes!A:F,6,0)</f>
        <v>Y</v>
      </c>
    </row>
    <row r="349" spans="1:5" x14ac:dyDescent="0.35">
      <c r="A349" t="s">
        <v>1614</v>
      </c>
      <c r="B349" t="s">
        <v>140</v>
      </c>
      <c r="C349" t="s">
        <v>141</v>
      </c>
      <c r="D349" t="str">
        <f>VLOOKUP(B349,UniqueCCOQueueCodes!$A$2:$F$554,4,FALSE)</f>
        <v>DPD</v>
      </c>
      <c r="E349" t="str">
        <f>VLOOKUP(B349,UniqueCCOQueueCodes!A:F,6,0)</f>
        <v>Y</v>
      </c>
    </row>
    <row r="350" spans="1:5" x14ac:dyDescent="0.35">
      <c r="A350" t="s">
        <v>1615</v>
      </c>
      <c r="B350" t="s">
        <v>140</v>
      </c>
      <c r="C350" t="s">
        <v>141</v>
      </c>
      <c r="D350" t="str">
        <f>VLOOKUP(B350,UniqueCCOQueueCodes!$A$2:$F$554,4,FALSE)</f>
        <v>DPD</v>
      </c>
      <c r="E350" t="str">
        <f>VLOOKUP(B350,UniqueCCOQueueCodes!A:F,6,0)</f>
        <v>Y</v>
      </c>
    </row>
    <row r="351" spans="1:5" x14ac:dyDescent="0.35">
      <c r="A351" t="s">
        <v>1616</v>
      </c>
      <c r="D351" t="e">
        <f>VLOOKUP(B351,UniqueCCOQueueCodes!$A$2:$F$554,4,FALSE)</f>
        <v>#N/A</v>
      </c>
      <c r="E351" t="e">
        <f>VLOOKUP(B351,UniqueCCOQueueCodes!A:F,6,0)</f>
        <v>#N/A</v>
      </c>
    </row>
    <row r="352" spans="1:5" x14ac:dyDescent="0.35">
      <c r="A352" t="s">
        <v>1617</v>
      </c>
      <c r="B352" t="s">
        <v>339</v>
      </c>
      <c r="C352" t="s">
        <v>340</v>
      </c>
      <c r="D352" t="str">
        <f>VLOOKUP(B352,UniqueCCOQueueCodes!$A$2:$F$554,4,FALSE)</f>
        <v>Primary</v>
      </c>
      <c r="E352" t="str">
        <f>VLOOKUP(B352,UniqueCCOQueueCodes!A:F,6,0)</f>
        <v>Y</v>
      </c>
    </row>
    <row r="353" spans="1:5" x14ac:dyDescent="0.35">
      <c r="A353" t="s">
        <v>1618</v>
      </c>
      <c r="B353" t="s">
        <v>339</v>
      </c>
      <c r="C353" t="s">
        <v>340</v>
      </c>
      <c r="D353" t="str">
        <f>VLOOKUP(B353,UniqueCCOQueueCodes!$A$2:$F$554,4,FALSE)</f>
        <v>Primary</v>
      </c>
      <c r="E353" t="str">
        <f>VLOOKUP(B353,UniqueCCOQueueCodes!A:F,6,0)</f>
        <v>Y</v>
      </c>
    </row>
    <row r="354" spans="1:5" x14ac:dyDescent="0.35">
      <c r="A354" t="s">
        <v>1619</v>
      </c>
      <c r="B354" t="s">
        <v>339</v>
      </c>
      <c r="C354" t="s">
        <v>340</v>
      </c>
      <c r="D354" t="str">
        <f>VLOOKUP(B354,UniqueCCOQueueCodes!$A$2:$F$554,4,FALSE)</f>
        <v>Primary</v>
      </c>
      <c r="E354" t="str">
        <f>VLOOKUP(B354,UniqueCCOQueueCodes!A:F,6,0)</f>
        <v>Y</v>
      </c>
    </row>
    <row r="355" spans="1:5" x14ac:dyDescent="0.35">
      <c r="A355" t="s">
        <v>1620</v>
      </c>
      <c r="B355" t="s">
        <v>227</v>
      </c>
      <c r="C355" t="s">
        <v>228</v>
      </c>
      <c r="D355" t="str">
        <f>VLOOKUP(B355,UniqueCCOQueueCodes!$A$2:$F$554,4,FALSE)</f>
        <v>GNCS</v>
      </c>
      <c r="E355" t="str">
        <f>VLOOKUP(B355,UniqueCCOQueueCodes!A:F,6,0)</f>
        <v>Y</v>
      </c>
    </row>
    <row r="356" spans="1:5" x14ac:dyDescent="0.35">
      <c r="A356" t="s">
        <v>1621</v>
      </c>
      <c r="B356" t="s">
        <v>143</v>
      </c>
      <c r="C356" t="s">
        <v>144</v>
      </c>
      <c r="D356" t="str">
        <f>VLOOKUP(B356,UniqueCCOQueueCodes!$A$2:$F$554,4,FALSE)</f>
        <v>DPD</v>
      </c>
      <c r="E356" t="str">
        <f>VLOOKUP(B356,UniqueCCOQueueCodes!A:F,6,0)</f>
        <v>Y</v>
      </c>
    </row>
    <row r="357" spans="1:5" x14ac:dyDescent="0.35">
      <c r="A357" t="s">
        <v>1622</v>
      </c>
      <c r="B357" t="s">
        <v>143</v>
      </c>
      <c r="C357" t="s">
        <v>144</v>
      </c>
      <c r="D357" t="str">
        <f>VLOOKUP(B357,UniqueCCOQueueCodes!$A$2:$F$554,4,FALSE)</f>
        <v>DPD</v>
      </c>
      <c r="E357" t="str">
        <f>VLOOKUP(B357,UniqueCCOQueueCodes!A:F,6,0)</f>
        <v>Y</v>
      </c>
    </row>
    <row r="358" spans="1:5" x14ac:dyDescent="0.35">
      <c r="A358" t="s">
        <v>1623</v>
      </c>
      <c r="B358" t="s">
        <v>364</v>
      </c>
      <c r="C358" t="s">
        <v>365</v>
      </c>
      <c r="D358" t="str">
        <f>VLOOKUP(B358,UniqueCCOQueueCodes!$A$2:$F$554,4,FALSE)</f>
        <v>Primary</v>
      </c>
      <c r="E358" t="str">
        <f>VLOOKUP(B358,UniqueCCOQueueCodes!A:F,6,0)</f>
        <v>Y</v>
      </c>
    </row>
    <row r="359" spans="1:5" x14ac:dyDescent="0.35">
      <c r="A359" t="s">
        <v>1624</v>
      </c>
      <c r="B359" t="s">
        <v>364</v>
      </c>
      <c r="C359" t="s">
        <v>365</v>
      </c>
      <c r="D359" t="str">
        <f>VLOOKUP(B359,UniqueCCOQueueCodes!$A$2:$F$554,4,FALSE)</f>
        <v>Primary</v>
      </c>
      <c r="E359" t="str">
        <f>VLOOKUP(B359,UniqueCCOQueueCodes!A:F,6,0)</f>
        <v>Y</v>
      </c>
    </row>
    <row r="360" spans="1:5" x14ac:dyDescent="0.35">
      <c r="A360" t="s">
        <v>1625</v>
      </c>
      <c r="B360" t="s">
        <v>364</v>
      </c>
      <c r="C360" t="s">
        <v>365</v>
      </c>
      <c r="D360" t="str">
        <f>VLOOKUP(B360,UniqueCCOQueueCodes!$A$2:$F$554,4,FALSE)</f>
        <v>Primary</v>
      </c>
      <c r="E360" t="str">
        <f>VLOOKUP(B360,UniqueCCOQueueCodes!A:F,6,0)</f>
        <v>Y</v>
      </c>
    </row>
    <row r="361" spans="1:5" x14ac:dyDescent="0.35">
      <c r="A361" t="s">
        <v>1626</v>
      </c>
      <c r="B361" t="s">
        <v>364</v>
      </c>
      <c r="C361" t="s">
        <v>365</v>
      </c>
      <c r="D361" t="str">
        <f>VLOOKUP(B361,UniqueCCOQueueCodes!$A$2:$F$554,4,FALSE)</f>
        <v>Primary</v>
      </c>
      <c r="E361" t="str">
        <f>VLOOKUP(B361,UniqueCCOQueueCodes!A:F,6,0)</f>
        <v>Y</v>
      </c>
    </row>
    <row r="362" spans="1:5" x14ac:dyDescent="0.35">
      <c r="A362" t="s">
        <v>1627</v>
      </c>
      <c r="B362" t="s">
        <v>262</v>
      </c>
      <c r="C362" t="s">
        <v>263</v>
      </c>
      <c r="D362" t="str">
        <f>VLOOKUP(B362,UniqueCCOQueueCodes!$A$2:$F$554,4,FALSE)</f>
        <v>Midrange</v>
      </c>
      <c r="E362" t="str">
        <f>VLOOKUP(B362,UniqueCCOQueueCodes!A:F,6,0)</f>
        <v>Y</v>
      </c>
    </row>
    <row r="363" spans="1:5" x14ac:dyDescent="0.35">
      <c r="A363" t="s">
        <v>1628</v>
      </c>
      <c r="B363" t="s">
        <v>262</v>
      </c>
      <c r="C363" t="s">
        <v>263</v>
      </c>
      <c r="D363" t="str">
        <f>VLOOKUP(B363,UniqueCCOQueueCodes!$A$2:$F$554,4,FALSE)</f>
        <v>Midrange</v>
      </c>
      <c r="E363" t="str">
        <f>VLOOKUP(B363,UniqueCCOQueueCodes!A:F,6,0)</f>
        <v>Y</v>
      </c>
    </row>
    <row r="364" spans="1:5" x14ac:dyDescent="0.35">
      <c r="A364" t="s">
        <v>1629</v>
      </c>
      <c r="B364" t="s">
        <v>262</v>
      </c>
      <c r="C364" t="s">
        <v>263</v>
      </c>
      <c r="D364" t="str">
        <f>VLOOKUP(B364,UniqueCCOQueueCodes!$A$2:$F$554,4,FALSE)</f>
        <v>Midrange</v>
      </c>
      <c r="E364" t="str">
        <f>VLOOKUP(B364,UniqueCCOQueueCodes!A:F,6,0)</f>
        <v>Y</v>
      </c>
    </row>
    <row r="365" spans="1:5" x14ac:dyDescent="0.35">
      <c r="A365" t="s">
        <v>1630</v>
      </c>
      <c r="B365" t="s">
        <v>262</v>
      </c>
      <c r="C365" t="s">
        <v>263</v>
      </c>
      <c r="D365" t="str">
        <f>VLOOKUP(B365,UniqueCCOQueueCodes!$A$2:$F$554,4,FALSE)</f>
        <v>Midrange</v>
      </c>
      <c r="E365" t="str">
        <f>VLOOKUP(B365,UniqueCCOQueueCodes!A:F,6,0)</f>
        <v>Y</v>
      </c>
    </row>
    <row r="366" spans="1:5" x14ac:dyDescent="0.35">
      <c r="A366" t="s">
        <v>1631</v>
      </c>
      <c r="B366" t="s">
        <v>262</v>
      </c>
      <c r="C366" t="s">
        <v>263</v>
      </c>
      <c r="D366" t="str">
        <f>VLOOKUP(B366,UniqueCCOQueueCodes!$A$2:$F$554,4,FALSE)</f>
        <v>Midrange</v>
      </c>
      <c r="E366" t="str">
        <f>VLOOKUP(B366,UniqueCCOQueueCodes!A:F,6,0)</f>
        <v>Y</v>
      </c>
    </row>
    <row r="367" spans="1:5" x14ac:dyDescent="0.35">
      <c r="A367" t="s">
        <v>1632</v>
      </c>
      <c r="B367" t="s">
        <v>408</v>
      </c>
      <c r="C367" t="s">
        <v>409</v>
      </c>
      <c r="D367" t="str">
        <f>VLOOKUP(B367,UniqueCCOQueueCodes!$A$2:$F$554,4,FALSE)</f>
        <v>Primary</v>
      </c>
      <c r="E367" t="str">
        <f>VLOOKUP(B367,UniqueCCOQueueCodes!A:F,6,0)</f>
        <v>Y</v>
      </c>
    </row>
    <row r="368" spans="1:5" x14ac:dyDescent="0.35">
      <c r="A368" t="s">
        <v>1633</v>
      </c>
      <c r="B368" t="s">
        <v>422</v>
      </c>
      <c r="C368" t="s">
        <v>423</v>
      </c>
      <c r="D368" t="str">
        <f>VLOOKUP(B368,UniqueCCOQueueCodes!$A$2:$F$554,4,FALSE)</f>
        <v>Primary</v>
      </c>
      <c r="E368" t="str">
        <f>VLOOKUP(B368,UniqueCCOQueueCodes!A:F,6,0)</f>
        <v>Y</v>
      </c>
    </row>
    <row r="369" spans="1:5" x14ac:dyDescent="0.35">
      <c r="A369" t="s">
        <v>1634</v>
      </c>
      <c r="B369" t="s">
        <v>688</v>
      </c>
      <c r="C369" t="s">
        <v>689</v>
      </c>
      <c r="D369" t="str">
        <f>VLOOKUP(B369,UniqueCCOQueueCodes!$A$2:$F$554,4,FALSE)</f>
        <v>UDS</v>
      </c>
      <c r="E369" t="str">
        <f>VLOOKUP(B369,UniqueCCOQueueCodes!A:F,6,0)</f>
        <v>Y</v>
      </c>
    </row>
    <row r="370" spans="1:5" x14ac:dyDescent="0.35">
      <c r="A370" t="s">
        <v>1635</v>
      </c>
      <c r="B370" t="s">
        <v>688</v>
      </c>
      <c r="C370" t="s">
        <v>689</v>
      </c>
      <c r="D370" t="str">
        <f>VLOOKUP(B370,UniqueCCOQueueCodes!$A$2:$F$554,4,FALSE)</f>
        <v>UDS</v>
      </c>
      <c r="E370" t="str">
        <f>VLOOKUP(B370,UniqueCCOQueueCodes!A:F,6,0)</f>
        <v>Y</v>
      </c>
    </row>
    <row r="371" spans="1:5" x14ac:dyDescent="0.35">
      <c r="A371" t="s">
        <v>1636</v>
      </c>
      <c r="B371" t="s">
        <v>214</v>
      </c>
      <c r="C371" t="s">
        <v>215</v>
      </c>
      <c r="D371" t="str">
        <f>VLOOKUP(B371,UniqueCCOQueueCodes!$A$2:$F$554,4,FALSE)</f>
        <v>GNCS</v>
      </c>
      <c r="E371" t="str">
        <f>VLOOKUP(B371,UniqueCCOQueueCodes!A:F,6,0)</f>
        <v>Y</v>
      </c>
    </row>
    <row r="372" spans="1:5" x14ac:dyDescent="0.35">
      <c r="A372" t="s">
        <v>1637</v>
      </c>
      <c r="B372" t="s">
        <v>214</v>
      </c>
      <c r="C372" t="s">
        <v>215</v>
      </c>
      <c r="D372" t="str">
        <f>VLOOKUP(B372,UniqueCCOQueueCodes!$A$2:$F$554,4,FALSE)</f>
        <v>GNCS</v>
      </c>
      <c r="E372" t="str">
        <f>VLOOKUP(B372,UniqueCCOQueueCodes!A:F,6,0)</f>
        <v>Y</v>
      </c>
    </row>
    <row r="373" spans="1:5" x14ac:dyDescent="0.35">
      <c r="A373" t="s">
        <v>1638</v>
      </c>
      <c r="B373" t="s">
        <v>214</v>
      </c>
      <c r="C373" t="s">
        <v>215</v>
      </c>
      <c r="D373" t="str">
        <f>VLOOKUP(B373,UniqueCCOQueueCodes!$A$2:$F$554,4,FALSE)</f>
        <v>GNCS</v>
      </c>
      <c r="E373" t="str">
        <f>VLOOKUP(B373,UniqueCCOQueueCodes!A:F,6,0)</f>
        <v>Y</v>
      </c>
    </row>
    <row r="374" spans="1:5" x14ac:dyDescent="0.35">
      <c r="A374" t="s">
        <v>1639</v>
      </c>
      <c r="B374" t="s">
        <v>1052</v>
      </c>
      <c r="C374" t="s">
        <v>1407</v>
      </c>
      <c r="D374">
        <f>VLOOKUP(B374,UniqueCCOQueueCodes!$A$2:$F$554,4,FALSE)</f>
        <v>0</v>
      </c>
      <c r="E374" t="str">
        <f>VLOOKUP(B374,UniqueCCOQueueCodes!A:F,6,0)</f>
        <v>N</v>
      </c>
    </row>
    <row r="375" spans="1:5" x14ac:dyDescent="0.35">
      <c r="A375" t="s">
        <v>1640</v>
      </c>
      <c r="B375" t="s">
        <v>747</v>
      </c>
      <c r="C375" t="s">
        <v>748</v>
      </c>
      <c r="D375">
        <f>VLOOKUP(B375,UniqueCCOQueueCodes!$A$2:$F$554,4,FALSE)</f>
        <v>0</v>
      </c>
      <c r="E375" t="str">
        <f>VLOOKUP(B375,UniqueCCOQueueCodes!A:F,6,0)</f>
        <v>Y</v>
      </c>
    </row>
    <row r="376" spans="1:5" x14ac:dyDescent="0.35">
      <c r="A376" t="s">
        <v>1641</v>
      </c>
      <c r="B376" t="s">
        <v>780</v>
      </c>
      <c r="C376" t="s">
        <v>781</v>
      </c>
      <c r="D376">
        <f>VLOOKUP(B376,UniqueCCOQueueCodes!$A$2:$F$554,4,FALSE)</f>
        <v>0</v>
      </c>
      <c r="E376" t="str">
        <f>VLOOKUP(B376,UniqueCCOQueueCodes!A:F,6,0)</f>
        <v>Y</v>
      </c>
    </row>
    <row r="377" spans="1:5" x14ac:dyDescent="0.35">
      <c r="A377" t="s">
        <v>1642</v>
      </c>
      <c r="B377" t="s">
        <v>240</v>
      </c>
      <c r="C377" t="s">
        <v>241</v>
      </c>
      <c r="D377" t="str">
        <f>VLOOKUP(B377,UniqueCCOQueueCodes!$A$2:$F$554,4,FALSE)</f>
        <v>Midrange</v>
      </c>
      <c r="E377" t="str">
        <f>VLOOKUP(B377,UniqueCCOQueueCodes!A:F,6,0)</f>
        <v>Y</v>
      </c>
    </row>
    <row r="378" spans="1:5" x14ac:dyDescent="0.35">
      <c r="A378" t="s">
        <v>1643</v>
      </c>
      <c r="B378" t="s">
        <v>214</v>
      </c>
      <c r="C378" t="s">
        <v>215</v>
      </c>
      <c r="D378" t="str">
        <f>VLOOKUP(B378,UniqueCCOQueueCodes!$A$2:$F$554,4,FALSE)</f>
        <v>GNCS</v>
      </c>
      <c r="E378" t="str">
        <f>VLOOKUP(B378,UniqueCCOQueueCodes!A:F,6,0)</f>
        <v>Y</v>
      </c>
    </row>
    <row r="379" spans="1:5" x14ac:dyDescent="0.35">
      <c r="A379" t="s">
        <v>1644</v>
      </c>
      <c r="B379" t="s">
        <v>214</v>
      </c>
      <c r="C379" t="s">
        <v>215</v>
      </c>
      <c r="D379" t="str">
        <f>VLOOKUP(B379,UniqueCCOQueueCodes!$A$2:$F$554,4,FALSE)</f>
        <v>GNCS</v>
      </c>
      <c r="E379" t="str">
        <f>VLOOKUP(B379,UniqueCCOQueueCodes!A:F,6,0)</f>
        <v>Y</v>
      </c>
    </row>
    <row r="380" spans="1:5" x14ac:dyDescent="0.35">
      <c r="A380" t="s">
        <v>1645</v>
      </c>
      <c r="B380" t="s">
        <v>50</v>
      </c>
      <c r="C380" t="s">
        <v>51</v>
      </c>
      <c r="D380" t="str">
        <f>VLOOKUP(B380,UniqueCCOQueueCodes!$A$2:$F$554,4,FALSE)</f>
        <v>DPD</v>
      </c>
      <c r="E380" t="str">
        <f>VLOOKUP(B380,UniqueCCOQueueCodes!A:F,6,0)</f>
        <v>Y</v>
      </c>
    </row>
    <row r="381" spans="1:5" x14ac:dyDescent="0.35">
      <c r="A381" t="s">
        <v>1646</v>
      </c>
      <c r="B381" t="s">
        <v>50</v>
      </c>
      <c r="C381" t="s">
        <v>51</v>
      </c>
      <c r="D381" t="str">
        <f>VLOOKUP(B381,UniqueCCOQueueCodes!$A$2:$F$554,4,FALSE)</f>
        <v>DPD</v>
      </c>
      <c r="E381" t="str">
        <f>VLOOKUP(B381,UniqueCCOQueueCodes!A:F,6,0)</f>
        <v>Y</v>
      </c>
    </row>
    <row r="382" spans="1:5" x14ac:dyDescent="0.35">
      <c r="A382" t="s">
        <v>1647</v>
      </c>
      <c r="B382" t="s">
        <v>76</v>
      </c>
      <c r="C382" t="s">
        <v>77</v>
      </c>
      <c r="D382" t="str">
        <f>VLOOKUP(B382,UniqueCCOQueueCodes!$A$2:$F$554,4,FALSE)</f>
        <v>DPD</v>
      </c>
      <c r="E382" t="str">
        <f>VLOOKUP(B382,UniqueCCOQueueCodes!A:F,6,0)</f>
        <v>Y</v>
      </c>
    </row>
    <row r="383" spans="1:5" x14ac:dyDescent="0.35">
      <c r="A383" t="s">
        <v>1648</v>
      </c>
      <c r="B383" t="s">
        <v>76</v>
      </c>
      <c r="C383" t="s">
        <v>77</v>
      </c>
      <c r="D383" t="str">
        <f>VLOOKUP(B383,UniqueCCOQueueCodes!$A$2:$F$554,4,FALSE)</f>
        <v>DPD</v>
      </c>
      <c r="E383" t="str">
        <f>VLOOKUP(B383,UniqueCCOQueueCodes!A:F,6,0)</f>
        <v>Y</v>
      </c>
    </row>
    <row r="384" spans="1:5" x14ac:dyDescent="0.35">
      <c r="A384" t="s">
        <v>1649</v>
      </c>
      <c r="B384" t="s">
        <v>688</v>
      </c>
      <c r="C384" t="s">
        <v>689</v>
      </c>
      <c r="D384" t="str">
        <f>VLOOKUP(B384,UniqueCCOQueueCodes!$A$2:$F$554,4,FALSE)</f>
        <v>UDS</v>
      </c>
      <c r="E384" t="str">
        <f>VLOOKUP(B384,UniqueCCOQueueCodes!A:F,6,0)</f>
        <v>Y</v>
      </c>
    </row>
    <row r="385" spans="1:5" x14ac:dyDescent="0.35">
      <c r="A385" t="s">
        <v>1650</v>
      </c>
      <c r="B385" t="s">
        <v>688</v>
      </c>
      <c r="C385" t="s">
        <v>689</v>
      </c>
      <c r="D385" t="str">
        <f>VLOOKUP(B385,UniqueCCOQueueCodes!$A$2:$F$554,4,FALSE)</f>
        <v>UDS</v>
      </c>
      <c r="E385" t="str">
        <f>VLOOKUP(B385,UniqueCCOQueueCodes!A:F,6,0)</f>
        <v>Y</v>
      </c>
    </row>
    <row r="386" spans="1:5" x14ac:dyDescent="0.35">
      <c r="A386" t="s">
        <v>1651</v>
      </c>
      <c r="B386" t="s">
        <v>682</v>
      </c>
      <c r="C386" t="s">
        <v>683</v>
      </c>
      <c r="D386" t="str">
        <f>VLOOKUP(B386,UniqueCCOQueueCodes!$A$2:$F$554,4,FALSE)</f>
        <v>UDS</v>
      </c>
      <c r="E386" t="str">
        <f>VLOOKUP(B386,UniqueCCOQueueCodes!A:F,6,0)</f>
        <v>Y</v>
      </c>
    </row>
    <row r="387" spans="1:5" x14ac:dyDescent="0.35">
      <c r="A387" t="s">
        <v>1652</v>
      </c>
      <c r="B387" t="s">
        <v>114</v>
      </c>
      <c r="C387" t="s">
        <v>115</v>
      </c>
      <c r="D387" t="str">
        <f>VLOOKUP(B387,UniqueCCOQueueCodes!$A$2:$F$554,4,FALSE)</f>
        <v>DPD</v>
      </c>
      <c r="E387" t="str">
        <f>VLOOKUP(B387,UniqueCCOQueueCodes!A:F,6,0)</f>
        <v>Y</v>
      </c>
    </row>
    <row r="388" spans="1:5" x14ac:dyDescent="0.35">
      <c r="A388" t="s">
        <v>1653</v>
      </c>
      <c r="B388" t="s">
        <v>262</v>
      </c>
      <c r="C388" t="s">
        <v>263</v>
      </c>
      <c r="D388" t="str">
        <f>VLOOKUP(B388,UniqueCCOQueueCodes!$A$2:$F$554,4,FALSE)</f>
        <v>Midrange</v>
      </c>
      <c r="E388" t="str">
        <f>VLOOKUP(B388,UniqueCCOQueueCodes!A:F,6,0)</f>
        <v>Y</v>
      </c>
    </row>
    <row r="389" spans="1:5" x14ac:dyDescent="0.35">
      <c r="A389" t="s">
        <v>1654</v>
      </c>
      <c r="B389" t="s">
        <v>262</v>
      </c>
      <c r="C389" t="s">
        <v>263</v>
      </c>
      <c r="D389" t="str">
        <f>VLOOKUP(B389,UniqueCCOQueueCodes!$A$2:$F$554,4,FALSE)</f>
        <v>Midrange</v>
      </c>
      <c r="E389" t="str">
        <f>VLOOKUP(B389,UniqueCCOQueueCodes!A:F,6,0)</f>
        <v>Y</v>
      </c>
    </row>
    <row r="390" spans="1:5" x14ac:dyDescent="0.35">
      <c r="A390" t="s">
        <v>1655</v>
      </c>
      <c r="B390" t="s">
        <v>408</v>
      </c>
      <c r="C390" t="s">
        <v>409</v>
      </c>
      <c r="D390" t="str">
        <f>VLOOKUP(B390,UniqueCCOQueueCodes!$A$2:$F$554,4,FALSE)</f>
        <v>Primary</v>
      </c>
      <c r="E390" t="str">
        <f>VLOOKUP(B390,UniqueCCOQueueCodes!A:F,6,0)</f>
        <v>Y</v>
      </c>
    </row>
    <row r="391" spans="1:5" x14ac:dyDescent="0.35">
      <c r="A391" t="s">
        <v>1656</v>
      </c>
      <c r="B391" t="s">
        <v>1245</v>
      </c>
      <c r="C391" t="s">
        <v>1246</v>
      </c>
      <c r="D391">
        <f>VLOOKUP(B391,UniqueCCOQueueCodes!$A$2:$F$554,4,FALSE)</f>
        <v>0</v>
      </c>
      <c r="E391" t="str">
        <f>VLOOKUP(B391,UniqueCCOQueueCodes!A:F,6,0)</f>
        <v>N</v>
      </c>
    </row>
    <row r="392" spans="1:5" x14ac:dyDescent="0.35">
      <c r="A392" t="s">
        <v>1657</v>
      </c>
      <c r="B392" t="s">
        <v>422</v>
      </c>
      <c r="C392" t="s">
        <v>423</v>
      </c>
      <c r="D392" t="str">
        <f>VLOOKUP(B392,UniqueCCOQueueCodes!$A$2:$F$554,4,FALSE)</f>
        <v>Primary</v>
      </c>
      <c r="E392" t="str">
        <f>VLOOKUP(B392,UniqueCCOQueueCodes!A:F,6,0)</f>
        <v>Y</v>
      </c>
    </row>
    <row r="393" spans="1:5" x14ac:dyDescent="0.35">
      <c r="A393" t="s">
        <v>1658</v>
      </c>
      <c r="B393" t="s">
        <v>76</v>
      </c>
      <c r="C393" t="s">
        <v>77</v>
      </c>
      <c r="D393" t="str">
        <f>VLOOKUP(B393,UniqueCCOQueueCodes!$A$2:$F$554,4,FALSE)</f>
        <v>DPD</v>
      </c>
      <c r="E393" t="str">
        <f>VLOOKUP(B393,UniqueCCOQueueCodes!A:F,6,0)</f>
        <v>Y</v>
      </c>
    </row>
    <row r="394" spans="1:5" x14ac:dyDescent="0.35">
      <c r="A394" t="s">
        <v>1659</v>
      </c>
      <c r="B394" t="s">
        <v>76</v>
      </c>
      <c r="C394" t="s">
        <v>77</v>
      </c>
      <c r="D394" t="str">
        <f>VLOOKUP(B394,UniqueCCOQueueCodes!$A$2:$F$554,4,FALSE)</f>
        <v>DPD</v>
      </c>
      <c r="E394" t="str">
        <f>VLOOKUP(B394,UniqueCCOQueueCodes!A:F,6,0)</f>
        <v>Y</v>
      </c>
    </row>
    <row r="395" spans="1:5" x14ac:dyDescent="0.35">
      <c r="A395" t="s">
        <v>1660</v>
      </c>
      <c r="B395" t="s">
        <v>682</v>
      </c>
      <c r="C395" t="s">
        <v>683</v>
      </c>
      <c r="D395" t="str">
        <f>VLOOKUP(B395,UniqueCCOQueueCodes!$A$2:$F$554,4,FALSE)</f>
        <v>UDS</v>
      </c>
      <c r="E395" t="str">
        <f>VLOOKUP(B395,UniqueCCOQueueCodes!A:F,6,0)</f>
        <v>Y</v>
      </c>
    </row>
    <row r="396" spans="1:5" x14ac:dyDescent="0.35">
      <c r="A396" t="s">
        <v>1661</v>
      </c>
      <c r="B396" t="s">
        <v>682</v>
      </c>
      <c r="C396" t="s">
        <v>683</v>
      </c>
      <c r="D396" t="str">
        <f>VLOOKUP(B396,UniqueCCOQueueCodes!$A$2:$F$554,4,FALSE)</f>
        <v>UDS</v>
      </c>
      <c r="E396" t="str">
        <f>VLOOKUP(B396,UniqueCCOQueueCodes!A:F,6,0)</f>
        <v>Y</v>
      </c>
    </row>
    <row r="397" spans="1:5" x14ac:dyDescent="0.35">
      <c r="A397" t="s">
        <v>1662</v>
      </c>
      <c r="B397" t="s">
        <v>682</v>
      </c>
      <c r="C397" t="s">
        <v>683</v>
      </c>
      <c r="D397" t="str">
        <f>VLOOKUP(B397,UniqueCCOQueueCodes!$A$2:$F$554,4,FALSE)</f>
        <v>UDS</v>
      </c>
      <c r="E397" t="str">
        <f>VLOOKUP(B397,UniqueCCOQueueCodes!A:F,6,0)</f>
        <v>Y</v>
      </c>
    </row>
    <row r="398" spans="1:5" x14ac:dyDescent="0.35">
      <c r="A398" t="s">
        <v>1663</v>
      </c>
      <c r="B398" t="s">
        <v>688</v>
      </c>
      <c r="C398" t="s">
        <v>689</v>
      </c>
      <c r="D398" t="str">
        <f>VLOOKUP(B398,UniqueCCOQueueCodes!$A$2:$F$554,4,FALSE)</f>
        <v>UDS</v>
      </c>
      <c r="E398" t="str">
        <f>VLOOKUP(B398,UniqueCCOQueueCodes!A:F,6,0)</f>
        <v>Y</v>
      </c>
    </row>
    <row r="399" spans="1:5" x14ac:dyDescent="0.35">
      <c r="A399" t="s">
        <v>1664</v>
      </c>
      <c r="B399" t="s">
        <v>773</v>
      </c>
      <c r="C399" t="s">
        <v>774</v>
      </c>
      <c r="D399">
        <f>VLOOKUP(B399,UniqueCCOQueueCodes!$A$2:$F$554,4,FALSE)</f>
        <v>0</v>
      </c>
      <c r="E399" t="str">
        <f>VLOOKUP(B399,UniqueCCOQueueCodes!A:F,6,0)</f>
        <v>Y</v>
      </c>
    </row>
    <row r="400" spans="1:5" x14ac:dyDescent="0.35">
      <c r="A400" t="s">
        <v>1665</v>
      </c>
      <c r="B400" t="s">
        <v>50</v>
      </c>
      <c r="C400" t="s">
        <v>51</v>
      </c>
      <c r="D400" t="str">
        <f>VLOOKUP(B400,UniqueCCOQueueCodes!$A$2:$F$554,4,FALSE)</f>
        <v>DPD</v>
      </c>
      <c r="E400" t="str">
        <f>VLOOKUP(B400,UniqueCCOQueueCodes!A:F,6,0)</f>
        <v>Y</v>
      </c>
    </row>
    <row r="401" spans="1:5" x14ac:dyDescent="0.35">
      <c r="A401" t="s">
        <v>1666</v>
      </c>
      <c r="B401" t="s">
        <v>50</v>
      </c>
      <c r="C401" t="s">
        <v>51</v>
      </c>
      <c r="D401" t="str">
        <f>VLOOKUP(B401,UniqueCCOQueueCodes!$A$2:$F$554,4,FALSE)</f>
        <v>DPD</v>
      </c>
      <c r="E401" t="str">
        <f>VLOOKUP(B401,UniqueCCOQueueCodes!A:F,6,0)</f>
        <v>Y</v>
      </c>
    </row>
    <row r="402" spans="1:5" x14ac:dyDescent="0.35">
      <c r="A402" t="s">
        <v>1667</v>
      </c>
      <c r="B402" t="s">
        <v>50</v>
      </c>
      <c r="C402" t="s">
        <v>51</v>
      </c>
      <c r="D402" t="str">
        <f>VLOOKUP(B402,UniqueCCOQueueCodes!$A$2:$F$554,4,FALSE)</f>
        <v>DPD</v>
      </c>
      <c r="E402" t="str">
        <f>VLOOKUP(B402,UniqueCCOQueueCodes!A:F,6,0)</f>
        <v>Y</v>
      </c>
    </row>
    <row r="403" spans="1:5" x14ac:dyDescent="0.35">
      <c r="A403" t="s">
        <v>1668</v>
      </c>
      <c r="B403" t="s">
        <v>364</v>
      </c>
      <c r="C403" t="s">
        <v>365</v>
      </c>
      <c r="D403" t="str">
        <f>VLOOKUP(B403,UniqueCCOQueueCodes!$A$2:$F$554,4,FALSE)</f>
        <v>Primary</v>
      </c>
      <c r="E403" t="str">
        <f>VLOOKUP(B403,UniqueCCOQueueCodes!A:F,6,0)</f>
        <v>Y</v>
      </c>
    </row>
    <row r="404" spans="1:5" x14ac:dyDescent="0.35">
      <c r="A404" t="s">
        <v>1669</v>
      </c>
      <c r="B404" t="s">
        <v>76</v>
      </c>
      <c r="C404" t="s">
        <v>77</v>
      </c>
      <c r="D404" t="str">
        <f>VLOOKUP(B404,UniqueCCOQueueCodes!$A$2:$F$554,4,FALSE)</f>
        <v>DPD</v>
      </c>
      <c r="E404" t="str">
        <f>VLOOKUP(B404,UniqueCCOQueueCodes!A:F,6,0)</f>
        <v>Y</v>
      </c>
    </row>
    <row r="405" spans="1:5" x14ac:dyDescent="0.35">
      <c r="A405" t="s">
        <v>1670</v>
      </c>
      <c r="B405" t="s">
        <v>76</v>
      </c>
      <c r="C405" t="s">
        <v>77</v>
      </c>
      <c r="D405" t="str">
        <f>VLOOKUP(B405,UniqueCCOQueueCodes!$A$2:$F$554,4,FALSE)</f>
        <v>DPD</v>
      </c>
      <c r="E405" t="str">
        <f>VLOOKUP(B405,UniqueCCOQueueCodes!A:F,6,0)</f>
        <v>Y</v>
      </c>
    </row>
    <row r="406" spans="1:5" x14ac:dyDescent="0.35">
      <c r="A406" t="s">
        <v>1671</v>
      </c>
      <c r="B406" t="s">
        <v>156</v>
      </c>
      <c r="C406" t="s">
        <v>157</v>
      </c>
      <c r="D406" t="str">
        <f>VLOOKUP(B406,UniqueCCOQueueCodes!$A$2:$F$554,4,FALSE)</f>
        <v>E2E</v>
      </c>
      <c r="E406" t="str">
        <f>VLOOKUP(B406,UniqueCCOQueueCodes!A:F,6,0)</f>
        <v>Y</v>
      </c>
    </row>
    <row r="407" spans="1:5" x14ac:dyDescent="0.35">
      <c r="A407" t="s">
        <v>1672</v>
      </c>
      <c r="B407" t="s">
        <v>743</v>
      </c>
      <c r="C407" t="s">
        <v>744</v>
      </c>
      <c r="D407">
        <f>VLOOKUP(B407,UniqueCCOQueueCodes!$A$2:$F$554,4,FALSE)</f>
        <v>0</v>
      </c>
      <c r="E407" t="str">
        <f>VLOOKUP(B407,UniqueCCOQueueCodes!A:F,6,0)</f>
        <v>Y</v>
      </c>
    </row>
    <row r="408" spans="1:5" x14ac:dyDescent="0.35">
      <c r="A408" t="s">
        <v>1673</v>
      </c>
      <c r="B408" t="s">
        <v>743</v>
      </c>
      <c r="C408" t="s">
        <v>744</v>
      </c>
      <c r="D408">
        <f>VLOOKUP(B408,UniqueCCOQueueCodes!$A$2:$F$554,4,FALSE)</f>
        <v>0</v>
      </c>
      <c r="E408" t="str">
        <f>VLOOKUP(B408,UniqueCCOQueueCodes!A:F,6,0)</f>
        <v>Y</v>
      </c>
    </row>
    <row r="409" spans="1:5" x14ac:dyDescent="0.35">
      <c r="A409" t="s">
        <v>1674</v>
      </c>
      <c r="B409" t="s">
        <v>743</v>
      </c>
      <c r="C409" t="s">
        <v>744</v>
      </c>
      <c r="D409">
        <f>VLOOKUP(B409,UniqueCCOQueueCodes!$A$2:$F$554,4,FALSE)</f>
        <v>0</v>
      </c>
      <c r="E409" t="str">
        <f>VLOOKUP(B409,UniqueCCOQueueCodes!A:F,6,0)</f>
        <v>Y</v>
      </c>
    </row>
    <row r="410" spans="1:5" x14ac:dyDescent="0.35">
      <c r="A410" t="s">
        <v>1675</v>
      </c>
      <c r="B410" t="s">
        <v>743</v>
      </c>
      <c r="C410" t="s">
        <v>744</v>
      </c>
      <c r="D410">
        <f>VLOOKUP(B410,UniqueCCOQueueCodes!$A$2:$F$554,4,FALSE)</f>
        <v>0</v>
      </c>
      <c r="E410" t="str">
        <f>VLOOKUP(B410,UniqueCCOQueueCodes!A:F,6,0)</f>
        <v>Y</v>
      </c>
    </row>
    <row r="411" spans="1:5" x14ac:dyDescent="0.35">
      <c r="A411" t="s">
        <v>1676</v>
      </c>
      <c r="B411" t="s">
        <v>743</v>
      </c>
      <c r="C411" t="s">
        <v>744</v>
      </c>
      <c r="D411">
        <f>VLOOKUP(B411,UniqueCCOQueueCodes!$A$2:$F$554,4,FALSE)</f>
        <v>0</v>
      </c>
      <c r="E411" t="str">
        <f>VLOOKUP(B411,UniqueCCOQueueCodes!A:F,6,0)</f>
        <v>Y</v>
      </c>
    </row>
    <row r="412" spans="1:5" x14ac:dyDescent="0.35">
      <c r="A412" t="s">
        <v>1677</v>
      </c>
      <c r="B412" t="s">
        <v>339</v>
      </c>
      <c r="C412" t="s">
        <v>340</v>
      </c>
      <c r="D412" t="str">
        <f>VLOOKUP(B412,UniqueCCOQueueCodes!$A$2:$F$554,4,FALSE)</f>
        <v>Primary</v>
      </c>
      <c r="E412" t="str">
        <f>VLOOKUP(B412,UniqueCCOQueueCodes!A:F,6,0)</f>
        <v>Y</v>
      </c>
    </row>
    <row r="413" spans="1:5" x14ac:dyDescent="0.35">
      <c r="A413" t="s">
        <v>1678</v>
      </c>
      <c r="B413" t="s">
        <v>339</v>
      </c>
      <c r="C413" t="s">
        <v>340</v>
      </c>
      <c r="D413" t="str">
        <f>VLOOKUP(B413,UniqueCCOQueueCodes!$A$2:$F$554,4,FALSE)</f>
        <v>Primary</v>
      </c>
      <c r="E413" t="str">
        <f>VLOOKUP(B413,UniqueCCOQueueCodes!A:F,6,0)</f>
        <v>Y</v>
      </c>
    </row>
    <row r="414" spans="1:5" x14ac:dyDescent="0.35">
      <c r="A414" t="s">
        <v>1679</v>
      </c>
      <c r="B414" t="s">
        <v>682</v>
      </c>
      <c r="C414" t="s">
        <v>683</v>
      </c>
      <c r="D414" t="str">
        <f>VLOOKUP(B414,UniqueCCOQueueCodes!$A$2:$F$554,4,FALSE)</f>
        <v>UDS</v>
      </c>
      <c r="E414" t="str">
        <f>VLOOKUP(B414,UniqueCCOQueueCodes!A:F,6,0)</f>
        <v>Y</v>
      </c>
    </row>
    <row r="415" spans="1:5" x14ac:dyDescent="0.35">
      <c r="A415" t="s">
        <v>1680</v>
      </c>
      <c r="B415" t="s">
        <v>682</v>
      </c>
      <c r="C415" t="s">
        <v>683</v>
      </c>
      <c r="D415" t="str">
        <f>VLOOKUP(B415,UniqueCCOQueueCodes!$A$2:$F$554,4,FALSE)</f>
        <v>UDS</v>
      </c>
      <c r="E415" t="str">
        <f>VLOOKUP(B415,UniqueCCOQueueCodes!A:F,6,0)</f>
        <v>Y</v>
      </c>
    </row>
    <row r="416" spans="1:5" x14ac:dyDescent="0.35">
      <c r="A416" t="s">
        <v>1681</v>
      </c>
      <c r="B416" t="s">
        <v>682</v>
      </c>
      <c r="C416" t="s">
        <v>683</v>
      </c>
      <c r="D416" t="str">
        <f>VLOOKUP(B416,UniqueCCOQueueCodes!$A$2:$F$554,4,FALSE)</f>
        <v>UDS</v>
      </c>
      <c r="E416" t="str">
        <f>VLOOKUP(B416,UniqueCCOQueueCodes!A:F,6,0)</f>
        <v>Y</v>
      </c>
    </row>
    <row r="417" spans="1:5" x14ac:dyDescent="0.35">
      <c r="A417" t="s">
        <v>1682</v>
      </c>
      <c r="B417" t="s">
        <v>749</v>
      </c>
      <c r="C417" t="s">
        <v>750</v>
      </c>
      <c r="D417">
        <f>VLOOKUP(B417,UniqueCCOQueueCodes!$A$2:$F$554,4,FALSE)</f>
        <v>0</v>
      </c>
      <c r="E417" t="str">
        <f>VLOOKUP(B417,UniqueCCOQueueCodes!A:F,6,0)</f>
        <v>Y</v>
      </c>
    </row>
    <row r="418" spans="1:5" x14ac:dyDescent="0.35">
      <c r="A418" t="s">
        <v>1683</v>
      </c>
      <c r="B418" t="s">
        <v>364</v>
      </c>
      <c r="C418" t="s">
        <v>365</v>
      </c>
      <c r="D418" t="str">
        <f>VLOOKUP(B418,UniqueCCOQueueCodes!$A$2:$F$554,4,FALSE)</f>
        <v>Primary</v>
      </c>
      <c r="E418" t="str">
        <f>VLOOKUP(B418,UniqueCCOQueueCodes!A:F,6,0)</f>
        <v>Y</v>
      </c>
    </row>
    <row r="419" spans="1:5" x14ac:dyDescent="0.35">
      <c r="A419" t="s">
        <v>1684</v>
      </c>
      <c r="B419" t="s">
        <v>114</v>
      </c>
      <c r="C419" t="s">
        <v>115</v>
      </c>
      <c r="D419" t="str">
        <f>VLOOKUP(B419,UniqueCCOQueueCodes!$A$2:$F$554,4,FALSE)</f>
        <v>DPD</v>
      </c>
      <c r="E419" t="str">
        <f>VLOOKUP(B419,UniqueCCOQueueCodes!A:F,6,0)</f>
        <v>Y</v>
      </c>
    </row>
    <row r="420" spans="1:5" x14ac:dyDescent="0.35">
      <c r="A420" t="s">
        <v>1685</v>
      </c>
      <c r="B420" t="s">
        <v>114</v>
      </c>
      <c r="C420" t="s">
        <v>115</v>
      </c>
      <c r="D420" t="str">
        <f>VLOOKUP(B420,UniqueCCOQueueCodes!$A$2:$F$554,4,FALSE)</f>
        <v>DPD</v>
      </c>
      <c r="E420" t="str">
        <f>VLOOKUP(B420,UniqueCCOQueueCodes!A:F,6,0)</f>
        <v>Y</v>
      </c>
    </row>
    <row r="421" spans="1:5" x14ac:dyDescent="0.35">
      <c r="A421" t="s">
        <v>1686</v>
      </c>
      <c r="B421" t="s">
        <v>705</v>
      </c>
      <c r="C421" t="s">
        <v>706</v>
      </c>
      <c r="D421" t="str">
        <f>VLOOKUP(B421,UniqueCCOQueueCodes!$A$2:$F$554,4,FALSE)</f>
        <v>UDS</v>
      </c>
      <c r="E421" t="str">
        <f>VLOOKUP(B421,UniqueCCOQueueCodes!A:F,6,0)</f>
        <v>Y</v>
      </c>
    </row>
    <row r="422" spans="1:5" x14ac:dyDescent="0.35">
      <c r="A422" t="s">
        <v>1687</v>
      </c>
      <c r="B422" t="s">
        <v>705</v>
      </c>
      <c r="C422" t="s">
        <v>706</v>
      </c>
      <c r="D422" t="str">
        <f>VLOOKUP(B422,UniqueCCOQueueCodes!$A$2:$F$554,4,FALSE)</f>
        <v>UDS</v>
      </c>
      <c r="E422" t="str">
        <f>VLOOKUP(B422,UniqueCCOQueueCodes!A:F,6,0)</f>
        <v>Y</v>
      </c>
    </row>
    <row r="423" spans="1:5" x14ac:dyDescent="0.35">
      <c r="A423" t="s">
        <v>1688</v>
      </c>
      <c r="B423" t="s">
        <v>705</v>
      </c>
      <c r="C423" t="s">
        <v>706</v>
      </c>
      <c r="D423" t="str">
        <f>VLOOKUP(B423,UniqueCCOQueueCodes!$A$2:$F$554,4,FALSE)</f>
        <v>UDS</v>
      </c>
      <c r="E423" t="str">
        <f>VLOOKUP(B423,UniqueCCOQueueCodes!A:F,6,0)</f>
        <v>Y</v>
      </c>
    </row>
    <row r="424" spans="1:5" x14ac:dyDescent="0.35">
      <c r="A424" t="s">
        <v>1689</v>
      </c>
      <c r="B424" t="s">
        <v>1061</v>
      </c>
      <c r="C424" t="s">
        <v>1062</v>
      </c>
      <c r="D424" t="str">
        <f>VLOOKUP(B424,UniqueCCOQueueCodes!$A$2:$F$554,4,FALSE)</f>
        <v>RPS</v>
      </c>
      <c r="E424" t="str">
        <f>VLOOKUP(B424,UniqueCCOQueueCodes!A:F,6,0)</f>
        <v>N</v>
      </c>
    </row>
    <row r="425" spans="1:5" x14ac:dyDescent="0.35">
      <c r="A425" t="s">
        <v>1690</v>
      </c>
      <c r="B425" t="s">
        <v>1061</v>
      </c>
      <c r="C425" t="s">
        <v>1062</v>
      </c>
      <c r="D425" t="str">
        <f>VLOOKUP(B425,UniqueCCOQueueCodes!$A$2:$F$554,4,FALSE)</f>
        <v>RPS</v>
      </c>
      <c r="E425" t="str">
        <f>VLOOKUP(B425,UniqueCCOQueueCodes!A:F,6,0)</f>
        <v>N</v>
      </c>
    </row>
    <row r="426" spans="1:5" x14ac:dyDescent="0.35">
      <c r="A426" t="s">
        <v>1691</v>
      </c>
      <c r="B426" t="s">
        <v>1061</v>
      </c>
      <c r="C426" t="s">
        <v>1062</v>
      </c>
      <c r="D426" t="str">
        <f>VLOOKUP(B426,UniqueCCOQueueCodes!$A$2:$F$554,4,FALSE)</f>
        <v>RPS</v>
      </c>
      <c r="E426" t="str">
        <f>VLOOKUP(B426,UniqueCCOQueueCodes!A:F,6,0)</f>
        <v>N</v>
      </c>
    </row>
    <row r="427" spans="1:5" x14ac:dyDescent="0.35">
      <c r="A427" t="s">
        <v>1692</v>
      </c>
      <c r="B427" t="s">
        <v>1061</v>
      </c>
      <c r="C427" t="s">
        <v>1062</v>
      </c>
      <c r="D427" t="str">
        <f>VLOOKUP(B427,UniqueCCOQueueCodes!$A$2:$F$554,4,FALSE)</f>
        <v>RPS</v>
      </c>
      <c r="E427" t="str">
        <f>VLOOKUP(B427,UniqueCCOQueueCodes!A:F,6,0)</f>
        <v>N</v>
      </c>
    </row>
    <row r="428" spans="1:5" x14ac:dyDescent="0.35">
      <c r="A428" t="s">
        <v>1693</v>
      </c>
      <c r="B428" t="s">
        <v>1061</v>
      </c>
      <c r="C428" t="s">
        <v>1062</v>
      </c>
      <c r="D428" t="str">
        <f>VLOOKUP(B428,UniqueCCOQueueCodes!$A$2:$F$554,4,FALSE)</f>
        <v>RPS</v>
      </c>
      <c r="E428" t="str">
        <f>VLOOKUP(B428,UniqueCCOQueueCodes!A:F,6,0)</f>
        <v>N</v>
      </c>
    </row>
    <row r="429" spans="1:5" x14ac:dyDescent="0.35">
      <c r="A429" t="s">
        <v>1694</v>
      </c>
      <c r="B429" t="s">
        <v>1061</v>
      </c>
      <c r="C429" t="s">
        <v>1062</v>
      </c>
      <c r="D429" t="str">
        <f>VLOOKUP(B429,UniqueCCOQueueCodes!$A$2:$F$554,4,FALSE)</f>
        <v>RPS</v>
      </c>
      <c r="E429" t="str">
        <f>VLOOKUP(B429,UniqueCCOQueueCodes!A:F,6,0)</f>
        <v>N</v>
      </c>
    </row>
    <row r="430" spans="1:5" x14ac:dyDescent="0.35">
      <c r="A430" t="s">
        <v>1695</v>
      </c>
      <c r="B430" t="s">
        <v>364</v>
      </c>
      <c r="C430" t="s">
        <v>365</v>
      </c>
      <c r="D430" t="str">
        <f>VLOOKUP(B430,UniqueCCOQueueCodes!$A$2:$F$554,4,FALSE)</f>
        <v>Primary</v>
      </c>
      <c r="E430" t="str">
        <f>VLOOKUP(B430,UniqueCCOQueueCodes!A:F,6,0)</f>
        <v>Y</v>
      </c>
    </row>
    <row r="431" spans="1:5" x14ac:dyDescent="0.35">
      <c r="A431" t="s">
        <v>1696</v>
      </c>
      <c r="B431" t="s">
        <v>364</v>
      </c>
      <c r="C431" t="s">
        <v>365</v>
      </c>
      <c r="D431" t="str">
        <f>VLOOKUP(B431,UniqueCCOQueueCodes!$A$2:$F$554,4,FALSE)</f>
        <v>Primary</v>
      </c>
      <c r="E431" t="str">
        <f>VLOOKUP(B431,UniqueCCOQueueCodes!A:F,6,0)</f>
        <v>Y</v>
      </c>
    </row>
    <row r="432" spans="1:5" x14ac:dyDescent="0.35">
      <c r="A432" t="s">
        <v>1697</v>
      </c>
      <c r="B432" t="s">
        <v>364</v>
      </c>
      <c r="C432" t="s">
        <v>365</v>
      </c>
      <c r="D432" t="str">
        <f>VLOOKUP(B432,UniqueCCOQueueCodes!$A$2:$F$554,4,FALSE)</f>
        <v>Primary</v>
      </c>
      <c r="E432" t="str">
        <f>VLOOKUP(B432,UniqueCCOQueueCodes!A:F,6,0)</f>
        <v>Y</v>
      </c>
    </row>
    <row r="433" spans="1:5" x14ac:dyDescent="0.35">
      <c r="A433" t="s">
        <v>1698</v>
      </c>
      <c r="B433" t="s">
        <v>391</v>
      </c>
      <c r="C433" t="s">
        <v>392</v>
      </c>
      <c r="D433" t="str">
        <f>VLOOKUP(B433,UniqueCCOQueueCodes!$A$2:$F$554,4,FALSE)</f>
        <v>Primary</v>
      </c>
      <c r="E433" t="str">
        <f>VLOOKUP(B433,UniqueCCOQueueCodes!A:F,6,0)</f>
        <v>Y</v>
      </c>
    </row>
    <row r="434" spans="1:5" x14ac:dyDescent="0.35">
      <c r="A434" t="s">
        <v>1699</v>
      </c>
      <c r="B434" t="s">
        <v>755</v>
      </c>
      <c r="C434" t="s">
        <v>756</v>
      </c>
      <c r="D434">
        <f>VLOOKUP(B434,UniqueCCOQueueCodes!$A$2:$F$554,4,FALSE)</f>
        <v>0</v>
      </c>
      <c r="E434" t="str">
        <f>VLOOKUP(B434,UniqueCCOQueueCodes!A:F,6,0)</f>
        <v>Y</v>
      </c>
    </row>
    <row r="435" spans="1:5" x14ac:dyDescent="0.35">
      <c r="A435" t="s">
        <v>1700</v>
      </c>
      <c r="B435" s="2" t="s">
        <v>755</v>
      </c>
      <c r="C435" t="s">
        <v>756</v>
      </c>
      <c r="D435">
        <f>VLOOKUP(B435,UniqueCCOQueueCodes!$A$2:$F$554,4,FALSE)</f>
        <v>0</v>
      </c>
      <c r="E435" t="str">
        <f>VLOOKUP(B435,UniqueCCOQueueCodes!A:F,6,0)</f>
        <v>Y</v>
      </c>
    </row>
    <row r="436" spans="1:5" x14ac:dyDescent="0.35">
      <c r="A436" t="s">
        <v>1701</v>
      </c>
      <c r="B436" t="s">
        <v>730</v>
      </c>
      <c r="C436" t="s">
        <v>731</v>
      </c>
      <c r="D436" t="str">
        <f>VLOOKUP(B436,UniqueCCOQueueCodes!$A$2:$F$554,4,FALSE)</f>
        <v>Enterprise</v>
      </c>
      <c r="E436" t="str">
        <f>VLOOKUP(B436,UniqueCCOQueueCodes!A:F,6,0)</f>
        <v>Y</v>
      </c>
    </row>
    <row r="437" spans="1:5" x14ac:dyDescent="0.35">
      <c r="A437" t="s">
        <v>1702</v>
      </c>
      <c r="B437" t="s">
        <v>755</v>
      </c>
      <c r="C437" t="s">
        <v>756</v>
      </c>
      <c r="D437">
        <f>VLOOKUP(B437,UniqueCCOQueueCodes!$A$2:$F$554,4,FALSE)</f>
        <v>0</v>
      </c>
      <c r="E437" t="str">
        <f>VLOOKUP(B437,UniqueCCOQueueCodes!A:F,6,0)</f>
        <v>Y</v>
      </c>
    </row>
    <row r="438" spans="1:5" x14ac:dyDescent="0.35">
      <c r="A438" t="s">
        <v>1703</v>
      </c>
      <c r="B438" t="s">
        <v>730</v>
      </c>
      <c r="C438" t="s">
        <v>731</v>
      </c>
      <c r="D438" t="str">
        <f>VLOOKUP(B438,UniqueCCOQueueCodes!$A$2:$F$554,4,FALSE)</f>
        <v>Enterprise</v>
      </c>
      <c r="E438" t="str">
        <f>VLOOKUP(B438,UniqueCCOQueueCodes!A:F,6,0)</f>
        <v>Y</v>
      </c>
    </row>
    <row r="439" spans="1:5" x14ac:dyDescent="0.35">
      <c r="A439" t="s">
        <v>1704</v>
      </c>
      <c r="B439" t="s">
        <v>755</v>
      </c>
      <c r="C439" t="s">
        <v>756</v>
      </c>
      <c r="D439">
        <f>VLOOKUP(B439,UniqueCCOQueueCodes!$A$2:$F$554,4,FALSE)</f>
        <v>0</v>
      </c>
      <c r="E439" t="str">
        <f>VLOOKUP(B439,UniqueCCOQueueCodes!A:F,6,0)</f>
        <v>Y</v>
      </c>
    </row>
    <row r="440" spans="1:5" x14ac:dyDescent="0.35">
      <c r="A440" t="s">
        <v>1705</v>
      </c>
      <c r="B440" t="s">
        <v>755</v>
      </c>
      <c r="C440" t="s">
        <v>756</v>
      </c>
      <c r="D440">
        <f>VLOOKUP(B440,UniqueCCOQueueCodes!$A$2:$F$554,4,FALSE)</f>
        <v>0</v>
      </c>
      <c r="E440" t="str">
        <f>VLOOKUP(B440,UniqueCCOQueueCodes!A:F,6,0)</f>
        <v>Y</v>
      </c>
    </row>
    <row r="441" spans="1:5" x14ac:dyDescent="0.35">
      <c r="A441" t="s">
        <v>1706</v>
      </c>
      <c r="B441" t="s">
        <v>755</v>
      </c>
      <c r="C441" t="s">
        <v>756</v>
      </c>
      <c r="D441">
        <f>VLOOKUP(B441,UniqueCCOQueueCodes!$A$2:$F$554,4,FALSE)</f>
        <v>0</v>
      </c>
      <c r="E441" t="str">
        <f>VLOOKUP(B441,UniqueCCOQueueCodes!A:F,6,0)</f>
        <v>Y</v>
      </c>
    </row>
    <row r="442" spans="1:5" x14ac:dyDescent="0.35">
      <c r="A442" t="s">
        <v>1707</v>
      </c>
      <c r="B442" t="s">
        <v>408</v>
      </c>
      <c r="C442" t="s">
        <v>409</v>
      </c>
      <c r="D442" t="str">
        <f>VLOOKUP(B442,UniqueCCOQueueCodes!$A$2:$F$554,4,FALSE)</f>
        <v>Primary</v>
      </c>
      <c r="E442" t="str">
        <f>VLOOKUP(B442,UniqueCCOQueueCodes!A:F,6,0)</f>
        <v>Y</v>
      </c>
    </row>
    <row r="443" spans="1:5" x14ac:dyDescent="0.35">
      <c r="A443" t="s">
        <v>1708</v>
      </c>
      <c r="B443" t="s">
        <v>408</v>
      </c>
      <c r="C443" t="s">
        <v>409</v>
      </c>
      <c r="D443" t="str">
        <f>VLOOKUP(B443,UniqueCCOQueueCodes!$A$2:$F$554,4,FALSE)</f>
        <v>Primary</v>
      </c>
      <c r="E443" t="str">
        <f>VLOOKUP(B443,UniqueCCOQueueCodes!A:F,6,0)</f>
        <v>Y</v>
      </c>
    </row>
    <row r="444" spans="1:5" x14ac:dyDescent="0.35">
      <c r="A444" t="s">
        <v>1709</v>
      </c>
      <c r="B444" t="s">
        <v>1245</v>
      </c>
      <c r="C444" t="s">
        <v>1246</v>
      </c>
      <c r="D444">
        <f>VLOOKUP(B444,UniqueCCOQueueCodes!$A$2:$F$554,4,FALSE)</f>
        <v>0</v>
      </c>
      <c r="E444" t="str">
        <f>VLOOKUP(B444,UniqueCCOQueueCodes!A:F,6,0)</f>
        <v>N</v>
      </c>
    </row>
    <row r="445" spans="1:5" x14ac:dyDescent="0.35">
      <c r="A445" t="s">
        <v>1710</v>
      </c>
      <c r="B445" t="s">
        <v>422</v>
      </c>
      <c r="C445" t="s">
        <v>423</v>
      </c>
      <c r="D445" t="str">
        <f>VLOOKUP(B445,UniqueCCOQueueCodes!$A$2:$F$554,4,FALSE)</f>
        <v>Primary</v>
      </c>
      <c r="E445" t="str">
        <f>VLOOKUP(B445,UniqueCCOQueueCodes!A:F,6,0)</f>
        <v>Y</v>
      </c>
    </row>
    <row r="446" spans="1:5" x14ac:dyDescent="0.35">
      <c r="A446" t="s">
        <v>1711</v>
      </c>
      <c r="B446" t="s">
        <v>246</v>
      </c>
      <c r="C446" t="s">
        <v>247</v>
      </c>
      <c r="D446" t="str">
        <f>VLOOKUP(B446,UniqueCCOQueueCodes!$A$2:$F$554,4,FALSE)</f>
        <v>Midrange</v>
      </c>
      <c r="E446" t="str">
        <f>VLOOKUP(B446,UniqueCCOQueueCodes!A:F,6,0)</f>
        <v>Y</v>
      </c>
    </row>
    <row r="447" spans="1:5" x14ac:dyDescent="0.35">
      <c r="A447" t="s">
        <v>1712</v>
      </c>
      <c r="B447" t="s">
        <v>50</v>
      </c>
      <c r="C447" t="s">
        <v>51</v>
      </c>
      <c r="D447" t="str">
        <f>VLOOKUP(B447,UniqueCCOQueueCodes!$A$2:$F$554,4,FALSE)</f>
        <v>DPD</v>
      </c>
      <c r="E447" t="str">
        <f>VLOOKUP(B447,UniqueCCOQueueCodes!A:F,6,0)</f>
        <v>Y</v>
      </c>
    </row>
    <row r="448" spans="1:5" x14ac:dyDescent="0.35">
      <c r="A448" t="s">
        <v>1713</v>
      </c>
      <c r="B448" t="s">
        <v>76</v>
      </c>
      <c r="C448" t="s">
        <v>77</v>
      </c>
      <c r="D448" t="str">
        <f>VLOOKUP(B448,UniqueCCOQueueCodes!$A$2:$F$554,4,FALSE)</f>
        <v>DPD</v>
      </c>
      <c r="E448" t="str">
        <f>VLOOKUP(B448,UniqueCCOQueueCodes!A:F,6,0)</f>
        <v>Y</v>
      </c>
    </row>
    <row r="449" spans="1:5" x14ac:dyDescent="0.35">
      <c r="A449" t="s">
        <v>1714</v>
      </c>
      <c r="B449" t="s">
        <v>196</v>
      </c>
      <c r="C449" t="s">
        <v>197</v>
      </c>
      <c r="D449" t="str">
        <f>VLOOKUP(B449,UniqueCCOQueueCodes!$A$2:$F$554,4,FALSE)</f>
        <v>GNCS</v>
      </c>
      <c r="E449" t="str">
        <f>VLOOKUP(B449,UniqueCCOQueueCodes!A:F,6,0)</f>
        <v>Y</v>
      </c>
    </row>
    <row r="450" spans="1:5" x14ac:dyDescent="0.35">
      <c r="A450" t="s">
        <v>1715</v>
      </c>
      <c r="B450" t="s">
        <v>339</v>
      </c>
      <c r="C450" t="s">
        <v>340</v>
      </c>
      <c r="D450" t="str">
        <f>VLOOKUP(B450,UniqueCCOQueueCodes!$A$2:$F$554,4,FALSE)</f>
        <v>Primary</v>
      </c>
      <c r="E450" t="str">
        <f>VLOOKUP(B450,UniqueCCOQueueCodes!A:F,6,0)</f>
        <v>Y</v>
      </c>
    </row>
    <row r="451" spans="1:5" x14ac:dyDescent="0.35">
      <c r="A451" t="s">
        <v>1716</v>
      </c>
      <c r="B451" t="s">
        <v>339</v>
      </c>
      <c r="C451" t="s">
        <v>340</v>
      </c>
      <c r="D451" t="str">
        <f>VLOOKUP(B451,UniqueCCOQueueCodes!$A$2:$F$554,4,FALSE)</f>
        <v>Primary</v>
      </c>
      <c r="E451" t="str">
        <f>VLOOKUP(B451,UniqueCCOQueueCodes!A:F,6,0)</f>
        <v>Y</v>
      </c>
    </row>
    <row r="452" spans="1:5" x14ac:dyDescent="0.35">
      <c r="A452" t="s">
        <v>1717</v>
      </c>
      <c r="B452" t="s">
        <v>682</v>
      </c>
      <c r="C452" t="s">
        <v>683</v>
      </c>
      <c r="D452" t="str">
        <f>VLOOKUP(B452,UniqueCCOQueueCodes!$A$2:$F$554,4,FALSE)</f>
        <v>UDS</v>
      </c>
      <c r="E452" t="str">
        <f>VLOOKUP(B452,UniqueCCOQueueCodes!A:F,6,0)</f>
        <v>Y</v>
      </c>
    </row>
    <row r="453" spans="1:5" x14ac:dyDescent="0.35">
      <c r="A453" t="s">
        <v>1718</v>
      </c>
      <c r="B453" t="s">
        <v>705</v>
      </c>
      <c r="C453" t="s">
        <v>706</v>
      </c>
      <c r="D453" t="str">
        <f>VLOOKUP(B453,UniqueCCOQueueCodes!$A$2:$F$554,4,FALSE)</f>
        <v>UDS</v>
      </c>
      <c r="E453" t="str">
        <f>VLOOKUP(B453,UniqueCCOQueueCodes!A:F,6,0)</f>
        <v>Y</v>
      </c>
    </row>
    <row r="454" spans="1:5" x14ac:dyDescent="0.35">
      <c r="A454" t="s">
        <v>1719</v>
      </c>
      <c r="B454" t="s">
        <v>364</v>
      </c>
      <c r="C454" t="s">
        <v>365</v>
      </c>
      <c r="D454" t="str">
        <f>VLOOKUP(B454,UniqueCCOQueueCodes!$A$2:$F$554,4,FALSE)</f>
        <v>Primary</v>
      </c>
      <c r="E454" t="str">
        <f>VLOOKUP(B454,UniqueCCOQueueCodes!A:F,6,0)</f>
        <v>Y</v>
      </c>
    </row>
    <row r="455" spans="1:5" x14ac:dyDescent="0.35">
      <c r="A455" t="s">
        <v>1720</v>
      </c>
      <c r="B455" t="s">
        <v>364</v>
      </c>
      <c r="C455" t="s">
        <v>365</v>
      </c>
      <c r="D455" t="str">
        <f>VLOOKUP(B455,UniqueCCOQueueCodes!$A$2:$F$554,4,FALSE)</f>
        <v>Primary</v>
      </c>
      <c r="E455" t="str">
        <f>VLOOKUP(B455,UniqueCCOQueueCodes!A:F,6,0)</f>
        <v>Y</v>
      </c>
    </row>
    <row r="456" spans="1:5" x14ac:dyDescent="0.35">
      <c r="A456" t="s">
        <v>1721</v>
      </c>
      <c r="B456" t="s">
        <v>391</v>
      </c>
      <c r="C456" t="s">
        <v>392</v>
      </c>
      <c r="D456" t="str">
        <f>VLOOKUP(B456,UniqueCCOQueueCodes!$A$2:$F$554,4,FALSE)</f>
        <v>Primary</v>
      </c>
      <c r="E456" t="str">
        <f>VLOOKUP(B456,UniqueCCOQueueCodes!A:F,6,0)</f>
        <v>Y</v>
      </c>
    </row>
    <row r="457" spans="1:5" x14ac:dyDescent="0.35">
      <c r="A457" t="s">
        <v>1722</v>
      </c>
      <c r="B457" t="s">
        <v>248</v>
      </c>
      <c r="C457" t="s">
        <v>249</v>
      </c>
      <c r="D457" t="str">
        <f>VLOOKUP(B457,UniqueCCOQueueCodes!$A$2:$F$554,4,FALSE)</f>
        <v>Midrange</v>
      </c>
      <c r="E457" t="str">
        <f>VLOOKUP(B457,UniqueCCOQueueCodes!A:F,6,0)</f>
        <v>Y</v>
      </c>
    </row>
    <row r="458" spans="1:5" x14ac:dyDescent="0.35">
      <c r="A458" t="s">
        <v>1723</v>
      </c>
      <c r="B458" t="s">
        <v>408</v>
      </c>
      <c r="C458" t="s">
        <v>409</v>
      </c>
      <c r="D458" t="str">
        <f>VLOOKUP(B458,UniqueCCOQueueCodes!$A$2:$F$554,4,FALSE)</f>
        <v>Primary</v>
      </c>
      <c r="E458" t="str">
        <f>VLOOKUP(B458,UniqueCCOQueueCodes!A:F,6,0)</f>
        <v>Y</v>
      </c>
    </row>
    <row r="459" spans="1:5" x14ac:dyDescent="0.35">
      <c r="A459" t="s">
        <v>1724</v>
      </c>
      <c r="B459" t="s">
        <v>408</v>
      </c>
      <c r="C459" t="s">
        <v>409</v>
      </c>
      <c r="D459" t="str">
        <f>VLOOKUP(B459,UniqueCCOQueueCodes!$A$2:$F$554,4,FALSE)</f>
        <v>Primary</v>
      </c>
      <c r="E459" t="str">
        <f>VLOOKUP(B459,UniqueCCOQueueCodes!A:F,6,0)</f>
        <v>Y</v>
      </c>
    </row>
    <row r="460" spans="1:5" x14ac:dyDescent="0.35">
      <c r="A460" t="s">
        <v>1725</v>
      </c>
      <c r="B460" t="s">
        <v>1245</v>
      </c>
      <c r="C460" t="s">
        <v>1246</v>
      </c>
      <c r="D460">
        <f>VLOOKUP(B460,UniqueCCOQueueCodes!$A$2:$F$554,4,FALSE)</f>
        <v>0</v>
      </c>
      <c r="E460" t="str">
        <f>VLOOKUP(B460,UniqueCCOQueueCodes!A:F,6,0)</f>
        <v>N</v>
      </c>
    </row>
    <row r="461" spans="1:5" x14ac:dyDescent="0.35">
      <c r="A461" t="s">
        <v>1726</v>
      </c>
      <c r="B461" t="s">
        <v>422</v>
      </c>
      <c r="C461" t="s">
        <v>423</v>
      </c>
      <c r="D461" t="str">
        <f>VLOOKUP(B461,UniqueCCOQueueCodes!$A$2:$F$554,4,FALSE)</f>
        <v>Primary</v>
      </c>
      <c r="E461" t="str">
        <f>VLOOKUP(B461,UniqueCCOQueueCodes!A:F,6,0)</f>
        <v>Y</v>
      </c>
    </row>
    <row r="462" spans="1:5" x14ac:dyDescent="0.35">
      <c r="A462" t="s">
        <v>1727</v>
      </c>
      <c r="B462" t="s">
        <v>422</v>
      </c>
      <c r="C462" t="s">
        <v>423</v>
      </c>
      <c r="D462" t="str">
        <f>VLOOKUP(B462,UniqueCCOQueueCodes!$A$2:$F$554,4,FALSE)</f>
        <v>Primary</v>
      </c>
      <c r="E462" t="str">
        <f>VLOOKUP(B462,UniqueCCOQueueCodes!A:F,6,0)</f>
        <v>Y</v>
      </c>
    </row>
    <row r="463" spans="1:5" x14ac:dyDescent="0.35">
      <c r="A463" t="s">
        <v>1728</v>
      </c>
      <c r="B463" t="s">
        <v>310</v>
      </c>
      <c r="C463" t="s">
        <v>311</v>
      </c>
      <c r="D463" t="str">
        <f>VLOOKUP(B463,UniqueCCOQueueCodes!$A$2:$F$554,4,FALSE)</f>
        <v>Primary</v>
      </c>
      <c r="E463" t="str">
        <f>VLOOKUP(B463,UniqueCCOQueueCodes!A:F,6,0)</f>
        <v>Y</v>
      </c>
    </row>
    <row r="464" spans="1:5" x14ac:dyDescent="0.35">
      <c r="A464" t="s">
        <v>1729</v>
      </c>
      <c r="B464" t="s">
        <v>769</v>
      </c>
      <c r="C464" t="s">
        <v>770</v>
      </c>
      <c r="D464">
        <f>VLOOKUP(B464,UniqueCCOQueueCodes!$A$2:$F$554,4,FALSE)</f>
        <v>0</v>
      </c>
      <c r="E464" t="str">
        <f>VLOOKUP(B464,UniqueCCOQueueCodes!A:F,6,0)</f>
        <v>Y</v>
      </c>
    </row>
    <row r="465" spans="1:5" x14ac:dyDescent="0.35">
      <c r="A465" t="s">
        <v>1730</v>
      </c>
      <c r="B465" t="s">
        <v>682</v>
      </c>
      <c r="C465" t="s">
        <v>683</v>
      </c>
      <c r="D465" t="str">
        <f>VLOOKUP(B465,UniqueCCOQueueCodes!$A$2:$F$554,4,FALSE)</f>
        <v>UDS</v>
      </c>
      <c r="E465" t="str">
        <f>VLOOKUP(B465,UniqueCCOQueueCodes!A:F,6,0)</f>
        <v>Y</v>
      </c>
    </row>
    <row r="466" spans="1:5" x14ac:dyDescent="0.35">
      <c r="A466" t="s">
        <v>1731</v>
      </c>
      <c r="B466" t="s">
        <v>114</v>
      </c>
      <c r="C466" t="s">
        <v>115</v>
      </c>
      <c r="D466" t="str">
        <f>VLOOKUP(B466,UniqueCCOQueueCodes!$A$2:$F$554,4,FALSE)</f>
        <v>DPD</v>
      </c>
      <c r="E466" t="str">
        <f>VLOOKUP(B466,UniqueCCOQueueCodes!A:F,6,0)</f>
        <v>Y</v>
      </c>
    </row>
    <row r="467" spans="1:5" x14ac:dyDescent="0.35">
      <c r="A467" t="s">
        <v>1732</v>
      </c>
      <c r="B467" t="s">
        <v>364</v>
      </c>
      <c r="C467" t="s">
        <v>365</v>
      </c>
      <c r="D467" t="str">
        <f>VLOOKUP(B467,UniqueCCOQueueCodes!$A$2:$F$554,4,FALSE)</f>
        <v>Primary</v>
      </c>
      <c r="E467" t="str">
        <f>VLOOKUP(B467,UniqueCCOQueueCodes!A:F,6,0)</f>
        <v>Y</v>
      </c>
    </row>
    <row r="468" spans="1:5" x14ac:dyDescent="0.35">
      <c r="A468" t="s">
        <v>1733</v>
      </c>
      <c r="B468" t="s">
        <v>364</v>
      </c>
      <c r="C468" t="s">
        <v>365</v>
      </c>
      <c r="D468" t="str">
        <f>VLOOKUP(B468,UniqueCCOQueueCodes!$A$2:$F$554,4,FALSE)</f>
        <v>Primary</v>
      </c>
      <c r="E468" t="str">
        <f>VLOOKUP(B468,UniqueCCOQueueCodes!A:F,6,0)</f>
        <v>Y</v>
      </c>
    </row>
    <row r="469" spans="1:5" x14ac:dyDescent="0.35">
      <c r="A469" t="s">
        <v>1734</v>
      </c>
      <c r="B469" t="s">
        <v>391</v>
      </c>
      <c r="C469" t="s">
        <v>392</v>
      </c>
      <c r="D469" t="str">
        <f>VLOOKUP(B469,UniqueCCOQueueCodes!$A$2:$F$554,4,FALSE)</f>
        <v>Primary</v>
      </c>
      <c r="E469" t="str">
        <f>VLOOKUP(B469,UniqueCCOQueueCodes!A:F,6,0)</f>
        <v>Y</v>
      </c>
    </row>
    <row r="470" spans="1:5" x14ac:dyDescent="0.35">
      <c r="A470" t="s">
        <v>1735</v>
      </c>
      <c r="B470" t="s">
        <v>759</v>
      </c>
      <c r="C470" t="s">
        <v>760</v>
      </c>
      <c r="D470">
        <f>VLOOKUP(B470,UniqueCCOQueueCodes!$A$2:$F$554,4,FALSE)</f>
        <v>0</v>
      </c>
      <c r="E470" t="str">
        <f>VLOOKUP(B470,UniqueCCOQueueCodes!A:F,6,0)</f>
        <v>Y</v>
      </c>
    </row>
    <row r="471" spans="1:5" x14ac:dyDescent="0.35">
      <c r="A471" t="s">
        <v>1736</v>
      </c>
      <c r="B471" t="s">
        <v>248</v>
      </c>
      <c r="C471" t="s">
        <v>249</v>
      </c>
      <c r="D471" t="str">
        <f>VLOOKUP(B471,UniqueCCOQueueCodes!$A$2:$F$554,4,FALSE)</f>
        <v>Midrange</v>
      </c>
      <c r="E471" t="str">
        <f>VLOOKUP(B471,UniqueCCOQueueCodes!A:F,6,0)</f>
        <v>Y</v>
      </c>
    </row>
    <row r="472" spans="1:5" x14ac:dyDescent="0.35">
      <c r="A472" t="s">
        <v>1737</v>
      </c>
      <c r="B472" t="s">
        <v>52</v>
      </c>
      <c r="C472" t="s">
        <v>53</v>
      </c>
      <c r="D472" t="str">
        <f>VLOOKUP(B472,UniqueCCOQueueCodes!$A$2:$F$554,4,FALSE)</f>
        <v>DPD</v>
      </c>
      <c r="E472" t="str">
        <f>VLOOKUP(B472,UniqueCCOQueueCodes!A:F,6,0)</f>
        <v>Y</v>
      </c>
    </row>
    <row r="473" spans="1:5" x14ac:dyDescent="0.35">
      <c r="A473" t="s">
        <v>1738</v>
      </c>
      <c r="B473" t="s">
        <v>52</v>
      </c>
      <c r="C473" t="s">
        <v>53</v>
      </c>
      <c r="D473" t="str">
        <f>VLOOKUP(B473,UniqueCCOQueueCodes!$A$2:$F$554,4,FALSE)</f>
        <v>DPD</v>
      </c>
      <c r="E473" t="str">
        <f>VLOOKUP(B473,UniqueCCOQueueCodes!A:F,6,0)</f>
        <v>Y</v>
      </c>
    </row>
    <row r="474" spans="1:5" x14ac:dyDescent="0.35">
      <c r="A474" t="s">
        <v>1739</v>
      </c>
      <c r="B474" t="s">
        <v>52</v>
      </c>
      <c r="C474" t="s">
        <v>53</v>
      </c>
      <c r="D474" t="str">
        <f>VLOOKUP(B474,UniqueCCOQueueCodes!$A$2:$F$554,4,FALSE)</f>
        <v>DPD</v>
      </c>
      <c r="E474" t="str">
        <f>VLOOKUP(B474,UniqueCCOQueueCodes!A:F,6,0)</f>
        <v>Y</v>
      </c>
    </row>
    <row r="475" spans="1:5" x14ac:dyDescent="0.35">
      <c r="A475" t="s">
        <v>1740</v>
      </c>
      <c r="B475" t="s">
        <v>1052</v>
      </c>
      <c r="C475" t="s">
        <v>1407</v>
      </c>
      <c r="D475">
        <f>VLOOKUP(B475,UniqueCCOQueueCodes!$A$2:$F$554,4,FALSE)</f>
        <v>0</v>
      </c>
      <c r="E475" t="str">
        <f>VLOOKUP(B475,UniqueCCOQueueCodes!A:F,6,0)</f>
        <v>N</v>
      </c>
    </row>
    <row r="476" spans="1:5" x14ac:dyDescent="0.35">
      <c r="A476" t="s">
        <v>1741</v>
      </c>
      <c r="B476" t="s">
        <v>1052</v>
      </c>
      <c r="C476" t="s">
        <v>1407</v>
      </c>
      <c r="D476">
        <f>VLOOKUP(B476,UniqueCCOQueueCodes!$A$2:$F$554,4,FALSE)</f>
        <v>0</v>
      </c>
      <c r="E476" t="str">
        <f>VLOOKUP(B476,UniqueCCOQueueCodes!A:F,6,0)</f>
        <v>N</v>
      </c>
    </row>
    <row r="477" spans="1:5" x14ac:dyDescent="0.35">
      <c r="A477" t="s">
        <v>1742</v>
      </c>
      <c r="B477" t="s">
        <v>1052</v>
      </c>
      <c r="C477" t="s">
        <v>1407</v>
      </c>
      <c r="D477">
        <f>VLOOKUP(B477,UniqueCCOQueueCodes!$A$2:$F$554,4,FALSE)</f>
        <v>0</v>
      </c>
      <c r="E477" t="str">
        <f>VLOOKUP(B477,UniqueCCOQueueCodes!A:F,6,0)</f>
        <v>N</v>
      </c>
    </row>
    <row r="478" spans="1:5" x14ac:dyDescent="0.35">
      <c r="A478" t="s">
        <v>1743</v>
      </c>
      <c r="B478" t="s">
        <v>76</v>
      </c>
      <c r="C478" t="s">
        <v>77</v>
      </c>
      <c r="D478" t="str">
        <f>VLOOKUP(B478,UniqueCCOQueueCodes!$A$2:$F$554,4,FALSE)</f>
        <v>DPD</v>
      </c>
      <c r="E478" t="str">
        <f>VLOOKUP(B478,UniqueCCOQueueCodes!A:F,6,0)</f>
        <v>Y</v>
      </c>
    </row>
    <row r="479" spans="1:5" x14ac:dyDescent="0.35">
      <c r="A479" t="s">
        <v>1744</v>
      </c>
      <c r="B479" t="s">
        <v>1061</v>
      </c>
      <c r="C479" t="s">
        <v>1062</v>
      </c>
      <c r="D479" t="str">
        <f>VLOOKUP(B479,UniqueCCOQueueCodes!$A$2:$F$554,4,FALSE)</f>
        <v>RPS</v>
      </c>
      <c r="E479" t="str">
        <f>VLOOKUP(B479,UniqueCCOQueueCodes!A:F,6,0)</f>
        <v>N</v>
      </c>
    </row>
    <row r="480" spans="1:5" x14ac:dyDescent="0.35">
      <c r="A480" t="s">
        <v>1745</v>
      </c>
      <c r="B480" t="s">
        <v>214</v>
      </c>
      <c r="C480" t="s">
        <v>215</v>
      </c>
      <c r="D480" t="str">
        <f>VLOOKUP(B480,UniqueCCOQueueCodes!$A$2:$F$554,4,FALSE)</f>
        <v>GNCS</v>
      </c>
      <c r="E480" t="str">
        <f>VLOOKUP(B480,UniqueCCOQueueCodes!A:F,6,0)</f>
        <v>Y</v>
      </c>
    </row>
    <row r="481" spans="1:5" x14ac:dyDescent="0.35">
      <c r="A481" t="s">
        <v>1746</v>
      </c>
      <c r="B481" t="s">
        <v>214</v>
      </c>
      <c r="C481" t="s">
        <v>215</v>
      </c>
      <c r="D481" t="str">
        <f>VLOOKUP(B481,UniqueCCOQueueCodes!$A$2:$F$554,4,FALSE)</f>
        <v>GNCS</v>
      </c>
      <c r="E481" t="str">
        <f>VLOOKUP(B481,UniqueCCOQueueCodes!A:F,6,0)</f>
        <v>Y</v>
      </c>
    </row>
    <row r="482" spans="1:5" x14ac:dyDescent="0.35">
      <c r="A482" t="s">
        <v>1747</v>
      </c>
      <c r="B482" t="s">
        <v>214</v>
      </c>
      <c r="C482" t="s">
        <v>215</v>
      </c>
      <c r="D482" t="str">
        <f>VLOOKUP(B482,UniqueCCOQueueCodes!$A$2:$F$554,4,FALSE)</f>
        <v>GNCS</v>
      </c>
      <c r="E482" t="str">
        <f>VLOOKUP(B482,UniqueCCOQueueCodes!A:F,6,0)</f>
        <v>Y</v>
      </c>
    </row>
    <row r="483" spans="1:5" x14ac:dyDescent="0.35">
      <c r="A483" t="s">
        <v>1748</v>
      </c>
      <c r="B483" t="s">
        <v>214</v>
      </c>
      <c r="C483" t="s">
        <v>215</v>
      </c>
      <c r="D483" t="str">
        <f>VLOOKUP(B483,UniqueCCOQueueCodes!$A$2:$F$554,4,FALSE)</f>
        <v>GNCS</v>
      </c>
      <c r="E483" t="str">
        <f>VLOOKUP(B483,UniqueCCOQueueCodes!A:F,6,0)</f>
        <v>Y</v>
      </c>
    </row>
    <row r="484" spans="1:5" x14ac:dyDescent="0.35">
      <c r="A484" t="s">
        <v>1749</v>
      </c>
      <c r="B484" t="s">
        <v>339</v>
      </c>
      <c r="C484" t="s">
        <v>340</v>
      </c>
      <c r="D484" t="str">
        <f>VLOOKUP(B484,UniqueCCOQueueCodes!$A$2:$F$554,4,FALSE)</f>
        <v>Primary</v>
      </c>
      <c r="E484" t="str">
        <f>VLOOKUP(B484,UniqueCCOQueueCodes!A:F,6,0)</f>
        <v>Y</v>
      </c>
    </row>
    <row r="485" spans="1:5" x14ac:dyDescent="0.35">
      <c r="A485" t="s">
        <v>1750</v>
      </c>
      <c r="B485" t="s">
        <v>339</v>
      </c>
      <c r="C485" t="s">
        <v>340</v>
      </c>
      <c r="D485" t="str">
        <f>VLOOKUP(B485,UniqueCCOQueueCodes!$A$2:$F$554,4,FALSE)</f>
        <v>Primary</v>
      </c>
      <c r="E485" t="str">
        <f>VLOOKUP(B485,UniqueCCOQueueCodes!A:F,6,0)</f>
        <v>Y</v>
      </c>
    </row>
    <row r="486" spans="1:5" x14ac:dyDescent="0.35">
      <c r="A486" t="s">
        <v>1751</v>
      </c>
      <c r="B486" t="s">
        <v>688</v>
      </c>
      <c r="C486" t="s">
        <v>689</v>
      </c>
      <c r="D486" t="str">
        <f>VLOOKUP(B486,UniqueCCOQueueCodes!$A$2:$F$554,4,FALSE)</f>
        <v>UDS</v>
      </c>
      <c r="E486" t="str">
        <f>VLOOKUP(B486,UniqueCCOQueueCodes!A:F,6,0)</f>
        <v>Y</v>
      </c>
    </row>
    <row r="487" spans="1:5" x14ac:dyDescent="0.35">
      <c r="A487" t="s">
        <v>1752</v>
      </c>
      <c r="B487" t="s">
        <v>688</v>
      </c>
      <c r="C487" t="s">
        <v>689</v>
      </c>
      <c r="D487" t="str">
        <f>VLOOKUP(B487,UniqueCCOQueueCodes!$A$2:$F$554,4,FALSE)</f>
        <v>UDS</v>
      </c>
      <c r="E487" t="str">
        <f>VLOOKUP(B487,UniqueCCOQueueCodes!A:F,6,0)</f>
        <v>Y</v>
      </c>
    </row>
    <row r="488" spans="1:5" x14ac:dyDescent="0.35">
      <c r="A488" t="s">
        <v>1753</v>
      </c>
      <c r="B488" t="s">
        <v>688</v>
      </c>
      <c r="C488" t="s">
        <v>689</v>
      </c>
      <c r="D488" t="str">
        <f>VLOOKUP(B488,UniqueCCOQueueCodes!$A$2:$F$554,4,FALSE)</f>
        <v>UDS</v>
      </c>
      <c r="E488" t="str">
        <f>VLOOKUP(B488,UniqueCCOQueueCodes!A:F,6,0)</f>
        <v>Y</v>
      </c>
    </row>
    <row r="489" spans="1:5" x14ac:dyDescent="0.35">
      <c r="A489" t="s">
        <v>1754</v>
      </c>
      <c r="B489" t="s">
        <v>688</v>
      </c>
      <c r="C489" t="s">
        <v>689</v>
      </c>
      <c r="D489" t="str">
        <f>VLOOKUP(B489,UniqueCCOQueueCodes!$A$2:$F$554,4,FALSE)</f>
        <v>UDS</v>
      </c>
      <c r="E489" t="str">
        <f>VLOOKUP(B489,UniqueCCOQueueCodes!A:F,6,0)</f>
        <v>Y</v>
      </c>
    </row>
    <row r="490" spans="1:5" x14ac:dyDescent="0.35">
      <c r="A490" t="s">
        <v>1755</v>
      </c>
      <c r="B490" t="s">
        <v>114</v>
      </c>
      <c r="C490" t="s">
        <v>115</v>
      </c>
      <c r="D490" t="str">
        <f>VLOOKUP(B490,UniqueCCOQueueCodes!$A$2:$F$554,4,FALSE)</f>
        <v>DPD</v>
      </c>
      <c r="E490" t="str">
        <f>VLOOKUP(B490,UniqueCCOQueueCodes!A:F,6,0)</f>
        <v>Y</v>
      </c>
    </row>
    <row r="491" spans="1:5" x14ac:dyDescent="0.35">
      <c r="A491" t="s">
        <v>1756</v>
      </c>
      <c r="B491" t="s">
        <v>114</v>
      </c>
      <c r="C491" t="s">
        <v>115</v>
      </c>
      <c r="D491" t="str">
        <f>VLOOKUP(B491,UniqueCCOQueueCodes!$A$2:$F$554,4,FALSE)</f>
        <v>DPD</v>
      </c>
      <c r="E491" t="str">
        <f>VLOOKUP(B491,UniqueCCOQueueCodes!A:F,6,0)</f>
        <v>Y</v>
      </c>
    </row>
    <row r="492" spans="1:5" x14ac:dyDescent="0.35">
      <c r="A492" t="s">
        <v>1757</v>
      </c>
      <c r="B492" t="s">
        <v>705</v>
      </c>
      <c r="C492" t="s">
        <v>706</v>
      </c>
      <c r="D492" t="str">
        <f>VLOOKUP(B492,UniqueCCOQueueCodes!$A$2:$F$554,4,FALSE)</f>
        <v>UDS</v>
      </c>
      <c r="E492" t="str">
        <f>VLOOKUP(B492,UniqueCCOQueueCodes!A:F,6,0)</f>
        <v>Y</v>
      </c>
    </row>
    <row r="493" spans="1:5" x14ac:dyDescent="0.35">
      <c r="A493" t="s">
        <v>1758</v>
      </c>
      <c r="B493" t="s">
        <v>705</v>
      </c>
      <c r="C493" t="s">
        <v>706</v>
      </c>
      <c r="D493" t="str">
        <f>VLOOKUP(B493,UniqueCCOQueueCodes!$A$2:$F$554,4,FALSE)</f>
        <v>UDS</v>
      </c>
      <c r="E493" t="str">
        <f>VLOOKUP(B493,UniqueCCOQueueCodes!A:F,6,0)</f>
        <v>Y</v>
      </c>
    </row>
    <row r="494" spans="1:5" x14ac:dyDescent="0.35">
      <c r="A494" t="s">
        <v>1759</v>
      </c>
      <c r="B494" t="s">
        <v>705</v>
      </c>
      <c r="C494" t="s">
        <v>706</v>
      </c>
      <c r="D494" t="str">
        <f>VLOOKUP(B494,UniqueCCOQueueCodes!$A$2:$F$554,4,FALSE)</f>
        <v>UDS</v>
      </c>
      <c r="E494" t="str">
        <f>VLOOKUP(B494,UniqueCCOQueueCodes!A:F,6,0)</f>
        <v>Y</v>
      </c>
    </row>
    <row r="495" spans="1:5" x14ac:dyDescent="0.35">
      <c r="A495" t="s">
        <v>1760</v>
      </c>
      <c r="B495" t="s">
        <v>705</v>
      </c>
      <c r="C495" t="s">
        <v>706</v>
      </c>
      <c r="D495" t="str">
        <f>VLOOKUP(B495,UniqueCCOQueueCodes!$A$2:$F$554,4,FALSE)</f>
        <v>UDS</v>
      </c>
      <c r="E495" t="str">
        <f>VLOOKUP(B495,UniqueCCOQueueCodes!A:F,6,0)</f>
        <v>Y</v>
      </c>
    </row>
    <row r="496" spans="1:5" x14ac:dyDescent="0.35">
      <c r="A496" t="s">
        <v>1761</v>
      </c>
      <c r="B496" t="s">
        <v>1061</v>
      </c>
      <c r="C496" t="s">
        <v>1062</v>
      </c>
      <c r="D496" t="str">
        <f>VLOOKUP(B496,UniqueCCOQueueCodes!$A$2:$F$554,4,FALSE)</f>
        <v>RPS</v>
      </c>
      <c r="E496" t="str">
        <f>VLOOKUP(B496,UniqueCCOQueueCodes!A:F,6,0)</f>
        <v>N</v>
      </c>
    </row>
    <row r="497" spans="1:5" x14ac:dyDescent="0.35">
      <c r="A497" t="s">
        <v>1762</v>
      </c>
      <c r="B497" t="s">
        <v>1061</v>
      </c>
      <c r="C497" t="s">
        <v>1062</v>
      </c>
      <c r="D497" t="str">
        <f>VLOOKUP(B497,UniqueCCOQueueCodes!$A$2:$F$554,4,FALSE)</f>
        <v>RPS</v>
      </c>
      <c r="E497" t="str">
        <f>VLOOKUP(B497,UniqueCCOQueueCodes!A:F,6,0)</f>
        <v>N</v>
      </c>
    </row>
    <row r="498" spans="1:5" x14ac:dyDescent="0.35">
      <c r="A498" t="s">
        <v>1763</v>
      </c>
      <c r="B498" t="s">
        <v>1061</v>
      </c>
      <c r="C498" t="s">
        <v>1062</v>
      </c>
      <c r="D498" t="str">
        <f>VLOOKUP(B498,UniqueCCOQueueCodes!$A$2:$F$554,4,FALSE)</f>
        <v>RPS</v>
      </c>
      <c r="E498" t="str">
        <f>VLOOKUP(B498,UniqueCCOQueueCodes!A:F,6,0)</f>
        <v>N</v>
      </c>
    </row>
    <row r="499" spans="1:5" x14ac:dyDescent="0.35">
      <c r="A499" t="s">
        <v>1764</v>
      </c>
      <c r="B499" t="s">
        <v>1061</v>
      </c>
      <c r="C499" t="s">
        <v>1062</v>
      </c>
      <c r="D499" t="str">
        <f>VLOOKUP(B499,UniqueCCOQueueCodes!$A$2:$F$554,4,FALSE)</f>
        <v>RPS</v>
      </c>
      <c r="E499" t="str">
        <f>VLOOKUP(B499,UniqueCCOQueueCodes!A:F,6,0)</f>
        <v>N</v>
      </c>
    </row>
    <row r="500" spans="1:5" x14ac:dyDescent="0.35">
      <c r="A500" t="s">
        <v>1765</v>
      </c>
      <c r="B500" t="s">
        <v>1061</v>
      </c>
      <c r="C500" t="s">
        <v>1062</v>
      </c>
      <c r="D500" t="str">
        <f>VLOOKUP(B500,UniqueCCOQueueCodes!$A$2:$F$554,4,FALSE)</f>
        <v>RPS</v>
      </c>
      <c r="E500" t="str">
        <f>VLOOKUP(B500,UniqueCCOQueueCodes!A:F,6,0)</f>
        <v>N</v>
      </c>
    </row>
    <row r="501" spans="1:5" x14ac:dyDescent="0.35">
      <c r="A501" t="s">
        <v>1766</v>
      </c>
      <c r="B501" t="s">
        <v>1061</v>
      </c>
      <c r="C501" t="s">
        <v>1062</v>
      </c>
      <c r="D501" t="str">
        <f>VLOOKUP(B501,UniqueCCOQueueCodes!$A$2:$F$554,4,FALSE)</f>
        <v>RPS</v>
      </c>
      <c r="E501" t="str">
        <f>VLOOKUP(B501,UniqueCCOQueueCodes!A:F,6,0)</f>
        <v>N</v>
      </c>
    </row>
    <row r="502" spans="1:5" x14ac:dyDescent="0.35">
      <c r="A502" t="s">
        <v>1767</v>
      </c>
      <c r="B502" t="s">
        <v>1061</v>
      </c>
      <c r="C502" t="s">
        <v>1062</v>
      </c>
      <c r="D502" t="str">
        <f>VLOOKUP(B502,UniqueCCOQueueCodes!$A$2:$F$554,4,FALSE)</f>
        <v>RPS</v>
      </c>
      <c r="E502" t="str">
        <f>VLOOKUP(B502,UniqueCCOQueueCodes!A:F,6,0)</f>
        <v>N</v>
      </c>
    </row>
    <row r="503" spans="1:5" x14ac:dyDescent="0.35">
      <c r="A503" t="s">
        <v>1768</v>
      </c>
      <c r="B503" t="s">
        <v>339</v>
      </c>
      <c r="C503" t="s">
        <v>340</v>
      </c>
      <c r="D503" t="str">
        <f>VLOOKUP(B503,UniqueCCOQueueCodes!$A$2:$F$554,4,FALSE)</f>
        <v>Primary</v>
      </c>
      <c r="E503" t="str">
        <f>VLOOKUP(B503,UniqueCCOQueueCodes!A:F,6,0)</f>
        <v>Y</v>
      </c>
    </row>
    <row r="504" spans="1:5" x14ac:dyDescent="0.35">
      <c r="A504" t="s">
        <v>1769</v>
      </c>
      <c r="B504" t="s">
        <v>364</v>
      </c>
      <c r="C504" t="s">
        <v>365</v>
      </c>
      <c r="D504" t="str">
        <f>VLOOKUP(B504,UniqueCCOQueueCodes!$A$2:$F$554,4,FALSE)</f>
        <v>Primary</v>
      </c>
      <c r="E504" t="str">
        <f>VLOOKUP(B504,UniqueCCOQueueCodes!A:F,6,0)</f>
        <v>Y</v>
      </c>
    </row>
    <row r="505" spans="1:5" x14ac:dyDescent="0.35">
      <c r="A505" t="s">
        <v>1770</v>
      </c>
      <c r="B505" t="s">
        <v>364</v>
      </c>
      <c r="C505" t="s">
        <v>365</v>
      </c>
      <c r="D505" t="str">
        <f>VLOOKUP(B505,UniqueCCOQueueCodes!$A$2:$F$554,4,FALSE)</f>
        <v>Primary</v>
      </c>
      <c r="E505" t="str">
        <f>VLOOKUP(B505,UniqueCCOQueueCodes!A:F,6,0)</f>
        <v>Y</v>
      </c>
    </row>
    <row r="506" spans="1:5" x14ac:dyDescent="0.35">
      <c r="A506" t="s">
        <v>1771</v>
      </c>
      <c r="B506" t="s">
        <v>391</v>
      </c>
      <c r="C506" t="s">
        <v>392</v>
      </c>
      <c r="D506" t="str">
        <f>VLOOKUP(B506,UniqueCCOQueueCodes!$A$2:$F$554,4,FALSE)</f>
        <v>Primary</v>
      </c>
      <c r="E506" t="str">
        <f>VLOOKUP(B506,UniqueCCOQueueCodes!A:F,6,0)</f>
        <v>Y</v>
      </c>
    </row>
    <row r="507" spans="1:5" x14ac:dyDescent="0.35">
      <c r="A507" t="s">
        <v>1772</v>
      </c>
      <c r="B507" t="s">
        <v>391</v>
      </c>
      <c r="C507" t="s">
        <v>392</v>
      </c>
      <c r="D507" t="str">
        <f>VLOOKUP(B507,UniqueCCOQueueCodes!$A$2:$F$554,4,FALSE)</f>
        <v>Primary</v>
      </c>
      <c r="E507" t="str">
        <f>VLOOKUP(B507,UniqueCCOQueueCodes!A:F,6,0)</f>
        <v>Y</v>
      </c>
    </row>
    <row r="508" spans="1:5" x14ac:dyDescent="0.35">
      <c r="A508" t="s">
        <v>1773</v>
      </c>
      <c r="B508" t="s">
        <v>262</v>
      </c>
      <c r="C508" t="s">
        <v>263</v>
      </c>
      <c r="D508" t="str">
        <f>VLOOKUP(B508,UniqueCCOQueueCodes!$A$2:$F$554,4,FALSE)</f>
        <v>Midrange</v>
      </c>
      <c r="E508" t="str">
        <f>VLOOKUP(B508,UniqueCCOQueueCodes!A:F,6,0)</f>
        <v>Y</v>
      </c>
    </row>
    <row r="509" spans="1:5" x14ac:dyDescent="0.35">
      <c r="A509" t="s">
        <v>1774</v>
      </c>
      <c r="B509" t="s">
        <v>262</v>
      </c>
      <c r="C509" t="s">
        <v>263</v>
      </c>
      <c r="D509" t="str">
        <f>VLOOKUP(B509,UniqueCCOQueueCodes!$A$2:$F$554,4,FALSE)</f>
        <v>Midrange</v>
      </c>
      <c r="E509" t="str">
        <f>VLOOKUP(B509,UniqueCCOQueueCodes!A:F,6,0)</f>
        <v>Y</v>
      </c>
    </row>
    <row r="510" spans="1:5" x14ac:dyDescent="0.35">
      <c r="A510" t="s">
        <v>1775</v>
      </c>
      <c r="B510" t="s">
        <v>262</v>
      </c>
      <c r="C510" t="s">
        <v>263</v>
      </c>
      <c r="D510" t="str">
        <f>VLOOKUP(B510,UniqueCCOQueueCodes!$A$2:$F$554,4,FALSE)</f>
        <v>Midrange</v>
      </c>
      <c r="E510" t="str">
        <f>VLOOKUP(B510,UniqueCCOQueueCodes!A:F,6,0)</f>
        <v>Y</v>
      </c>
    </row>
    <row r="511" spans="1:5" x14ac:dyDescent="0.35">
      <c r="A511" t="s">
        <v>1776</v>
      </c>
      <c r="B511" t="s">
        <v>262</v>
      </c>
      <c r="C511" t="s">
        <v>263</v>
      </c>
      <c r="D511" t="str">
        <f>VLOOKUP(B511,UniqueCCOQueueCodes!$A$2:$F$554,4,FALSE)</f>
        <v>Midrange</v>
      </c>
      <c r="E511" t="str">
        <f>VLOOKUP(B511,UniqueCCOQueueCodes!A:F,6,0)</f>
        <v>Y</v>
      </c>
    </row>
    <row r="512" spans="1:5" x14ac:dyDescent="0.35">
      <c r="A512" t="s">
        <v>1777</v>
      </c>
      <c r="B512" t="s">
        <v>262</v>
      </c>
      <c r="C512" t="s">
        <v>263</v>
      </c>
      <c r="D512" t="str">
        <f>VLOOKUP(B512,UniqueCCOQueueCodes!$A$2:$F$554,4,FALSE)</f>
        <v>Midrange</v>
      </c>
      <c r="E512" t="str">
        <f>VLOOKUP(B512,UniqueCCOQueueCodes!A:F,6,0)</f>
        <v>Y</v>
      </c>
    </row>
    <row r="513" spans="1:5" x14ac:dyDescent="0.35">
      <c r="A513" t="s">
        <v>1778</v>
      </c>
      <c r="B513" t="s">
        <v>408</v>
      </c>
      <c r="C513" t="s">
        <v>409</v>
      </c>
      <c r="D513" t="str">
        <f>VLOOKUP(B513,UniqueCCOQueueCodes!$A$2:$F$554,4,FALSE)</f>
        <v>Primary</v>
      </c>
      <c r="E513" t="str">
        <f>VLOOKUP(B513,UniqueCCOQueueCodes!A:F,6,0)</f>
        <v>Y</v>
      </c>
    </row>
    <row r="514" spans="1:5" x14ac:dyDescent="0.35">
      <c r="A514" t="s">
        <v>1779</v>
      </c>
      <c r="B514" t="s">
        <v>1245</v>
      </c>
      <c r="C514" t="s">
        <v>1246</v>
      </c>
      <c r="D514">
        <f>VLOOKUP(B514,UniqueCCOQueueCodes!$A$2:$F$554,4,FALSE)</f>
        <v>0</v>
      </c>
      <c r="E514" t="str">
        <f>VLOOKUP(B514,UniqueCCOQueueCodes!A:F,6,0)</f>
        <v>N</v>
      </c>
    </row>
    <row r="515" spans="1:5" x14ac:dyDescent="0.35">
      <c r="A515" t="s">
        <v>1780</v>
      </c>
      <c r="B515" t="s">
        <v>422</v>
      </c>
      <c r="C515" t="s">
        <v>423</v>
      </c>
      <c r="D515" t="str">
        <f>VLOOKUP(B515,UniqueCCOQueueCodes!$A$2:$F$554,4,FALSE)</f>
        <v>Primary</v>
      </c>
      <c r="E515" t="str">
        <f>VLOOKUP(B515,UniqueCCOQueueCodes!A:F,6,0)</f>
        <v>Y</v>
      </c>
    </row>
    <row r="516" spans="1:5" x14ac:dyDescent="0.35">
      <c r="A516" t="s">
        <v>1781</v>
      </c>
      <c r="B516" t="s">
        <v>422</v>
      </c>
      <c r="C516" t="s">
        <v>423</v>
      </c>
      <c r="D516" t="str">
        <f>VLOOKUP(B516,UniqueCCOQueueCodes!$A$2:$F$554,4,FALSE)</f>
        <v>Primary</v>
      </c>
      <c r="E516" t="str">
        <f>VLOOKUP(B516,UniqueCCOQueueCodes!A:F,6,0)</f>
        <v>Y</v>
      </c>
    </row>
    <row r="517" spans="1:5" x14ac:dyDescent="0.35">
      <c r="A517" t="s">
        <v>1782</v>
      </c>
      <c r="B517" t="s">
        <v>422</v>
      </c>
      <c r="C517" t="s">
        <v>423</v>
      </c>
      <c r="D517" t="str">
        <f>VLOOKUP(B517,UniqueCCOQueueCodes!$A$2:$F$554,4,FALSE)</f>
        <v>Primary</v>
      </c>
      <c r="E517" t="str">
        <f>VLOOKUP(B517,UniqueCCOQueueCodes!A:F,6,0)</f>
        <v>Y</v>
      </c>
    </row>
    <row r="518" spans="1:5" x14ac:dyDescent="0.35">
      <c r="A518" s="4" t="s">
        <v>1783</v>
      </c>
      <c r="B518" t="s">
        <v>163</v>
      </c>
      <c r="C518" t="s">
        <v>1279</v>
      </c>
      <c r="D518" t="str">
        <f>VLOOKUP(B518,UniqueCCOQueueCodes!$A$2:$F$554,4,FALSE)</f>
        <v>GNCS</v>
      </c>
      <c r="E518" t="str">
        <f>VLOOKUP(B518,UniqueCCOQueueCodes!A:F,6,0)</f>
        <v>Y</v>
      </c>
    </row>
    <row r="519" spans="1:5" x14ac:dyDescent="0.35">
      <c r="A519" s="4" t="s">
        <v>1784</v>
      </c>
      <c r="B519" t="s">
        <v>186</v>
      </c>
      <c r="C519" t="s">
        <v>187</v>
      </c>
      <c r="D519" t="str">
        <f>VLOOKUP(B519,UniqueCCOQueueCodes!$A$2:$F$554,4,FALSE)</f>
        <v>GNCS</v>
      </c>
      <c r="E519" t="str">
        <f>VLOOKUP(B519,UniqueCCOQueueCodes!A:F,6,0)</f>
        <v>Y</v>
      </c>
    </row>
    <row r="520" spans="1:5" x14ac:dyDescent="0.35">
      <c r="A520" s="4" t="s">
        <v>1785</v>
      </c>
      <c r="B520" t="s">
        <v>95</v>
      </c>
      <c r="C520" t="s">
        <v>96</v>
      </c>
      <c r="D520" t="str">
        <f>VLOOKUP(B520,UniqueCCOQueueCodes!$A$2:$F$554,4,FALSE)</f>
        <v>DPD</v>
      </c>
      <c r="E520" t="str">
        <f>VLOOKUP(B520,UniqueCCOQueueCodes!A:F,6,0)</f>
        <v>Y</v>
      </c>
    </row>
    <row r="521" spans="1:5" x14ac:dyDescent="0.35">
      <c r="A521" s="4" t="s">
        <v>1786</v>
      </c>
      <c r="B521" t="s">
        <v>684</v>
      </c>
      <c r="C521" t="s">
        <v>685</v>
      </c>
      <c r="D521" t="str">
        <f>VLOOKUP(B521,UniqueCCOQueueCodes!$A$2:$F$554,4,FALSE)</f>
        <v>UDS</v>
      </c>
      <c r="E521" t="str">
        <f>VLOOKUP(B521,UniqueCCOQueueCodes!A:F,6,0)</f>
        <v>Y</v>
      </c>
    </row>
    <row r="522" spans="1:5" x14ac:dyDescent="0.35">
      <c r="A522" s="4" t="s">
        <v>1787</v>
      </c>
      <c r="B522" t="s">
        <v>186</v>
      </c>
      <c r="C522" t="s">
        <v>187</v>
      </c>
      <c r="D522" t="str">
        <f>VLOOKUP(B522,UniqueCCOQueueCodes!$A$2:$F$554,4,FALSE)</f>
        <v>GNCS</v>
      </c>
      <c r="E522" t="str">
        <f>VLOOKUP(B522,UniqueCCOQueueCodes!A:F,6,0)</f>
        <v>Y</v>
      </c>
    </row>
    <row r="523" spans="1:5" x14ac:dyDescent="0.35">
      <c r="A523" s="9" t="s">
        <v>1788</v>
      </c>
      <c r="B523" t="s">
        <v>872</v>
      </c>
      <c r="C523" t="s">
        <v>873</v>
      </c>
      <c r="D523" t="str">
        <f>VLOOKUP(B523,UniqueCCOQueueCodes!$A$2:$F$554,4,FALSE)</f>
        <v>GIST</v>
      </c>
      <c r="E523" t="str">
        <f>VLOOKUP(B523,UniqueCCOQueueCodes!A:F,6,0)</f>
        <v>Y</v>
      </c>
    </row>
    <row r="524" spans="1:5" x14ac:dyDescent="0.35">
      <c r="A524" s="4" t="s">
        <v>1789</v>
      </c>
      <c r="B524" t="s">
        <v>422</v>
      </c>
      <c r="C524" t="s">
        <v>423</v>
      </c>
      <c r="D524" t="str">
        <f>VLOOKUP(B524,UniqueCCOQueueCodes!$A$2:$F$554,4,FALSE)</f>
        <v>Primary</v>
      </c>
      <c r="E524" t="str">
        <f>VLOOKUP(B524,UniqueCCOQueueCodes!A:F,6,0)</f>
        <v>Y</v>
      </c>
    </row>
    <row r="840" spans="2:3" x14ac:dyDescent="0.35">
      <c r="B840" t="s">
        <v>114</v>
      </c>
      <c r="C840" t="s">
        <v>115</v>
      </c>
    </row>
    <row r="841" spans="2:3" x14ac:dyDescent="0.35">
      <c r="B841" t="s">
        <v>114</v>
      </c>
      <c r="C841" t="s">
        <v>115</v>
      </c>
    </row>
    <row r="842" spans="2:3" x14ac:dyDescent="0.35">
      <c r="B842" t="s">
        <v>907</v>
      </c>
      <c r="C842" t="s">
        <v>908</v>
      </c>
    </row>
    <row r="843" spans="2:3" x14ac:dyDescent="0.35">
      <c r="B843" t="s">
        <v>734</v>
      </c>
      <c r="C843" t="s">
        <v>735</v>
      </c>
    </row>
    <row r="844" spans="2:3" x14ac:dyDescent="0.35">
      <c r="B844" t="s">
        <v>525</v>
      </c>
      <c r="C844" t="s">
        <v>526</v>
      </c>
    </row>
    <row r="845" spans="2:3" x14ac:dyDescent="0.35">
      <c r="B845" t="s">
        <v>734</v>
      </c>
      <c r="C845" t="s">
        <v>735</v>
      </c>
    </row>
    <row r="847" spans="2:3" x14ac:dyDescent="0.35">
      <c r="B847" t="s">
        <v>910</v>
      </c>
      <c r="C847" t="s">
        <v>911</v>
      </c>
    </row>
    <row r="848" spans="2:3" x14ac:dyDescent="0.35">
      <c r="B848" t="s">
        <v>364</v>
      </c>
      <c r="C848" t="s">
        <v>365</v>
      </c>
    </row>
    <row r="849" spans="2:3" x14ac:dyDescent="0.35">
      <c r="B849" t="s">
        <v>114</v>
      </c>
      <c r="C849" t="s">
        <v>115</v>
      </c>
    </row>
    <row r="850" spans="2:3" x14ac:dyDescent="0.35">
      <c r="B850" t="s">
        <v>76</v>
      </c>
      <c r="C850" t="s">
        <v>77</v>
      </c>
    </row>
    <row r="851" spans="2:3" x14ac:dyDescent="0.35">
      <c r="B851" t="s">
        <v>78</v>
      </c>
      <c r="C851" t="s">
        <v>79</v>
      </c>
    </row>
    <row r="852" spans="2:3" x14ac:dyDescent="0.35">
      <c r="B852" t="s">
        <v>591</v>
      </c>
      <c r="C852" t="s">
        <v>592</v>
      </c>
    </row>
    <row r="853" spans="2:3" x14ac:dyDescent="0.35">
      <c r="B853" t="s">
        <v>1214</v>
      </c>
      <c r="C853" t="s">
        <v>1215</v>
      </c>
    </row>
    <row r="854" spans="2:3" x14ac:dyDescent="0.35">
      <c r="B854" t="s">
        <v>214</v>
      </c>
      <c r="C854" t="s">
        <v>215</v>
      </c>
    </row>
    <row r="857" spans="2:3" x14ac:dyDescent="0.35">
      <c r="B857" t="s">
        <v>759</v>
      </c>
      <c r="C857" t="s">
        <v>760</v>
      </c>
    </row>
    <row r="858" spans="2:3" x14ac:dyDescent="0.35">
      <c r="B858" t="s">
        <v>610</v>
      </c>
      <c r="C858" t="s">
        <v>611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215F-CF4D-4335-8A64-367F51C407C9}">
  <sheetPr codeName="Sheet13"/>
  <dimension ref="A1:W9"/>
  <sheetViews>
    <sheetView workbookViewId="0">
      <selection activeCell="A3" sqref="A3"/>
    </sheetView>
  </sheetViews>
  <sheetFormatPr defaultRowHeight="14.5" x14ac:dyDescent="0.35"/>
  <sheetData>
    <row r="1" spans="1:23" x14ac:dyDescent="0.35">
      <c r="A1" t="s">
        <v>1790</v>
      </c>
      <c r="B1" t="s">
        <v>903</v>
      </c>
      <c r="C1" s="1">
        <v>0.629</v>
      </c>
      <c r="D1" t="s">
        <v>1790</v>
      </c>
      <c r="G1" t="s">
        <v>1790</v>
      </c>
      <c r="J1" t="s">
        <v>1790</v>
      </c>
      <c r="M1" t="s">
        <v>1790</v>
      </c>
      <c r="P1" t="s">
        <v>1790</v>
      </c>
      <c r="S1" t="s">
        <v>1790</v>
      </c>
      <c r="V1" t="s">
        <v>1790</v>
      </c>
      <c r="W1" t="s">
        <v>5</v>
      </c>
    </row>
    <row r="2" spans="1:23" x14ac:dyDescent="0.35">
      <c r="B2" t="s">
        <v>918</v>
      </c>
      <c r="C2" s="1">
        <v>0.58199999999999996</v>
      </c>
    </row>
    <row r="3" spans="1:23" x14ac:dyDescent="0.35">
      <c r="B3" t="s">
        <v>909</v>
      </c>
      <c r="C3" s="1">
        <v>0.63900000000000001</v>
      </c>
    </row>
    <row r="4" spans="1:23" x14ac:dyDescent="0.35">
      <c r="B4" t="s">
        <v>906</v>
      </c>
      <c r="C4" s="1">
        <v>0.629</v>
      </c>
    </row>
    <row r="5" spans="1:23" x14ac:dyDescent="0.35">
      <c r="B5" s="8" t="s">
        <v>912</v>
      </c>
      <c r="C5" s="10">
        <v>0.61699999999999999</v>
      </c>
    </row>
    <row r="6" spans="1:23" x14ac:dyDescent="0.35">
      <c r="B6" t="s">
        <v>893</v>
      </c>
      <c r="C6" s="1">
        <v>0.64800000000000002</v>
      </c>
      <c r="H6" t="s">
        <v>912</v>
      </c>
      <c r="I6" s="1">
        <v>0.623</v>
      </c>
      <c r="J6" s="1"/>
    </row>
    <row r="7" spans="1:23" x14ac:dyDescent="0.35">
      <c r="B7" t="s">
        <v>929</v>
      </c>
      <c r="C7" s="1">
        <v>0.63300000000000001</v>
      </c>
      <c r="H7" t="s">
        <v>1791</v>
      </c>
      <c r="I7" s="1">
        <v>0.61299999999999999</v>
      </c>
      <c r="J7" s="1">
        <v>0.61299999999999999</v>
      </c>
    </row>
    <row r="8" spans="1:23" x14ac:dyDescent="0.35">
      <c r="B8" t="s">
        <v>935</v>
      </c>
      <c r="C8" s="1">
        <v>0.64300000000000002</v>
      </c>
      <c r="H8" t="s">
        <v>1792</v>
      </c>
      <c r="I8" s="1">
        <v>0.621</v>
      </c>
      <c r="J8" s="1">
        <v>0.621</v>
      </c>
    </row>
    <row r="9" spans="1:23" x14ac:dyDescent="0.35">
      <c r="I9" s="1">
        <f>AVERAGE(I6:I8)</f>
        <v>0.61899999999999999</v>
      </c>
      <c r="J9" s="1">
        <f>AVERAGE(J6:J8)</f>
        <v>0.61699999999999999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71b8dd-2a89-463c-98c0-f60c04efba18">
      <Terms xmlns="http://schemas.microsoft.com/office/infopath/2007/PartnerControls"/>
    </lcf76f155ced4ddcb4097134ff3c332f>
    <TaxCatchAll xmlns="58cc4942-a341-4479-8cc3-706fec4a6e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344D08712BB54E857062E802E1B668" ma:contentTypeVersion="18" ma:contentTypeDescription="Create a new document." ma:contentTypeScope="" ma:versionID="bcfedf8fb970f9fdc4d81ec918044daa">
  <xsd:schema xmlns:xsd="http://www.w3.org/2001/XMLSchema" xmlns:xs="http://www.w3.org/2001/XMLSchema" xmlns:p="http://schemas.microsoft.com/office/2006/metadata/properties" xmlns:ns2="0271b8dd-2a89-463c-98c0-f60c04efba18" xmlns:ns3="58cc4942-a341-4479-8cc3-706fec4a6ee6" targetNamespace="http://schemas.microsoft.com/office/2006/metadata/properties" ma:root="true" ma:fieldsID="7d3d11f76d3e7cf36ae503e1a7d5ff43" ns2:_="" ns3:_="">
    <xsd:import namespace="0271b8dd-2a89-463c-98c0-f60c04efba18"/>
    <xsd:import namespace="58cc4942-a341-4479-8cc3-706fec4a6e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1b8dd-2a89-463c-98c0-f60c04efb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4a8f3d3-8814-4760-a664-575ca63320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cc4942-a341-4479-8cc3-706fec4a6ee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4875819-13ef-404d-a9d6-3b8996038499}" ma:internalName="TaxCatchAll" ma:showField="CatchAllData" ma:web="58cc4942-a341-4479-8cc3-706fec4a6e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1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AEFB4F-E1EC-427C-A404-5829ACD3F4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8A0DB4-43D6-49A5-903E-F5C236583338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58cc4942-a341-4479-8cc3-706fec4a6ee6"/>
    <ds:schemaRef ds:uri="0271b8dd-2a89-463c-98c0-f60c04efba1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ADADD02-012C-4C33-947D-EC3E4F64D9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71b8dd-2a89-463c-98c0-f60c04efba18"/>
    <ds:schemaRef ds:uri="58cc4942-a341-4479-8cc3-706fec4a6e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Sheet1</vt:lpstr>
      <vt:lpstr>Sheet8</vt:lpstr>
      <vt:lpstr>UniqueCCOQueueCodes</vt:lpstr>
      <vt:lpstr>Sheet7</vt:lpstr>
      <vt:lpstr>Unique_CCO_Queue_Code_Update</vt:lpstr>
      <vt:lpstr>AR</vt:lpstr>
      <vt:lpstr>CQNs Merged_Split</vt:lpstr>
      <vt:lpstr>Sheet4</vt:lpstr>
      <vt:lpstr>Sheet5</vt:lpstr>
      <vt:lpstr>Sheet6</vt:lpstr>
      <vt:lpstr>Sheet2</vt:lpstr>
      <vt:lpstr>Sheet3</vt:lpstr>
      <vt:lpstr>Attrition</vt:lpstr>
      <vt:lpstr>TeamToQueueMap</vt:lpstr>
      <vt:lpstr>Utilz Targets</vt:lpstr>
      <vt:lpstr>QryTeamCCOQJuly</vt:lpstr>
      <vt:lpstr>Unique_CCO_Queue_Code_Update!UniqueCCOQueueCodes</vt:lpstr>
      <vt:lpstr>UniqueCCOQueueCodes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Lumb, Douglas</dc:creator>
  <cp:keywords/>
  <dc:description/>
  <cp:lastModifiedBy>Hrishikesh Yadav</cp:lastModifiedBy>
  <cp:revision/>
  <cp:lastPrinted>2025-08-22T10:22:56Z</cp:lastPrinted>
  <dcterms:created xsi:type="dcterms:W3CDTF">2021-08-23T00:53:50Z</dcterms:created>
  <dcterms:modified xsi:type="dcterms:W3CDTF">2026-07-01T07:47:56Z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833c3c-263a-4874-9587-e0c458bf5585_Enabled">
    <vt:lpwstr>True</vt:lpwstr>
  </property>
  <property fmtid="{D5CDD505-2E9C-101B-9397-08002B2CF9AE}" pid="3" name="MSIP_Label_f4833c3c-263a-4874-9587-e0c458bf5585_SiteId">
    <vt:lpwstr>945c199a-83a2-4e80-9f8c-5a91be5752dd</vt:lpwstr>
  </property>
  <property fmtid="{D5CDD505-2E9C-101B-9397-08002B2CF9AE}" pid="4" name="MSIP_Label_f4833c3c-263a-4874-9587-e0c458bf5585_Owner">
    <vt:lpwstr>douglas.lumb@emc.com</vt:lpwstr>
  </property>
  <property fmtid="{D5CDD505-2E9C-101B-9397-08002B2CF9AE}" pid="5" name="MSIP_Label_f4833c3c-263a-4874-9587-e0c458bf5585_SetDate">
    <vt:lpwstr>2021-08-23T01:00:54.5342734Z</vt:lpwstr>
  </property>
  <property fmtid="{D5CDD505-2E9C-101B-9397-08002B2CF9AE}" pid="6" name="MSIP_Label_f4833c3c-263a-4874-9587-e0c458bf5585_Name">
    <vt:lpwstr>Highly Restricted</vt:lpwstr>
  </property>
  <property fmtid="{D5CDD505-2E9C-101B-9397-08002B2CF9AE}" pid="7" name="MSIP_Label_f4833c3c-263a-4874-9587-e0c458bf5585_Application">
    <vt:lpwstr>Microsoft Azure Information Protection</vt:lpwstr>
  </property>
  <property fmtid="{D5CDD505-2E9C-101B-9397-08002B2CF9AE}" pid="8" name="MSIP_Label_f4833c3c-263a-4874-9587-e0c458bf5585_ActionId">
    <vt:lpwstr>158fdd0d-d9ff-4507-951b-e1275e3e9fcf</vt:lpwstr>
  </property>
  <property fmtid="{D5CDD505-2E9C-101B-9397-08002B2CF9AE}" pid="9" name="MSIP_Label_f4833c3c-263a-4874-9587-e0c458bf5585_Extended_MSFT_Method">
    <vt:lpwstr>Manual</vt:lpwstr>
  </property>
  <property fmtid="{D5CDD505-2E9C-101B-9397-08002B2CF9AE}" pid="10" name="aiplabel">
    <vt:lpwstr>Highly Restricted Visual Marking</vt:lpwstr>
  </property>
  <property fmtid="{D5CDD505-2E9C-101B-9397-08002B2CF9AE}" pid="11" name="ContentTypeId">
    <vt:lpwstr>0x010100F3344D08712BB54E857062E802E1B668</vt:lpwstr>
  </property>
  <property fmtid="{D5CDD505-2E9C-101B-9397-08002B2CF9AE}" pid="12" name="MSIP_Label_a7bd41d9-d1d6-4f41-bf46-97f0241fcca2_Enabled">
    <vt:lpwstr>true</vt:lpwstr>
  </property>
  <property fmtid="{D5CDD505-2E9C-101B-9397-08002B2CF9AE}" pid="13" name="MSIP_Label_a7bd41d9-d1d6-4f41-bf46-97f0241fcca2_SetDate">
    <vt:lpwstr>2023-05-21T06:53:18Z</vt:lpwstr>
  </property>
  <property fmtid="{D5CDD505-2E9C-101B-9397-08002B2CF9AE}" pid="14" name="MSIP_Label_a7bd41d9-d1d6-4f41-bf46-97f0241fcca2_Method">
    <vt:lpwstr>Privileged</vt:lpwstr>
  </property>
  <property fmtid="{D5CDD505-2E9C-101B-9397-08002B2CF9AE}" pid="15" name="MSIP_Label_a7bd41d9-d1d6-4f41-bf46-97f0241fcca2_Name">
    <vt:lpwstr>No Visual Label</vt:lpwstr>
  </property>
  <property fmtid="{D5CDD505-2E9C-101B-9397-08002B2CF9AE}" pid="16" name="MSIP_Label_a7bd41d9-d1d6-4f41-bf46-97f0241fcca2_SiteId">
    <vt:lpwstr>945c199a-83a2-4e80-9f8c-5a91be5752dd</vt:lpwstr>
  </property>
  <property fmtid="{D5CDD505-2E9C-101B-9397-08002B2CF9AE}" pid="17" name="MSIP_Label_a7bd41d9-d1d6-4f41-bf46-97f0241fcca2_ActionId">
    <vt:lpwstr>e87606ab-e950-475e-8953-e204b22cea21</vt:lpwstr>
  </property>
  <property fmtid="{D5CDD505-2E9C-101B-9397-08002B2CF9AE}" pid="18" name="MSIP_Label_a7bd41d9-d1d6-4f41-bf46-97f0241fcca2_ContentBits">
    <vt:lpwstr>0</vt:lpwstr>
  </property>
  <property fmtid="{D5CDD505-2E9C-101B-9397-08002B2CF9AE}" pid="19" name="MediaServiceImageTags">
    <vt:lpwstr/>
  </property>
</Properties>
</file>